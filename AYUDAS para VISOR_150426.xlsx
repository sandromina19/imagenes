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andro Mina Valdivia\Desktop\ITJ\Traspaso Visor ITJ\"/>
    </mc:Choice>
  </mc:AlternateContent>
  <xr:revisionPtr revIDLastSave="0" documentId="13_ncr:1_{6B557552-F9BE-43A0-AF38-B979EFE40F0E}" xr6:coauthVersionLast="47" xr6:coauthVersionMax="47" xr10:uidLastSave="{00000000-0000-0000-0000-000000000000}"/>
  <bookViews>
    <workbookView xWindow="-28920" yWindow="-4125" windowWidth="29040" windowHeight="15720" xr2:uid="{7462E220-C91D-4679-8CCD-50FDDBB7F5F6}"/>
  </bookViews>
  <sheets>
    <sheet name="Tabla VISOR" sheetId="1" r:id="rId1"/>
  </sheets>
  <externalReferences>
    <externalReference r:id="rId2"/>
  </externalReferences>
  <definedNames>
    <definedName name="AUTOCONSUMO">#REF!</definedName>
    <definedName name="_xlnm.Database">#REF!</definedName>
    <definedName name="biogas">#REF!</definedName>
    <definedName name="biomasa">#REF!</definedName>
    <definedName name="EOLICA">#REF!</definedName>
    <definedName name="ERELE">#REF!</definedName>
    <definedName name="EST_TRAMIT_CONV">#REF!</definedName>
    <definedName name="FOTOVOLTAICA">#REF!</definedName>
    <definedName name="GD">#REF!</definedName>
    <definedName name="HIDROELECTRICA">#REF!</definedName>
    <definedName name="InicioTablaMaxPresupuesto">#REF!</definedName>
    <definedName name="InicioTablaMaxPresupuesto_dos">#REF!</definedName>
    <definedName name="InicioTablaResultadoFINAL">#REF!</definedName>
    <definedName name="Proyectos_2006">#REF!</definedName>
    <definedName name="XX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C6" i="1" l="1"/>
  <c r="O88" i="1"/>
  <c r="AC104" i="1"/>
  <c r="I1314" i="1" a="1"/>
  <c r="I1314" i="1" s="1"/>
  <c r="S1314" i="1"/>
  <c r="Y1314" i="1"/>
  <c r="Z1314" i="1"/>
  <c r="AA1314" i="1"/>
  <c r="AB1314" i="1"/>
  <c r="AC1314" i="1"/>
  <c r="AD1314" i="1"/>
  <c r="AE1314" i="1"/>
  <c r="AF1314" i="1"/>
  <c r="AG1314" i="1"/>
  <c r="AH1314" i="1"/>
  <c r="AI1314" i="1"/>
  <c r="AJ1314" i="1"/>
  <c r="AK1314" i="1"/>
  <c r="I131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<sst xmlns="http://schemas.openxmlformats.org/spreadsheetml/2006/main" count="25431" uniqueCount="5375">
  <si>
    <t> </t>
  </si>
  <si>
    <t>FAVORABLE</t>
  </si>
  <si>
    <t>Energético</t>
  </si>
  <si>
    <t>Oficina de Transformación Comunitaria de la Diputación Foral de Álava</t>
  </si>
  <si>
    <t>Garoña</t>
  </si>
  <si>
    <t>01902;01047;01055</t>
  </si>
  <si>
    <t>Lantarón;Ribera Baja/Erriberabeitia;Valdegovía/Gaubea</t>
  </si>
  <si>
    <t>Araba/Álava</t>
  </si>
  <si>
    <t>País Vasco</t>
  </si>
  <si>
    <t>DIPUTACIÓN FORAL DE ÁLAVA</t>
  </si>
  <si>
    <t>OTCs.png</t>
  </si>
  <si>
    <t>PR-OTC-2023-000278</t>
  </si>
  <si>
    <t>PRTR - PERTE ERHA</t>
  </si>
  <si>
    <t>OTC</t>
  </si>
  <si>
    <t>Programa de incentivos para la concesión de ayudas a Oficinas de Transformación Comunitaria para la promoción y dinamización de comunidades energéticas</t>
  </si>
  <si>
    <t>Sí</t>
  </si>
  <si>
    <t>Energéticos</t>
  </si>
  <si>
    <t>IDAE</t>
  </si>
  <si>
    <t>si</t>
  </si>
  <si>
    <t>Si</t>
  </si>
  <si>
    <t>Mejora ambiental</t>
  </si>
  <si>
    <t>Vigente</t>
  </si>
  <si>
    <t>TORMALEO. 'Rehabilitación de pistas mineras, conjuntamente con las bermas y plazas de la mina, de modo que se integren perfectamente con el entorno. Reparación de la carretera a Villarín por su trazado original. Usos de tipo agropecuario (arándanos, castaños y cerezos de producción), incluyendo la restauración de la zona “nueva llanada grande”, y aprovechamiento forestal. Para uso recreativo y turístico, adecuación de zona de parking para autocaravanas, permitiendo el futuro desarrollo en ella de un área de servicio que puede combinarse con el uso como zona de aparcamiento, según las necesidades, realización de un área recreativa junto a la rehabilitación del edificio de piedra existente en la bocamina de Penafurada, y actuaciones de puesta en valor del lago La Campa. Además, adecuación para usos alternativos futuros de tipo recreativo y deportivo como la creación de una ruta BTT (Bicicleta Todo Terreno) aprovechando la orografía final resultante de los trabajos de restauración.</t>
  </si>
  <si>
    <t>Suroccidente</t>
  </si>
  <si>
    <t>33028</t>
  </si>
  <si>
    <t>Ibias</t>
  </si>
  <si>
    <t>Asturias</t>
  </si>
  <si>
    <t>Asturias, Principado de</t>
  </si>
  <si>
    <t>Consejería de Industria, Empleo y Promoción Económica</t>
  </si>
  <si>
    <t>Rehabilitación de pistas mineras, conjuntamente con las bermas y plazas de la mina, de modo que se integren perfectamente con el entorno. Reparación de la carretera a Villarín por su trazado original. Usos de tipo agropecuario (arándanos, castaños y cerezos de producción), incluyendo la restauración de la zona “nueva llanada grande”, y aprovechamiento forestal. Para uso recreativo y turístico, adecuación de zona de parking para autocaravanas, permitiendo el futuro desarrollo en ella de un área de servicio que puede combinarse con el uso como zona de aparcamiento, según las necesidades, realización de un área recreativa junto a la rehabilitación del edificio de piedra existente en la bocamina de Penafurada, y actuaciones de puesta en valor del lago La Campa. Además, adecuación para usos alternativos futuros de tipo recreativo y deportivo como la creación de una ruta BTT (Bicicleta Todo Terreno) aprovechando la orografía final resultante de los trabajos de restauración.</t>
  </si>
  <si>
    <t>Restauración de minas de Tormaleo</t>
  </si>
  <si>
    <t>P03.C10.I01.P01.S002.03</t>
  </si>
  <si>
    <t>PRTR - C10</t>
  </si>
  <si>
    <t>RESTAURACIÓN</t>
  </si>
  <si>
    <t>RESTAURACIÓN C10 - PRTR</t>
  </si>
  <si>
    <t>sí</t>
  </si>
  <si>
    <t>Restauración</t>
  </si>
  <si>
    <t>ITJ</t>
  </si>
  <si>
    <t>CERREDO. 'Rehabilitación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“Cerredo” (promotor Planta Fotovoltaica Turba S.L.) con producción de energía hidroeléctrica captando el caudal de drenaje de la mina al tiempo que mejora la calidad de las aguas captadas, y como el proyecto de Central Fotovoltaica Híbrida “Cerredo Solar” (promotor INGESANC ENERGY, S.L.) con una una potencia eléctrica de 80 MW, y para uso recreativo como la creación de áreas recreativas y de esparcimiento que cuenten con instalaciones como mesas, asientos y zona de estacionamiento.</t>
  </si>
  <si>
    <t>33022</t>
  </si>
  <si>
    <t>Degaña</t>
  </si>
  <si>
    <t>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“Cerredo” (promotor Planta Fotovoltaica Turba S.L.) con producción de energía hidroeléctrica captando el caudal de drenaje de la mina al tiempo que mejora la calidad de las aguas captadas, y como el proyecto de Central Fotovoltaica Híbrida “Cerredo Solar” (promotor INGESANC ENERGY, S.L.) con una una potencia eléctrica de 80 MW, y para uso recreativo como la creación de áreas recreativas y de esparcimiento que cuenten con instalaciones como mesas, asientos y zona de estacionamiento.</t>
  </si>
  <si>
    <t>Restauración minas de Cerredo</t>
  </si>
  <si>
    <t>P03.C10.I01.P01.S002.02</t>
  </si>
  <si>
    <t>BUSEIRO. 'Rehabilitación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“Buseiro” (promotor Planta Fotovoltaica Lignito S.L.) con producción de energía hidroeléctrica captando el caudal de drenaje de la mina al tiempo que mejora la calidad de las aguas captadas, y para uso recreativo y deportivo a través de la implantación de un proyecto (Agrupación Somos Tineo) que incluiría un circuito permanente para la conducción deportiva y de ocio de vehículos todoterreno 4x4, quads, motocicletas, mountan bike, escuela de conducción y paint ball, a partir de los viales existentes dentro del perímetro minero.</t>
  </si>
  <si>
    <t>33073;33011</t>
  </si>
  <si>
    <t>Tineo;Cangas del Narcea</t>
  </si>
  <si>
    <t>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“Buseiro” (promotor Planta Fotovoltaica Lignito S.L.) con producción de energía hidroeléctrica captando el caudal de drenaje de la mina al tiempo que mejora la calidad de las aguas captadas, y para uso recreativo y deportivo a través de la implantación de un proyecto (Agrupación Somos Tineo) que incluiría un circuito permanente para la conducción deportiva y de ocio de vehículos todoterreno 4x4, quads, motocicletas, mountan bike, escuela de conducción y paint ball, a partir de los viales existentes dentro del perímetro minero.</t>
  </si>
  <si>
    <t>Restauración minas de Buseiro</t>
  </si>
  <si>
    <t>P03.C10.I01.P01.S002.01</t>
  </si>
  <si>
    <t>Ampliación de vigencia Ficha pendiente</t>
  </si>
  <si>
    <t>EN EJECUCIÓN</t>
  </si>
  <si>
    <t>Construcción e Ingeniería civil</t>
  </si>
  <si>
    <t xml:space="preserve"> Reforma integral de alumbrado instalaciones municipales- Degaña</t>
  </si>
  <si>
    <t>Ayuntamiento de Degaña</t>
  </si>
  <si>
    <t>AST-2020-0044.jpg</t>
  </si>
  <si>
    <t>https://sede.asturias.es/ast/bopa-disposiciones?p_p_id=pa_sede_bopa_web_portlet_SedeBopaDispositionWeb&amp;p_p_lifecycle=0&amp;p_p_state=normal&amp;p_p_mode=view&amp;_pa_sede_bopa_web_portlet_SedeBopaDispositionWeb_mvcRenderCommandName=%2Fdisposition%2Fdetail&amp;p_r_p_dispositionText=%E2%80%9CReforma+integral+de+alumbrado+e+instalaciones+municipales%E2%80%9D+%28Dega%C3%B1a%29&amp;p_r_p_dispositionReference=2022-02117&amp;p_r_p_dispositionDate=31%2F03%2F2022&amp;_pa_sede_bopa_web_portlet_SedeBopaDispositionWeb_isTextDateSearch=false                                                            Adenda y modificación del proyectoMarzo 2024 : https://sede.asturias.es/ast/bopa-disposiciones?p_p_id=pa_sede_bopa_web_portlet_SedeBopaDispositionWeb&amp;p_p_lifecycle=0&amp;p_p_state=normal&amp;p_p_mode=view&amp;_pa_sede_bopa_web_portlet_SedeBopaDispositionWeb_mvcRenderCommandName=%2Fdisposition%2Fdetail&amp;p_r_p_dispositionText=%E2%80%9CReforma+integral+de+alumbrado+e+instalaciones+municipales%E2%80%9D+%28Dega%C3%B1a%29&amp;p_r_p_dispositionReference=2024-02339&amp;p_r_p_dispositionDate=22%2F03%2F2024&amp;_pa_sede_bopa_web_portlet_SedeBopaDispositionWeb_isTextDateSearch=false</t>
  </si>
  <si>
    <t>El proyecto tiene por objeto la mejora de la eficiencia en el alumbrado público de Cerredo, Degaña,  y se compone de tres lotes:
Lote n.º 1 Mejora de la eficiencia en el alumbrado público de Cerredo, Degaña, El Rebollar, Tablado y Fondos de Vega : sustitución de las lámparas de vapor de mercurio y vapor de sodio de alta densidad por lámparas LED.    
Lote n.º 2  Mejora de la eficiencia en la iluminación en las siguientes dependencias municipales: Colegios de Enseñanza Primaria, Secundaria e Infantil de Cerredo, Polideportivo y Centro Social de Cerredo y Casa Consistorial de Degaña.Se sustituirán las actuales lámparas por otras LED y se instalarán reductores de flujo.
Lote n.º 3 Sustitución de las actuales calderas de gasoil:  la sustitución de las actuales calderas de gasoil en los colegios de Enseñanza Primaria, Secundaria e Infantil de Cerredo por otras de una mayor eficiencia energética.</t>
  </si>
  <si>
    <t>Obras de mejora en la eficiencia energética del alumbrado público y en la iluminación y sistema de calefacción de dependencias municipales (Degaña)</t>
  </si>
  <si>
    <t>AST-2020-0044</t>
  </si>
  <si>
    <t>F. Nacionales (75 % ITJ / 25% CCAA)</t>
  </si>
  <si>
    <t>INFRA</t>
  </si>
  <si>
    <t>Convenios Infraestructuras Mineros</t>
  </si>
  <si>
    <t>Municipales</t>
  </si>
  <si>
    <t xml:space="preserve"> empleo en construcción:  No se generó empleo porque se realizó con personal municipal.</t>
  </si>
  <si>
    <t>Liquidado</t>
  </si>
  <si>
    <t>consiste en el despliegue de la instalación de la Fibra Óptica (FO) en el Polígono Industrial de Tebongo en Cangas de Narcea</t>
  </si>
  <si>
    <t>33011</t>
  </si>
  <si>
    <t>Cangas del Narcea</t>
  </si>
  <si>
    <t>Ayuntamiento de CANGAS DE NARCEA</t>
  </si>
  <si>
    <t>AST-2020-0043.jpg</t>
  </si>
  <si>
    <t>Despliegue de la instalación de la Fibra Óptica (FO) en el Polígono Industrial de Tebongo en Cangas de Narcea. El proyecto consistió en realizar el despliegue de la línea principal de fibra óptica desde la entrada al polígono para poder conectarlo a la troncal de acceso cuando estuviera disponible en la zona, hasta los armarios de conexión y derivación, incluso la realización de todas las acometidas hasta las naves ubicadas en el polígono de Tebongo.</t>
  </si>
  <si>
    <t>Despliegue de fibra óptica en el polígono industrial de Tebongo</t>
  </si>
  <si>
    <t>AST-2020-0043</t>
  </si>
  <si>
    <t>Eficiencia energética/Ahorro de energía Eficiencia energética/Ahorro de energía / empleo en construcción:  No se generó empleo porque se realizó con personal municipal.</t>
  </si>
  <si>
    <t>Consiste en la sustitución de las luminarias existentes de Vapor de Sodio a Alta Presión (VSAP) por luminarias tipo LED</t>
  </si>
  <si>
    <t>AST-2020-0042.jpg</t>
  </si>
  <si>
    <t>https://sede.asturias.es/ast/bopa-disposiciones?p_p_id=pa_sede_bopa_web_portlet_SedeBopaDispositionWeb&amp;p_p_lifecycle=0&amp;p_p_state=normal&amp;p_p_mode=view&amp;_pa_sede_bopa_web_portlet_SedeBopaDispositionWeb_mvcRenderCommandName=%2Fdisposition%2Fdetail&amp;p_r_p_dispositionText=serian&amp;p_r_p_dispositionReference=2022-02116&amp;p_r_p_dispositionDate=31%2F03%2F2022&amp;_pa_sede_bopa_web_portlet_SedeBopaDispositionWeb_isTextDateSearch=false                                   Modificación proyecto: https://sede.asturias.es/ast/bopa-disposiciones?p_p_id=pa_sede_bopa_web_portlet_SedeBopaDispositionWeb&amp;p_p_lifecycle=0&amp;p_p_state=normal&amp;p_p_mode=view&amp;_pa_sede_bopa_web_portlet_SedeBopaDispositionWeb_mvcRenderCommandName=%2Fdisposition%2Fdetail&amp;p_r_p_dispositionText=serian&amp;p_r_p_dispositionReference=2022-02188&amp;p_r_p_dispositionDate=01%2F04%2F2022&amp;_pa_sede_bopa_web_portlet_SedeBopaDispositionWeb_isTextDateSearch=false</t>
  </si>
  <si>
    <t>Mejora de eficiencia energética gracias a la sustitución de las luminarias existentes de Vapor de Sodio a Alta Presión (VSAP) por luminarias tipo LED, con un menor consumo energético. El objetivo era reducir la potencia instalada con la substitución de las luminarias existentes por luminarias tipo Led, ajustar las potencias contratadas y reducir la energía reactiva. Estas actuaciones se llevaron a cabo lugar en el Polígono Industrial de Tebongo, Mercado de Ganados de la Himera y la Regla de Perandones.</t>
  </si>
  <si>
    <t xml:space="preserve">Plan de eficiencia y mejora energética del polígono industrial de Tebongo y otras zonas industriales </t>
  </si>
  <si>
    <t>AST-2020-0042</t>
  </si>
  <si>
    <t xml:space="preserve">Ampliación de vigencia Eficiencia energética/Ahorro de energía / Empleo en construcción DURACIÓN DE LAS OBRAS: 7 MESES EMPLEO FIJO: 5 OPRERARIOS (Empresa contrata) EMPLEO TEMPORAL: 6 OPERARIOS (Maquinistas, transporte, autónomos etc </t>
  </si>
  <si>
    <t>Creación de un sistema de calefacción distribuida (District Heating) con destino a abastecimiento de calderas de biomasa ubicadas en la casa Consistorial y el Colegio Público Aurelio Menéndez de San Antolín de ibias para generación de calor y energía térmica en el propio colegio y su extensión a través de una red de tuberías hasta el edificio del Ayuntamiento y la posibilidad de enganche a otros edificios en el núcleo urbano de San Antolín-Ibias</t>
  </si>
  <si>
    <t>Ayuntamiento de Ibias</t>
  </si>
  <si>
    <t>AST-2020-0041.jpg</t>
  </si>
  <si>
    <t xml:space="preserve">Creación de un sistema de calefacción distribuida (District Heating) con destino a abastecimiento de calderas de biomasa ubicadas en la casa Consistorial y el Colegio Público Aurelio Menéndez de San Antolín de ibias para generación de calor y energía térmica en el propio colegio y su extensión a través de una red de tuberías hasta el edificio del Ayuntamiento y la posibilidad de enganche a otros edificios en el núcleo urbano de San Antolín-Ibias. </t>
  </si>
  <si>
    <t>Proyecto de distribución energética en San Antolín de Ibias.</t>
  </si>
  <si>
    <t>AST-2020-0041</t>
  </si>
  <si>
    <t>Ampliación de vigencia</t>
  </si>
  <si>
    <t>Construcción de dos edificios nuevos para naves nido</t>
  </si>
  <si>
    <t>33073</t>
  </si>
  <si>
    <t>Tineo</t>
  </si>
  <si>
    <t>Ayuntamiento de Tineo</t>
  </si>
  <si>
    <t>AST-2020-0039.jpg</t>
  </si>
  <si>
    <t>El edificio ocupará 1.780 metros construidos en la parcela de la esquina de la calle G con la calle I del área industrial y dispondrá de ocho naves de 200 metros cuadrados construidos cada una y de un área de espacios comunes, de 100 metros cuadrados, con aseos, vestuarios, oficina y aula de 50 metros cuadrados.
La estructura del proyecto se ha diseñado  con elementos prefabricados de hormigón pretensado que resuelven las luces de 10 metros entre pilares, coincidiendo con el ancho de cada nave, lo que permite que el interior sea diáfano.
Al contar con acceso propio tanto para vehículos como para peatones, cada nave podrá ser utilizada de forma independiente.
Estas ocho naves nido podrán ser puestas a disposición en un régimen de arrendamiento temporal para empresas y autónomos que inicien una actividad y precisen de un lugar donde ubicarse sin tener que afrontar el coste de tener que construirlo.</t>
  </si>
  <si>
    <t>Construcción de un edificio nuevo para naves nido</t>
  </si>
  <si>
    <t>AST-2020-0039</t>
  </si>
  <si>
    <t>Ampliación de vigencia 9 trabajadores y en casos puntuales alcanzan los 20.</t>
  </si>
  <si>
    <t>realización de la red interior de saneamiento mediante tuberías de PVC para aguas domésticas</t>
  </si>
  <si>
    <t>Ayuntamiento de DEGAÑA</t>
  </si>
  <si>
    <t>AST-2020-0031.jpg</t>
  </si>
  <si>
    <t>https://sede.asturias.es/ast/bopa-disposiciones?p_p_id=pa_sede_bopa_web_portlet_SedeBopaDispositionWeb&amp;p_p_lifecycle=0&amp;p_p_state=normal&amp;p_p_mode=view&amp;_pa_sede_bopa_web_portlet_SedeBopaDispositionWeb_mvcRenderCommandName=%2Fdisposition%2Fdetail&amp;p_r_p_dispositionText=Reforma+de+la+red+de+abastecimiento+de+agua+de+la+localidad+de+Tablado%2C+Cerredo+y+Dega%C3%B1a&amp;p_r_p_dispositionReference=2022-02778&amp;p_r_p_dispositionDate=26%2F04%2F2022&amp;_pa_sede_bopa_web_portlet_SedeBopaDispositionWeb_isTextDateSearch=true</t>
  </si>
  <si>
    <t>El objeticos del proyecto es crear una red interior de saneamiento mediante tuberías de PVC para aguas domésticas. Elaboración de documentos técnicos, obtención de permisos,, licencias pertinentes, y ejecución de las obras e instalaciones necesarias para la refomra de la red de abastecimiento de las localidades de Tablado, Cerredo y Degaña (BOPA).</t>
  </si>
  <si>
    <t>Reforma de la red de abastecimiento de agua de la localidad de Tablado, Cerredo y Degaña</t>
  </si>
  <si>
    <t>AST-2020-0031</t>
  </si>
  <si>
    <t>Renuncia</t>
  </si>
  <si>
    <t>Anulado</t>
  </si>
  <si>
    <t xml:space="preserve">Consiste en el soterramiento de las líneas aéreas alta tensión (AT) para facilitar la actividad de empresas de suelo industrial en lq área industrial de La Curiscada </t>
  </si>
  <si>
    <t>AST-2020-0028</t>
  </si>
  <si>
    <t>No</t>
  </si>
  <si>
    <t>Ficha pendiente</t>
  </si>
  <si>
    <t>Suministro eléctrico a las parcelas de la Fase III del área industrial de la Curiscada</t>
  </si>
  <si>
    <t>AST-2020-0025</t>
  </si>
  <si>
    <t>consiste en ejecutar una adecuada red de saneamiento que recoja los vertidos de aguas domésticas de todas sus viviendas y la ejecución de una instalación de depuración al finalizar la red que asegure el tratamiento de las aguas</t>
  </si>
  <si>
    <t>AST-2020-0020.jpg</t>
  </si>
  <si>
    <t>https://noticiasdeloccidente.com/2019/09/16/en-marcha-las-obras-de-saneamiento-de-fondos-de-vega-en-degana/</t>
  </si>
  <si>
    <t>En el concejo de Fondos de la Vega las aguas domésticas se vertían directamente al río Ibias, sin ningún tipo de tratamiento, y solo existía una red parcial que no recogía todas las viviendas y que llegaba solo a una parte del núcleo, dividido en dos zonas por la carretera AS-15. El objetivo de este proyecto fue crear una adecuada red de saneamiento que recoja los vertidos de aguas domésticas de todas sus viviendas con una depuradora al final del trayecto que asegure el tratamiento de las aguas previo a su vertido al rio, dentro de los límites de calidad exigidos. La infraestructura diseñada cuenta con capacidad para dar servicio a 170 habitantes y esta formada por un colector general y siete secundarios. Este colector principal una vez recogido el núcleo de Fondos de Vega cruza la carretera regional AS-15, para llegar, discurriendo por praderías y caminos, hasta Fondos de Vega de Abajo. Una vez incorporados los vertidos de este barrio y varias casas a lo largo de su traza, entronca con un pozo previo al sistema de depuración previsto. Se construyó, como decimos, un colector general y 7 secundarios, 47 acometidas y una estación de tratamiento de aguas residuales. La depuradora incorpora un equipo con la tecnología de Contractores Biológicos Rotativos(CBR) para el tratamiento aeróbico de aguas fecales,   un tratamiento biológico para devolver las aguas al río Ibias en condiciones idóneas. La obra también contempla la pavimentación de todos los caminos afectados por la obra.                                                                                                                                                                                                                    
Fondos de Vega es una aldea de la parroquia de Degaña, ubicada en el Parque Natural de las Fuentes del Narcea, Degaña e Ibias, reconocido por la UNESCO como Reserva de la Biosfera. Sus bosques y paisajes rurales favorecen el desarrollo de multitud de aves y especies como osos pardos, rebecos, zorros y nutrias, entre otros. Reducir el impacto de las actividades humanas en estos valiosos parajes es nuestra obligación y acciones como la que se está desarrollando con la instalación de esta depuradora nos permiten devolver a la naturaleza parte de lo mucho que le debemos.</t>
  </si>
  <si>
    <t>Saneamiento de Fondos Vega (Degaña)</t>
  </si>
  <si>
    <t>AST-2020-0020</t>
  </si>
  <si>
    <t xml:space="preserve"> Empleo en construcción Se gestionó el proyecto por medio de la Dirección General del Agua (Consejería de Medio Ambiente) y no tenemos información sobre el empleo generado durante el proyecto</t>
  </si>
  <si>
    <t>?</t>
  </si>
  <si>
    <t>mejorar las redes actuales de saneamiento, la calidad de las aguas receptoras de los vertidos y las riberas, al eliminar todos los vertidos directos sin tratamiento previo</t>
  </si>
  <si>
    <t>AST-2020-0014.jpg</t>
  </si>
  <si>
    <t>https://sede.asturias.es/ast/bopa-disposiciones?p_p_id=pa_sede_bopa_web_portlet_SedeBopaDispositionWeb&amp;p_p_lifecycle=0&amp;p_p_state=normal&amp;p_p_mode=view&amp;_pa_sede_bopa_web_portlet_SedeBopaDispositionWeb_mvcRenderCommandName=%2Fdisposition%2Fdetail&amp;p_r_p_dispositionText=Saneamiento+de+Sorrodiles+de+Cibea+%28Cangas+del+Narcea%29&amp;p_r_p_dispositionReference=2022-02730&amp;p_r_p_dispositionDate=25%2F04%2F2022&amp;_pa_sede_bopa_web_portlet_SedeBopaDispositionWeb_isTextDateSearch=false</t>
  </si>
  <si>
    <t>Mejorar las redes de saneamiento, la calidad de las aguas receptoras de los vertidos y las riberas, al eliminar todos los vertidos directos sin tratamiento previo.  Dentro del proyecto se llevó a cabo  la construcción de la red de saneamiento del núcleo de población de Sorrodiles de Cibea, así como de las instalaciones de depuración de las aguas residuales recogidas por la red previamente a su vertido al río Genestoso. Asimismo, dada la proximidad del núcleo de Villarino de Cibea se incluyó también en el proyecto la ejecución de una nueva red de saneamiento para el mismo que conecta con el colector principal de Sorrodiles. La red dispone de pozos de registro a lo largo del trazado. En cuanto a las instalaciones de depuración de las aguas residuales previstas tienen una capacidad para el tratamiento de los caudales correspondientes a una población de 90 habitantes-equivalentes y están constituidas por un equipo con la tecnologia de Contactores Biológicos Rotativos (CBR) para el tratamiento aeróbico de aguas fecales (Bopa)</t>
  </si>
  <si>
    <t>Saneamiento de Sorrodiles de Cibea (Cangas de Narcea)</t>
  </si>
  <si>
    <t>AST-2020-0014</t>
  </si>
  <si>
    <t>El dato de ayuda aprobada es la estimación del importe anual acumulado hasta la fecha de jubilación</t>
  </si>
  <si>
    <t>COMPAÑÍA MINERA ASTUR LEONESA S.A.</t>
  </si>
  <si>
    <t>77596258P</t>
  </si>
  <si>
    <t>F. Nacionales</t>
  </si>
  <si>
    <t>PREJUBILACIONES</t>
  </si>
  <si>
    <t>Plan social</t>
  </si>
  <si>
    <t>CARBONAR S.A.</t>
  </si>
  <si>
    <t>76947477B</t>
  </si>
  <si>
    <t>BAJAS INDEMNIZADAS</t>
  </si>
  <si>
    <t>UNION MINERA DEL NORTE, S.A.</t>
  </si>
  <si>
    <t>76938667X</t>
  </si>
  <si>
    <t>76938638G</t>
  </si>
  <si>
    <t>76938511S</t>
  </si>
  <si>
    <t>76709072R</t>
  </si>
  <si>
    <t>71682234C_dup</t>
  </si>
  <si>
    <t>71678850V</t>
  </si>
  <si>
    <t>71647343C</t>
  </si>
  <si>
    <t>71644480D</t>
  </si>
  <si>
    <t>71643537D</t>
  </si>
  <si>
    <t>71639787P</t>
  </si>
  <si>
    <t>71638215T</t>
  </si>
  <si>
    <t>71634376W</t>
  </si>
  <si>
    <t>71634283R</t>
  </si>
  <si>
    <t>71634021S</t>
  </si>
  <si>
    <t>71633591E</t>
  </si>
  <si>
    <t>71632034Y</t>
  </si>
  <si>
    <t>71632018J</t>
  </si>
  <si>
    <t>71632007W</t>
  </si>
  <si>
    <t>71631990P</t>
  </si>
  <si>
    <t>71631842K</t>
  </si>
  <si>
    <t>71631752T</t>
  </si>
  <si>
    <t>71631272A</t>
  </si>
  <si>
    <t>71550848X</t>
  </si>
  <si>
    <t>71515351W</t>
  </si>
  <si>
    <t>71513341Q</t>
  </si>
  <si>
    <t>71511847V</t>
  </si>
  <si>
    <t>71510819R</t>
  </si>
  <si>
    <t>71507043C</t>
  </si>
  <si>
    <t>71505610J</t>
  </si>
  <si>
    <t>71505524L</t>
  </si>
  <si>
    <t>71505523H</t>
  </si>
  <si>
    <t>71501114W</t>
  </si>
  <si>
    <t>71501064K</t>
  </si>
  <si>
    <t>71501027F</t>
  </si>
  <si>
    <t>71500975R</t>
  </si>
  <si>
    <t>71500913P</t>
  </si>
  <si>
    <t>71500911Y</t>
  </si>
  <si>
    <t>71500907W</t>
  </si>
  <si>
    <t>71500499P</t>
  </si>
  <si>
    <t>71500479B</t>
  </si>
  <si>
    <t>71500061F</t>
  </si>
  <si>
    <t>71435566G</t>
  </si>
  <si>
    <t>71421552C</t>
  </si>
  <si>
    <t>71421551L</t>
  </si>
  <si>
    <t>71416812H</t>
  </si>
  <si>
    <t>71416043P</t>
  </si>
  <si>
    <t>52581049J</t>
  </si>
  <si>
    <t>45431565X</t>
  </si>
  <si>
    <t>44432949P</t>
  </si>
  <si>
    <t>44430394Y</t>
  </si>
  <si>
    <t>44430388T</t>
  </si>
  <si>
    <t>44430382V</t>
  </si>
  <si>
    <t>44428826W</t>
  </si>
  <si>
    <t>44428096P</t>
  </si>
  <si>
    <t>44428083H</t>
  </si>
  <si>
    <t>44427998W</t>
  </si>
  <si>
    <t>44425524N</t>
  </si>
  <si>
    <t>43684378H</t>
  </si>
  <si>
    <t>32885194R</t>
  </si>
  <si>
    <t>32883276S</t>
  </si>
  <si>
    <t>32882653J</t>
  </si>
  <si>
    <t>32882474H</t>
  </si>
  <si>
    <t xml:space="preserve">Rehabilitación del antiguo edificio de las escuelas de San Antolín de Ibias,  para darle diferentes usos, un  vivero de empresas, un espacio coworking y una vivienda social que estará completamente adaptada. </t>
  </si>
  <si>
    <t>Reforma y ampliación de las escuelas de San Antolín de Ibias para vivienda y edificio de usos múltiples</t>
  </si>
  <si>
    <t>2024-C118</t>
  </si>
  <si>
    <t>INFRA-PRTR II</t>
  </si>
  <si>
    <t>Instalación de un taller de  reparación de vehículos y maquinaria.</t>
  </si>
  <si>
    <t>JUAN CARLOS ARGÜELLES MENÉNDEZ</t>
  </si>
  <si>
    <t>Este proyecto consiste en la puesta en la instalación de un taller de reparación de vehículos y maquinaria.</t>
  </si>
  <si>
    <t>Taller mecánico</t>
  </si>
  <si>
    <t>2023-P219</t>
  </si>
  <si>
    <t>FTJ + Fondos Nacionales</t>
  </si>
  <si>
    <t>MINIMIS TJ</t>
  </si>
  <si>
    <t>Pequeños proyectos de inversión en zonas de Trnasición Justa</t>
  </si>
  <si>
    <t>Empresariales</t>
  </si>
  <si>
    <t>Instalación de una planta para el secado de astilla y residuos procedentes de aserradero para su reutilización como materia prima</t>
  </si>
  <si>
    <t>ESTRUCTURAS MECANIZADAS DE ASTURIAS, S.L.</t>
  </si>
  <si>
    <t>Estructuras mecanizadas de Asturias es una empresa en la Industria de la madera dedicada a las estructuras mecanizadas de madera, planchas, tablones, tablas, listones, traviesas y vigas.
Este proyecto consiste en la instalación de una planta para el secado de astilla y residuos procedentes de aserradero para su reutilización como materia prima.</t>
  </si>
  <si>
    <t>Planta para el secado de astilla</t>
  </si>
  <si>
    <t>2023-P177</t>
  </si>
  <si>
    <t>Adquisición de maquinaria para incrementar la actividad de recogida de biomasa en el monte y su suministro para el empleo en calderas de biomasa</t>
  </si>
  <si>
    <t>GESTION DE LA BIOMASA FORESTAL, S.L.</t>
  </si>
  <si>
    <t>Gestión de la Biomasa Forestal es una empresa asturiana dedicada a la fabrica de pellets a base de madera natural de pino sin corteza ni aditivos. Su compromiso es entregar pellets de la mejor calidad en el menor tiempo posible gracias a su flota de camiones.
Este proyecto connsiste en la adquisición de maquinaria para incrementar la actividad de recogida de biomasa en el monte y su suministro para el empleo en calderas de biomasa</t>
  </si>
  <si>
    <t>Aprovechamiento de biomasa en el monte</t>
  </si>
  <si>
    <t>2023-P133</t>
  </si>
  <si>
    <t>Adquisición de  maquinaria para labores de aprovechamiento de biomasa en monte</t>
  </si>
  <si>
    <t>PELLETS ASTURIAS S.L.</t>
  </si>
  <si>
    <t>Pellets Asturias nace de una iniciativa privada, hace algo más de una década, con el ánimo de cerrar el círculo de aprovechamiento y valorización integral de los subproductos madereros. La empresa inició su actividad en el año 2011, siendo una de las primeras empresas españolas dedicadas exclusivamente a la fabricación de pellets de madera. 
El proyecto actual consiste en la adquisición de  maquinaria para labores de aprovechamiento de biomasa en monte.</t>
  </si>
  <si>
    <t>Aprovechamiento maderero</t>
  </si>
  <si>
    <t>2023-P120</t>
  </si>
  <si>
    <t xml:space="preserve">Planta de valorización de los residuos de construcción </t>
  </si>
  <si>
    <t>33059</t>
  </si>
  <si>
    <t>Salas</t>
  </si>
  <si>
    <t>CALIZAS LA DORIGA S.L.</t>
  </si>
  <si>
    <t>Calizas Doriga es una emoresa dedicada a la extraccion, transformacion, trituracion y compra venta de aridos, fabricacion de asfaltos y hormigones, promocion de edificaciones, extraccion y trabajo mecanico en general y alquiler de maquinaria industrial. El proyecto consiste en la puesta en marcha de una nueva planta de valorización de los residuos de construcción .</t>
  </si>
  <si>
    <t>Nueva Planta de valorización</t>
  </si>
  <si>
    <t>2023-P074</t>
  </si>
  <si>
    <t>Mejora de las instalaciones de hotel y aparcamiento</t>
  </si>
  <si>
    <t>PATRICIA BARBI COSTA</t>
  </si>
  <si>
    <t>El alojamiento Casa Sueño es un albergue y hotel de tres estrellas de reciente construcción siguiendo los estándares passivhouse. El proyecto consiste en la mejora de las instalaciones de hotel y aparcamiento.</t>
  </si>
  <si>
    <t>Mejora del Hotel Casa Sueño</t>
  </si>
  <si>
    <t>2023-P069</t>
  </si>
  <si>
    <t>Adquisición de maquinaria para taller de coches.</t>
  </si>
  <si>
    <t>RAÚL FONTANIELLA FERNÁNDEZ</t>
  </si>
  <si>
    <t>Talleres Fontaniella  es una empresa dedicada a la reparación de todo tipo de vehículos terrestres y maquinaria en general, compra, venta, importación o exportación de los citados vehículos y maquinaria, bien nuevos o usados, así como el comercio de accesorios y piezas de recambio de todo tipo de vehículos y maquinaria. 
El proyecto subvencionado es la adquiición de nueva maquinaria para el taller.</t>
  </si>
  <si>
    <t>2023-P053</t>
  </si>
  <si>
    <t>Acondicionamiento de instalaciones para mejorar la competitividad</t>
  </si>
  <si>
    <t>TALLERES J.A.LLANES, S.L.U</t>
  </si>
  <si>
    <t>Talleres J.A. Llanes es una empresa dedicada a la reparación vehículos automóviles, bicicletas y otros vehículos. 
El proyecto consiste en acondicionar las instalaciones para mejorar la competitividad.</t>
  </si>
  <si>
    <t>Acondicionamiento de Taller</t>
  </si>
  <si>
    <t>2023-P042</t>
  </si>
  <si>
    <t>Instalación de un almacén de venta mayorista de suministros agrícolas</t>
  </si>
  <si>
    <t>CAMPOASTUR PRODUCTOS Y SERVICIOS, S. COOP. ASTURIANA</t>
  </si>
  <si>
    <t>La cooperativa Campoastur es una cooperativa agropecuaria asturiana, que nace de un proceso de fusión de cooperativas  y reúne a  productores agrícolas y ganaderos, socios colaboradores o de consumo... Las actividades principales de Campoastur son la fabricación de piensos convencionales y ecológicos,  el aprovisionamiento de suministros a la ganadería y la agricultura, la prestación de servicios a las explotaciones agropecuarias, la comercialización de producciones de los socios, el desarrollo de tiendas agrícolas para el medio rural, las tiendas de consumo y la comercialización de carburantes. 
Este proyecto consiste en la instalación de un almacén de venta mayorista de suministros agrícolas.</t>
  </si>
  <si>
    <t>Adquisición almacénes de venta mayorista</t>
  </si>
  <si>
    <t>2023-P026</t>
  </si>
  <si>
    <t>EQUIPO NEUMATICO PARA DESCARGA DE COMBUSTIBLE (ASTILLA) EN CALDERAS DE BIOMASA</t>
  </si>
  <si>
    <t>TINASTUR SCL ASTUR</t>
  </si>
  <si>
    <t>https://www.tinastur.com/</t>
  </si>
  <si>
    <t>Equipo neumatico para descarga de combustible (astilla) en calderas de biomasa</t>
  </si>
  <si>
    <t>2023-M055</t>
  </si>
  <si>
    <t>Fondos Nacionales</t>
  </si>
  <si>
    <t>MINIMIS ZM</t>
  </si>
  <si>
    <t>Pequeños proyectos de inversión en zonas Mineras</t>
  </si>
  <si>
    <t>Instalación de una línea para la separación y recuperación de las fases lipídicas de residuos generados a lo largo de la cadena agroalimentaria</t>
  </si>
  <si>
    <t>ENERGY GREEN GAS TINEO SL</t>
  </si>
  <si>
    <t>El objetivo principal de este proyecto es implementar una solución para la separación y recuperación de las fases lipídicas de residuos generados a lo largo de la cadena agroalimentaria, con la intención de que puedan orientar a estas fracciones a reintroducirse de nuevo en la cadena productiva. Se planea la instalación de una nueva línea, en simbiosis con la planta de biogás existente, capaz de recibir y gestionar residuos agroalimentarios y obtener un producto final con alto contenido en aceite.</t>
  </si>
  <si>
    <t>Instalación de una línea para la separación y recuperación de las fases lipídicas de residuos generados a lo largo de la cadena agroalimentaria.</t>
  </si>
  <si>
    <t>2023-G097</t>
  </si>
  <si>
    <t>EMPRESARIALES TJ</t>
  </si>
  <si>
    <t>Proyectos Empresariales en zonas de Transición Justa</t>
  </si>
  <si>
    <t>Nueva planta industrial de fabricación de queso mozzarella</t>
  </si>
  <si>
    <t>A-WARE ASTURIAS, S.L.U.</t>
  </si>
  <si>
    <t>https://www.royal-aware.com/es/royal-a-ware-adquiere-la-empresa-l%C3%A1ctea-espa%C3%B1ola-danone.html</t>
  </si>
  <si>
    <t>Este proyecto tiene cómo principal objetivo  crear la  primera planta industrial del grupo Royal A-Ware en España, destinada a la elaboración industrializada de queso mozzarella. La empresa se centrará en la fabricación de quesos, concretamente del tipo mozzarella fresca, estimando una producción de 20.400 toneladas de mozzarella al año. Asimismo, llevará a cabo la valorización de dos subproductos lácteos obtenidos de la fabricación del queso, como son la nata pasteurizada y el suero de leche. 
A-Ware Asturias se establecerá en la antigua planta de Danone en Salas. Gracias a este proyecto de inversión la empresa podrá dotar sus nuevas instalaciones de gran parte del equipamiento técnico necesario para
desarrollar la citada actividad productiva.</t>
  </si>
  <si>
    <t>Nueva planta industrial de fabricación de queso mozzarella.</t>
  </si>
  <si>
    <t>2023-G071</t>
  </si>
  <si>
    <t>Instalación de una planta de fabricación de briquetas de aditivos para uso industrial</t>
  </si>
  <si>
    <t>COMBUSTIBLES ASTURIANA Y LEONESA SLU</t>
  </si>
  <si>
    <t>El objetivo de COMBAYL es la instalación de una planta de fabricación de“briquetas de aditivos para uso industrial”, concretamente se prevé inicialmente la fabricación de briquetas para uso siderúrgico y posteriormente se ampliará a la fabricación de briquetas para otros procesos industriales, paralelamente al desarrollo del proceso de investigación asociado. 
Para la nueva planta se aprovecharán instalaciones de COMBAYL en Cerredo (Degaña), concretamente dos naves de superficie total aproximada 2.800m2 en el caso de la nave de fabricación y 600 m 2 en el caso de la nave destinada al almacenamiento de producto final (briquetas). En estas naves se deberán realizar obras de adecuación para la nueva actividad de acuerdo a las áreas que se indicarán a continuación.
El alcance del proyecto para el que se solicita subvención, incluye desde la ingeniería básica, estudios y proyectos para solicitud de licencias, hasta el diseño y fabricación de los equipos de la nueva instalación.</t>
  </si>
  <si>
    <t>Instalación para la fabricación de briquetas.</t>
  </si>
  <si>
    <t>2023-G062</t>
  </si>
  <si>
    <t>Instalación de una planta de valorización de subproductos y escombros de la construcción</t>
  </si>
  <si>
    <t>BLUE SOLVING, S.L.</t>
  </si>
  <si>
    <t>El proyecto consiste en una planta de valorización de subproductos de la minería para recuperación de materiales estratégicos presentes en los mismos. Se podrían tratar también subproductos de algunos procesos industriales en que se justifique la presencia de materiales estratégicos en proporciones de interés. Los subproductos de la minería a tratar NO PROCEDEN de la minería del carbón.
La planta a construir tendrá una capacidad de tratamiento de 50.000 Tn/año de subproducto mineral y se espera un rendimiento en el proceso del 50%, entendiendo el rendimiento en cuanto al porcentaje de material estratégico a recuperar respecto a la cantidad total presente del mismo.
Para la nueva planta a instalar por Blue Solving se aprovecharán edificaciones de las antiguas instalaciones de Minas de Cerredo. El alcance del proyecto para el que se solicita subvención, incluye desde la ingeniería de
detalle para fabricación e instalación de la planta, hasta la instalación y puesta en marcha de la misma.</t>
  </si>
  <si>
    <t>Planta para preparación de minerales estratégicos y materias primas.</t>
  </si>
  <si>
    <t>2023-G059</t>
  </si>
  <si>
    <t>REUTILIZACION Y REHABILITACION DE ED. Y ESPACIOS VINCULADOS A LA CENTRAL
DEL NARCEA Y SU POBLADO. Espacio coworking para la promoción del emprendimiento y el desarrollo económico asociado a la revitalización poblacional y territorial y como sede de  actividades sociales</t>
  </si>
  <si>
    <t>Es objeto del presente proyecto la recuperación del poblado de la central térmica del Narcea en soto de la barca, para el establecimiento de un modelo cohousing como instrumento transversal generador de nuevos usos sociales, culturales, patrimoniales y turísticos en un marco de innovación digital, promoción del emprendimiento y desarrollo económico asociado a la revitalización poblacional y territorial; siendo por tanto el citado poblado el ámbito objeto de actuación.                                                                                                                                                                                                                                                                                                                                                                                                                   Actuaciones edificación: Bloques viviendas tipo a, Bloques viviendas tipo b, Bloque vestuarios y piscina, Club social  y pista tenis, residencia, botiquín                                                                                                                                                                                                                                                                                                                                                                                                                                                       Actuaciones urbanización: Movimiento de tierras, Afirmado y pavimentación, Red de saneamiento y drenaje, Red de abastecimiento, Red de alumbrado, Señalización, balizamiento y defensas , Varios, Seguridad y salud y Gestión de residuos</t>
  </si>
  <si>
    <t xml:space="preserve">Reutilizacion y rehabilitacion de ed. y espacios vinculados a la central
del narcea y su poblado. </t>
  </si>
  <si>
    <t>2022-C149</t>
  </si>
  <si>
    <t>INFRA-PRTR</t>
  </si>
  <si>
    <t>REHABILITACION DE ESCUELA DE ADULTOS PARA IMPULSAR LA PRESTACION DE SERVICIOS PUBLICOS. Espacio multiusos con escuela de adultos y de música, sede de asociaciones de mujeres y  hogar del jubilado</t>
  </si>
  <si>
    <t xml:space="preserve">El proyecto planteado consiste en la rehabilitación del edificio en el que actualmente se ubica, en su segunda planta y bajocubierta, la escuela de adultos que da servicio a todo el suroccidente asturiano, así como espacios en su primera planta para asociaciones de mujeres y la escuela de música, y el hogar del jubilado y pensionista en la planta baja. Con la rehabilitación propuesta se dotará al edificio de un espacio adecuado para garantizar la continuidad a largo plazo de la escuela de adultos, así como la dotación de espacios más adecuados y equipados para el resto de entidades que utilizan el edificio.                                                                                                                                                         
En edificio motivo del presente proyecto presenta diferentes problemas derivados del paso del tiempo que han deteriorado los materiales y de sistemas constructivos antiguos que no se adaptan ni dan las prestaciones exigibles por las normativas actuales. Las principales deficiencias se central en las carpinterías exteriores, tanto las galerías como las puertas balconeras y las ventanas, las cuales son de madera ya muy deteriorada en algunos puntos y los vidrios que en su mayoría son simples, por lo que no presentan ningún tipo de aislamiento ni protección solar. El proyecto contempla la reforma de las zonas y materiales deteriorados y la implementación de sistemas autónomos de producción de energía mediante paneles fotovoltaicos y la instalación de sistemas de acceso a las diferentes plantas con sillas de ruedas.                                                                                                                                                              Actuaciones: Demoliciones, Albañileria, Acabados,  Carpinteria exterior, Aparatos elevadores e Instalaciones (iluminación, calefacción, fontanería, fotovoltaica)                                                                                                                               </t>
  </si>
  <si>
    <t xml:space="preserve">Rehabilitacion de escuela de adultos para impulsar la prestacion de servicios publicos. </t>
  </si>
  <si>
    <t>2022-C118</t>
  </si>
  <si>
    <t xml:space="preserve">REHABILITACIÓN DE EDIFICIO PARA CENTRO DE ASOCIACIONES, PYMES Y ESCUELA INFANTIL 0-3. Espacio multiusos para escuela infantil, centro para asociaciones y nueva zona de coworking para la cohesión y la innovación social  </t>
  </si>
  <si>
    <t>AYUNTAMIENTO DE SALAS</t>
  </si>
  <si>
    <t>El proyecto planteado consiste en la rehabilitación de un edificio en el que actualmente se ubica la escuela infantil 0-3 años en su primera planta, y varias asociaciones sociales del municipio en la planta baja, si bien ésta cuenta con un amplio espacio sin uso. Con la rehabilitación propuesta se dotará al edificio de un espacio adecuado para acoger a un mayor número de asociaciones sociales, además de continuar prestando el servicio de escuela infantil 0-3 y dedicar espacios para el impulso de la actividad de emprendedores y pymes de Salas.                                                                                                                                                                                                                                                                                         La ejecución de las obras seguirá el proceso que se detalla a continuación:
 - adopción de las primeras medidas de seguridad: caseta de obra y conexión con los servicios de obra, agua y electricidad, con su correspondiente cuadro de protección. 
- Comprobación y desconexión del edificio de las instalaciones, de las partes a rehabilitar, de electricidad, abastecimiento de agua, saneamiento, gas y telecomunicaciones en el caso de que no lo estén. Así como la desconexión de las instalaciones públicas cercanas a la parcela que se puedan ver afectadas, como el alumbrado público y similar. 
- Delimitar con vallado y malla de ocultación el edificio afectado por las obras de derribo.
- Desmontaje y retirada selectiva de enseres, instalaciones, carpinterías, vidrios, sanitarios, plásticos, y cuantos materiales y objetos tengan que separarse de forma selectiva en contenedores independientes, para evitar su contaminación con los RCD’s valorizables y realizar su correspondiente gestión de residuos previo al traslado a vertedero o gestor autorizado. 
- Derribo y levantado solados y pavimentos interiores. 
- Disposición de saneamiento, con arquetas, conductos y pasos, previo replanteo de ubicación. 
- La siguiente operación será la disposición del aislamiento e impermeabilización de los faldones de cubierta, con panel sandwich de 6 cm de espesor. 
- Se continua con la incorporación de 10 cm de aislamiento en las fachadas.
- Colocación de p.p. de carpintería exterior con rotura térmica, con sus correspondientes persianas, cajones y mecanismos ó contraventanas del mismo material. 
- Instalación de un sistema de un sistema de generación de energía fotovoltaica. 
- Sustitución del sistema de generación térmica de gasóleo por un sistema térmico formado por bombas de calor aerotérmicas, para calefacción y para ACS.</t>
  </si>
  <si>
    <t xml:space="preserve">Rehabilitación de edificio para centro de asociaciones, pymes y escuela infantil 0-3. </t>
  </si>
  <si>
    <t>2022-C035</t>
  </si>
  <si>
    <t>Otros sectores</t>
  </si>
  <si>
    <t>Instalacion de un secadero de madera con una caldera de biomasa como fuente de calor elegida.</t>
  </si>
  <si>
    <t xml:space="preserve"> https://www.tinastur.com/</t>
  </si>
  <si>
    <t xml:space="preserve">El proyecto consistió en la instalación de un secadero de madera que utiliza una caldera de biomasa como fuente de calor alimentada con los excedentes de la propia carpintería. Incluyó la adquisición de los terrenos anexos a la fábrica, la obra civil necesaria, la adquisción de la caldera y las conexiones requeridas para su correcto funcionamiento, así como diversas instalaciones auxiliares complementarias a la actividad proyectada. La finalidad del proyecto era complementar las instalaciones de clasificado, tratamiento de la madera y carpintería con una planta de secado con el fin de mejorar la logística de aprovisionamiento de materias primas, disminuir los costes de fabricación y optimizar la relación coste-calidad del producto final. </t>
  </si>
  <si>
    <t>Instalación de una planta para el secado y tratamiento térmico de la madera con fuente de calor renovable.</t>
  </si>
  <si>
    <t>2021-M132</t>
  </si>
  <si>
    <t>Turismo</t>
  </si>
  <si>
    <t>Creación de albergue/pensión en Salas situado en pleno camino primitivo de Santiago.</t>
  </si>
  <si>
    <t>MANUEL ANGEL MEDINA RODRIGUEZ</t>
  </si>
  <si>
    <t>El proyecto consisitó en realizar obras y reformar de manera integral un edificio de más 100 años de antigüedad  a albergue del peregrino.  Se trata de un edificio de tres plantas a 100 m del Camino de Santiago Primitivo. deLas 
El edificio, de más de consta de tres plantas. En la planta baja se ubica el bar-cafetería, mientras que las plantas 2 y 3 albergan las habitaciones para 2-6 personas con cuarto de baño incluido.Las  inversiones incluyeron la instalación de mobiliario, menaje y maquinaria.</t>
  </si>
  <si>
    <t>Nueva creación de alojamiento turístico (albergue/pensión) especializado en Camino de Santiago, situado en Plaza Veiga del Rey, s/n, en Salas.</t>
  </si>
  <si>
    <t>2021-M054</t>
  </si>
  <si>
    <t>Revocación</t>
  </si>
  <si>
    <t>Adquisición de equipos y aplicaciones informáticas que nos permitan hacer un seguimiento de la producción digitalizado y que permita alcanzar unos estandares de control de calidad e  implantación de un centro de producción adaptado a nuestras necesidades</t>
  </si>
  <si>
    <t>RIESTRA SITE ENGENEERING S.L.</t>
  </si>
  <si>
    <t>2021-M047</t>
  </si>
  <si>
    <t xml:space="preserve">Transformación de caserío en casa turismo rural </t>
  </si>
  <si>
    <t>Delia Rellan Villamañe</t>
  </si>
  <si>
    <t>2018</t>
  </si>
  <si>
    <t>2018-M125</t>
  </si>
  <si>
    <t>Mejora de la empleabilidad (desarrollo económico alternativo)</t>
  </si>
  <si>
    <t>Industria manufacturera</t>
  </si>
  <si>
    <t>Equipamiento área de ensayos de prototipos de vehiculos</t>
  </si>
  <si>
    <t>JP Industrias Mecánicas S.L.</t>
  </si>
  <si>
    <t>2018-M093</t>
  </si>
  <si>
    <t>Ampliación de las actividades de la empresa con la construcción de una nave destinada el mantenimiento de maquinaria agrícola, turismos y furgoneta.</t>
  </si>
  <si>
    <t>Ampliación de las actividades de la empresa.</t>
  </si>
  <si>
    <t>2018-M037</t>
  </si>
  <si>
    <t>Contratos indefinidos y uno para nayores de 45 años</t>
  </si>
  <si>
    <t>Otros Servicios</t>
  </si>
  <si>
    <t>Ampliación de taller electromecánico de automoviles y compras de maquinaría</t>
  </si>
  <si>
    <t>Fernando García Gómez</t>
  </si>
  <si>
    <t xml:space="preserve">El objetivo de este proyecto fue el traslado del taller a una nave industrial propia, con el fin de ampliar la actividad y adaptarse a las nuevas tecnologías de motores eléctricos no contaminantes. Para ello, se requiería una ampliación del espacio, la adquisición de nuevos equipos tecnológicos y la creación de empleo. </t>
  </si>
  <si>
    <t>2018-M001</t>
  </si>
  <si>
    <t>11820844V</t>
  </si>
  <si>
    <t>11439632F</t>
  </si>
  <si>
    <t>11071689H</t>
  </si>
  <si>
    <t>11071382X</t>
  </si>
  <si>
    <t>10860999P</t>
  </si>
  <si>
    <t>10203632G</t>
  </si>
  <si>
    <t>10089206A</t>
  </si>
  <si>
    <t>10088803Z</t>
  </si>
  <si>
    <t>10088791W</t>
  </si>
  <si>
    <t>10087945F</t>
  </si>
  <si>
    <t>10087632Q</t>
  </si>
  <si>
    <t>10086486C</t>
  </si>
  <si>
    <t>10085763X</t>
  </si>
  <si>
    <t>10085463D</t>
  </si>
  <si>
    <t>10085378Q</t>
  </si>
  <si>
    <t>10085185F</t>
  </si>
  <si>
    <t>10085165X</t>
  </si>
  <si>
    <t>10084558R</t>
  </si>
  <si>
    <t>10084111Z</t>
  </si>
  <si>
    <t>10084043S</t>
  </si>
  <si>
    <t>10081647B</t>
  </si>
  <si>
    <t>10080826H</t>
  </si>
  <si>
    <t>10080364Q</t>
  </si>
  <si>
    <t>10077900J</t>
  </si>
  <si>
    <t>10076663H</t>
  </si>
  <si>
    <t>10075640F</t>
  </si>
  <si>
    <t>10075164Z</t>
  </si>
  <si>
    <t>10074515D</t>
  </si>
  <si>
    <t>10058168S</t>
  </si>
  <si>
    <t>09813690G</t>
  </si>
  <si>
    <t>09813288Q</t>
  </si>
  <si>
    <t>09812839G</t>
  </si>
  <si>
    <t>09812777B</t>
  </si>
  <si>
    <t>09812665Z</t>
  </si>
  <si>
    <t>09805506P</t>
  </si>
  <si>
    <t>09798959Q</t>
  </si>
  <si>
    <t>09797568M</t>
  </si>
  <si>
    <t>09796463G</t>
  </si>
  <si>
    <t>09789883W</t>
  </si>
  <si>
    <t>09788678Q</t>
  </si>
  <si>
    <t>09777872C</t>
  </si>
  <si>
    <t>09770700R</t>
  </si>
  <si>
    <t>09448465L</t>
  </si>
  <si>
    <t>09447568L</t>
  </si>
  <si>
    <t>09443687W</t>
  </si>
  <si>
    <t>09443373X</t>
  </si>
  <si>
    <t>09443247E</t>
  </si>
  <si>
    <t>09443197H</t>
  </si>
  <si>
    <t>09443065R</t>
  </si>
  <si>
    <t>09443063E</t>
  </si>
  <si>
    <t>09443035V</t>
  </si>
  <si>
    <t>09443034Q</t>
  </si>
  <si>
    <t>09442767W</t>
  </si>
  <si>
    <t>09442669L</t>
  </si>
  <si>
    <t>09442657F</t>
  </si>
  <si>
    <t>09442399W</t>
  </si>
  <si>
    <t>09442370L</t>
  </si>
  <si>
    <t>09442173Y</t>
  </si>
  <si>
    <t>09442071L</t>
  </si>
  <si>
    <t>09441905Z</t>
  </si>
  <si>
    <t>09441436M</t>
  </si>
  <si>
    <t>09441333V</t>
  </si>
  <si>
    <t>09439953V</t>
  </si>
  <si>
    <t>09439248W</t>
  </si>
  <si>
    <t>09438101M</t>
  </si>
  <si>
    <t>09436713C</t>
  </si>
  <si>
    <t>09436712L</t>
  </si>
  <si>
    <t>09434714E</t>
  </si>
  <si>
    <t>09434713K</t>
  </si>
  <si>
    <t>09434711L</t>
  </si>
  <si>
    <t>09434659J</t>
  </si>
  <si>
    <t>09434445Y</t>
  </si>
  <si>
    <t>09434003R</t>
  </si>
  <si>
    <t>09433292A</t>
  </si>
  <si>
    <t>09433262L</t>
  </si>
  <si>
    <t>09431561C</t>
  </si>
  <si>
    <t>09430917C</t>
  </si>
  <si>
    <t>09430846H</t>
  </si>
  <si>
    <t>09429206B</t>
  </si>
  <si>
    <t>09427824D</t>
  </si>
  <si>
    <t>09426641E</t>
  </si>
  <si>
    <t>09425740H</t>
  </si>
  <si>
    <t>09425132P</t>
  </si>
  <si>
    <t>09424817S</t>
  </si>
  <si>
    <t>09420675J</t>
  </si>
  <si>
    <t>09419419E</t>
  </si>
  <si>
    <t>09416520K</t>
  </si>
  <si>
    <t>09413163E</t>
  </si>
  <si>
    <t>09412462B</t>
  </si>
  <si>
    <t>09410684G</t>
  </si>
  <si>
    <t>09408101C</t>
  </si>
  <si>
    <t>09404955W</t>
  </si>
  <si>
    <t>09402164V</t>
  </si>
  <si>
    <t>09396628R</t>
  </si>
  <si>
    <t>09396169W</t>
  </si>
  <si>
    <t>09363234A</t>
  </si>
  <si>
    <t>07877534B</t>
  </si>
  <si>
    <t>Ampliación de vigencia + incremento de importe</t>
  </si>
  <si>
    <t>construcción e Ingeniería civil</t>
  </si>
  <si>
    <t>Espacio de relación empresarial y comercial "Talleres del Conde" Fase II</t>
  </si>
  <si>
    <t>Nalón</t>
  </si>
  <si>
    <t>33031</t>
  </si>
  <si>
    <t>Langreo</t>
  </si>
  <si>
    <t>Ayuntamiento de Langreo</t>
  </si>
  <si>
    <t>AST-2021-0001.jpg</t>
  </si>
  <si>
    <t xml:space="preserve">Este proyecto tiene por objeto:
— La recuperación de una parcela propiedad municipal de 29.411 m², realizando su urbanización para unirla al espacio verde del entorno del río.
— La rehabilitación de la estructura existente, habilitando una nueva cubierta.
— La construcción de un pabellón bajo la cubierta histórica, para uso empresarial y de relación comercial para exposiciones, con una superficie construida total de 3.040,74                                                                                                                                          
 La obra supondrá la construcción de unas instalaciones nuevas sobre las estructuras metálicas de las antiguas naves de calderería de los Talleres del Conde. Se llevarán a cabo obras encaminadas a finalizar la red de espacios públicos y desarrollar las infraestructuras que se ubicarán en una parcela municipal, así como el completado de la urbanización y el ajardinamiento del resto de espacios públicos de la parcela del futuro recinto ferial.   El futuro recinto ferial de Langreo tendrá 7.711 metros cuadrados, con 2.827 (poco más de un tercio) en un pabellón cerrado y el resto cubiertos pero abiertos por los lados. La idea es que el pabellón se podrá sectorizar en tres espacios más pequeños, cuya superficie oscila entre 764 y 820 metros cuadrados. A ellos se sumarán otras dependencias como oficinas. Bajo la cubierta histórica de Talleres del Conde se construirá un pabellón, que se podrá dividir, para acoger diversos eventos y funcionar como «un espacio de relación empresarial y comercial».
</t>
  </si>
  <si>
    <t>AST-2021-0001</t>
  </si>
  <si>
    <t>Ampliación de vigencia + Ejecución IDEPA Ficha pendiente. e estima una creación de 180 empleos asociado a las empresas que se puedan instalar en el mismo</t>
  </si>
  <si>
    <t>Creación vial interior, realización de infraestructuras de redes de saneamiento, abastecimiento, electricidad, telefonía, alumbrado y gas. Inserción con la carretera AS-388</t>
  </si>
  <si>
    <t>33060</t>
  </si>
  <si>
    <t>San Martín del Rey Aurelio</t>
  </si>
  <si>
    <t>Ayuntamiento de San Martín del Rey Aurelio</t>
  </si>
  <si>
    <t>Una nueva vida para el pozo Venturo | El Comercio: Diario de Asturias</t>
  </si>
  <si>
    <t xml:space="preserve"> Que el proyecto consiste en la creación del vial interior para el óptimo aprovechamiento urbanístico de las parcelas, así como la realización de las infraestructuras de las redes de saneamiento, abastecimiento, electricidad, telefonía, alumbrado y gas de la zona. También el acondicionamiento de la intersección con la carretera AS-388. Estas obras se corresponden con la Fase 1 de las obras de urbanización del polígono.</t>
  </si>
  <si>
    <t>Polígono Industrial Venturo I (SMRA)</t>
  </si>
  <si>
    <t>AST-2020-0062</t>
  </si>
  <si>
    <t>Mejora de la empleabilidad Mejora de la empleabilidad / Empleo en construcción 9 trabajadores y en casos puntuales alcanzan los 20.</t>
  </si>
  <si>
    <t xml:space="preserve">Urbanización de la parcela para facilitar el acceso, favorecer la creación de espacios verdes y soluciones técnicas sensibles con el medio ambientem, labores de equipamiento, señalización y tratamiento vegetal específico </t>
  </si>
  <si>
    <t>AST-2020-0060.jpg</t>
  </si>
  <si>
    <t xml:space="preserve">https://www.lne.es/cuencas/2023/04/28/aparcamiento-talleres-conde-abrira-construirse-86586188.html               El acceso bajo las vías de Renfe a Talleres del Conde comienza a coger forma | El Comercio: Diario de Asturias                                                         https://www.lne.es/cuencas/2024/08/19/obra-culminar-ferial-langreo-comenzara-107120410.html                                  </t>
  </si>
  <si>
    <t>Acceso al espacio de relación empresarial y comercial "Talleres del Conde" Fase I</t>
  </si>
  <si>
    <t>AST-2020-0060</t>
  </si>
  <si>
    <t>Ampliación de vigencia Ficha pendiente/  Empleo en construcción Todavía no lo licitaron y no tienen ni idea de lo que pueden generar de empleo</t>
  </si>
  <si>
    <t>Actuaciones del ciclo del agua (Bimenes)</t>
  </si>
  <si>
    <t>33006</t>
  </si>
  <si>
    <t>Bimenes</t>
  </si>
  <si>
    <t>Ayuntamiento de BIMENES</t>
  </si>
  <si>
    <t>AST-2020-0047.jpg</t>
  </si>
  <si>
    <t>https://sede.asturias.es/ast/bopa-disposiciones?p_p_id=pa_sede_bopa_web_portlet_SedeBopaDispositionWeb&amp;p_p_lifecycle=0&amp;p_p_state=normal&amp;p_p_mode=view&amp;_pa_sede_bopa_web_portlet_SedeBopaDispositionWeb_mvcRenderCommandName=%2Fdisposition%2Fdetail&amp;p_r_p_dispositionText=actuaciones+del+ciclo+del+agua%E2%80%9D.&amp;p_r_p_dispositionReference=2022-02782&amp;p_r_p_dispositionDate=26%2F04%2F2022&amp;_pa_sede_bopa_web_portlet_SedeBopaDispositionWeb_isTextDateSearch=false</t>
  </si>
  <si>
    <t xml:space="preserve">Actuaciones del ciclo del agua (Bimenes). Garantizar el suministro de agua potable a los núcleos de población cuyo abastecimiento depende de la Empresa Municipal de Aguas de Xixón. La obra consiste en la captación de aguas del depósito de Rozadas abastecido por los manantiales y por Cadasa. Se pretende utilizar la actual red que conduce las aguas del canal de la EMA hasta Fontoria, haciendo circular el agua en sentido contrario al actual y enlazar el nuevo depósito a dicha red. Las obras a realizar  son: La construcción de una caseta de bombeo-depósito, conexión de depósito-red de distribución actual, camino de acceso al depósito, y seguridad y salud y otros. </t>
  </si>
  <si>
    <t>AST-2020-0047</t>
  </si>
  <si>
    <t>Ampliación de vigencia Las infraestructuras turísticas comprendidas en el proyecto estimamos que favorecerán el atractivo turistico del Parque Natural lo que atraerá visitantes, que harán que se desarrolle un solido sector servicios, con nuevos establecimientos hoteleros y hosteleros y pequeño comercio, que generaran puestos de trabajo.</t>
  </si>
  <si>
    <t>Agricultura, ganadería</t>
  </si>
  <si>
    <t>Desarrollo de la ganadería, la actividad selvícola y el turismo a través de la recuperación, mejora y puesta en valor de zonas degradadas. Para acometer este proyecto se aprovecharán las ventajas del territorio y los usos tradicionales. Con este fin se proponen varias líneas de actuación como convertir las zonas degradadas en nuevos pastizales y mantenimiento de los existentes, construcción de infraestructuras en el monte que permitan su explotación, realización de tratamientos selvícolas, así como la crear equipamientos públicos y turísticos.</t>
  </si>
  <si>
    <t>33067</t>
  </si>
  <si>
    <t>Sobrescobio</t>
  </si>
  <si>
    <t>Ayuntamiento de SOBRESCOBIO</t>
  </si>
  <si>
    <t>AST-2020-0046.jpg</t>
  </si>
  <si>
    <t>https://www.elcomercio.es/asturias/cuencas/sobrescobio-contara-camping-20220203000628-ntvo.html</t>
  </si>
  <si>
    <t>El objetivo de este proyecto era el desarrollo de la ganadería, la actividad selvícola y el turismo a través de la recuperación, mejora y puesta en valor de zonas degradadas. Para ello se aprovecharon las ventajas del territorio y los usos tradicionales. Con este fin se propusieron varias líneas de actuación:
•Actividad ganadera. Se llevaron a cabo numerosas mejoras en los usos ganaderos, convirtiendo las zonas degradadas en nuevos pastizales y manteniendo los ya existentes. Además, se realizaron actuaciones en abrevaderos y se construyeron infraestructuras en el monte para facilitar su explotación ganadera. Entre las acciones realizadas, se construyeron dos mangas ganaderas para facilitar las labores de las explotaciones, siete nuevos bebederos, y se repararon y limpiaron otros 19; además, se instalaron tres nuevos pasos canadienses en Campiellos, Prau Ríu y junto al punto limpio, se recuperaron 24 kilómetros de accesos a núcleos del concejo y se desbrozaron 55 hectáreas de pastizales.
•Actividad silvícola. Acondicionamiento de caminos, realización de tratamientos selvícolas y creación de espacios de investigación académica sobre los recursos naturales. Algunas de estas acciones consistieron en el acondicionamiento del cargadero de La Llacera, donde se explanaron 2.000 metros cuadrados; la mejora de la señalización e instalación de paneles informativos en la ruta de los Cabornos, el Camín del Caón y la Llobera del Caón; y la ejecución de tratamientos selvícolas en más de 80 hectáreas de monte.
•Activitad turística. Construcción de un camping en el entorno de Villamorey, que cuenta con capacidad para 54 plazas: 15 para tiendas de campaña y 39 para autocaravanas.  La instalación, que se ha ejecutado respetando las zonas verdes y el arbolado, cuenta con una recepción, una cafetería tienda y un edificio de servicios, mimetizados con el entorno gracias a un efecto de enterrado.</t>
  </si>
  <si>
    <t>Recuperación de zonas degradadas del municipio de Sobrescobio para su valoracion agroforestal</t>
  </si>
  <si>
    <t>AST-2020-0046</t>
  </si>
  <si>
    <t>Ampliación de vigencia + incremento de importe + IDEPA Ficha pendiente. se estima, además un total de 200 empleos, asociados a las empresas que se instalen en el mismo</t>
  </si>
  <si>
    <t>Ampliación del Centro de empresas TIC de El Entrego</t>
  </si>
  <si>
    <t>AST-2020-0045.jpg</t>
  </si>
  <si>
    <t>https://sede.asturias.es/ast/bopa-disposiciones?p_p_id=pa_sede_bopa_web_portlet_SedeBopaDispositionWeb&amp;p_p_lifecycle=0&amp;p_p_state=normal&amp;p_p_mode=view&amp;_pa_sede_bopa_web_portlet_SedeBopaDispositionWeb_mvcRenderCommandName=%2Fdisposition%2Fdetail&amp;p_r_p_dispositionText=Ampliaci%C3%B3n+de+Centro+de+Empresas+TIC+de+El+Entrego&amp;p_r_p_dispositionReference=2022-00764&amp;p_r_p_dispositionDate=14%2F02%2F2022&amp;_pa_sede_bopa_web_portlet_SedeBopaDispositionWeb_isTextDateSearch=true</t>
  </si>
  <si>
    <t xml:space="preserve">El proyecto consiste en ampliar los espacios vinculados a las empresas del sector TIC ya localizadas en el entorno, como consecuencia del desarrollo de proyectos en nuevos campos de actualidad. El objetivo es potenciar el uso empresarial vinculado a las nuevas tecnologías, y para ello el Ayto. de San Martín del Rey Aurelio pretende impulsar el desarrollo de los espacios vacantes en el entorno del edificio TIC de El Entrego.                                                                        </t>
  </si>
  <si>
    <t>AST-2020-0045</t>
  </si>
  <si>
    <t>Eficiencia energética/Ahorro de energía Eficiencia energética/Ahorro de energía,  / Empleo en construcción: Desde la empresa que realizó la obra indican que no se contrató a nadie nuevo para el proyecto</t>
  </si>
  <si>
    <t xml:space="preserve">instalación de una nueva fachada superpuesta con un sistema SATE (Sistema de Aislamiento Térmico por el Exterior) en la totalidad de los inmuebles (8 bloques ubicados en una parcela de suave pendiente). </t>
  </si>
  <si>
    <t>AST-2020-0033.jpg</t>
  </si>
  <si>
    <t>https://www.youtube.com/watch?v=KHMOMYqrRDY</t>
  </si>
  <si>
    <t>El objetivo de este proyecto fue rehabilitar los edificios de un antigüo barrio obrero de San José de Lada.  El Barrio se organiza en ocho bloques de edificios de altura bajo más dos, que se construyeron alrededor del año 1955. Los edificios presentaban patologías principalmente debidas a la antigüedad de los mismos y a la falta de aislamiento, y por otra parte, las condiciones básicas de accesibilidad no se cumplían. Para hacer frente a estos problemas se desarrollaron actuaciones en el ámbito de la rehabilitación energética y de la mejora de la accesibilidad que actualizó las viviendas, mejoró la calidad del aire interior y permitió renovar el tejido residencial de la zona poniendo en valor el espacio urbano.                                                                                                                                                                                                                                                                                                                    
Entre las actuaciones realizadas ppara mejorar la eficiencia energética de los edificios se encuentran  la aplicación de un sistema de aislamiento térmico por el exterior en todas las fachadas y aleros, el cambio de cubiertas en chimenesa y canalones, el cambio de la carpintería exterior, un sistema de renovación de aire con recuperación de calor de alto rendimiento, la modificaciín de la instalación de agua caliente sanitaria mediante bombas de calor (sistema de bomba de calor reversible aire-agua) y el tratamiento en las viviendas de problemas de humedad por capilaridad y condensación con morteros aireantes e impermeabilizantes además del tratamiento con pinturas especiales al siloxano.
Para la mejora de la accesibilidad se realizaron una serie de rampas y pasarelas por los patios interiores, se intervino en los baños de las viviendas en la planta baja y se modificaron las ventanas que dan al patio trasero ampliando el hueco hasta el suelo hasta el suelo para el acceso desde las rampas. En las plantas superiores se hizo la misma operación, pensando en una posible futura intervención mediante ascensores ubicados en el patio.</t>
  </si>
  <si>
    <t>Mejora de la eficiencia energética del grupo de 258 viviendas del Principado de Asturias en Lada Langreo</t>
  </si>
  <si>
    <t>AST-2020-0033</t>
  </si>
  <si>
    <t xml:space="preserve"> Empleo en construcción: Lo ejecutó el Principado y no saben qué empleo se pudo generar</t>
  </si>
  <si>
    <t>consiste en la conexión de un ramal del saneamiento de San Julián de Bimenes al aliviadero de Bimenes, para conectar dicho saneamiento al colector interceptor existente, e incluye un cruce bajo carretera.</t>
  </si>
  <si>
    <t>AST-2020-0032.jpg</t>
  </si>
  <si>
    <t>https://sede.asturias.es/ast/bopa-disposiciones?p_p_id=pa_sede_bopa_web_portlet_SedeBopaDispositionWeb&amp;p_p_lifecycle=0&amp;_pa_sede_bopa_web_portlet_SedeBopaDispositionWeb_mvcRenderCommandName=%2Fdisposition%2Fdetail&amp;p_r_p_dispositionText=2022-02777&amp;p_r_p_dispositionReference=2022-02777&amp;p_r_p_dispositionDate=26%2F04%2F2022             Detalle noticia - Gobiernu del Principáu d'Asturies:https://www.asturias.es/ast/detalle-noticia/-/categories/0?p_r_p_categoryId=0&amp;_com_liferay_asset_categories_navigation_web_portlet_AssetCategoriesNavigationPortlet_articleId=2559806&amp;articleId=2559806&amp;title=Medio%20Ambiente%20adjudica%20por%2024.900%20euros%20la%20obra%20que%20completa%20la%20red%20de%20saneamiento%20de%20San%20Juli%C3%A1n%20de%20Bimenes&amp;redirect=https%3A%2F%2Fwww.asturias.es%2Fast%2Fnoticias%3Fp_p_id%3Dcom_liferay_asset_publisher_web_portlet_AssetPublisherPortlet_INSTANCE_weoff9hDOzhA%26p_p_lifecycle%3D0%26p_p_state%3Dnormal%26p_p_mode%3Dview</t>
  </si>
  <si>
    <t>El proyecto consistió en la incorporación a la red de saneamiento de diferentes vertidos de aguas residuales en el núcleo de San Julian de bimenes para su posterior tratamiento de depuración en la estación del concejo.                                                                           
Se conectaron dos colectores ubicados en los márgenes de la carretera AS-251, procedentes del  núcleo  de San Julián a un aliviadero existente. También se incorporaron a la red general un grupo de casas situadas en la zona sur de Sann Julián, que no disponían de servicio, a un colector general que llega al mismo aliviadero.  La incorporación de los vertidos domiciliarios a la red proyectada se efectuó por medio de acometidas a las viviendas. 
Los trabajos incluyeron la reposición del pavimento afectado en carreteras y aceras, así como de muros y praderías. Las obras se sitúan en el entorno del kilómetro 16 de la carretera AS-251</t>
  </si>
  <si>
    <t>Saneamiento y pavimentación de San Julián (Bimenes)</t>
  </si>
  <si>
    <t>AST-2020-0032</t>
  </si>
  <si>
    <t xml:space="preserve"> 9 trabajadores y en casos puntuales alcanzan los 20.</t>
  </si>
  <si>
    <t>Restaurar los suelos de Talleres del Conde. Para garantizar que las zonas excavadas no presenten riesgos para la salud humana, los viales se cubrirán con una capa de materiales compactados. En cuanto a los taludes, se utilizará un geocompuesto bentonítico totalmente impermeable</t>
  </si>
  <si>
    <t>https://sede.asturias.es/ast/bopa-disposiciones?p_p_id=pa_sede_bopa_web_portlet_SedeBopaDispositionWeb&amp;p_p_lifecycle=0&amp;_pa_sede_bopa_web_portlet_SedeBopaDispositionWeb_mvcRenderCommandName=%2Fdisposition%2Fdetail&amp;p_r_p_dispositionText=2022-02776&amp;p_r_p_dispositionReference=2022-02776&amp;p_r_p_dispositionDate=26%2F04%2F2022                       https://www.lne.es/cuencas/2022/04/23/segunda-fase-descontaminacion-talleres-conde-65287474.html</t>
  </si>
  <si>
    <t xml:space="preserve">La finalidad de la actuación es acondicionar los terrenos, en los que se desarrolló una intensa actividad metalúrgica durante los siglos XIX y XX, para la posterior rehabilitación de la infraestructura de Talleres Conde. Inicialmente, las obras consistieron en el desbroce y limpieza de una superficie aproximada de 500 metros cuadrados y una profundidad mínima de 25 centímetros, incluyendo la capa de tierra vegetal.
El proyecto también incluyó  la excavación de cerca de 515 metros cúbicos de tierras, la demolición y levantado de 300 metros cuadrados de pavimento de hormigón en masa y el relleno de zanjas con material de la excavación, así como la gestión y transporte de los residuos.                                                                                                                                                                                                                                                                                                                                                                                                                              Otras intervenciones se centraron en la retirada de suelos contaminados, generados por la ubicación de diferentes actividades siderúrgicas en la parcela, cómo un taller de calderería. Los resultados de los análisis realizados evidenciaban la presencia en los terrenos de metales pesados, sobre todo arsénico y plomo, entre otros compuestos orgánicos. En total se estima que se retiraron 400 m cúbicos de suelo.                                                                               </t>
  </si>
  <si>
    <t>Restauración de suelos contaminados Talleres del Conde (Langreo)</t>
  </si>
  <si>
    <t>AST-2020-0030</t>
  </si>
  <si>
    <t>Ampliación de vigencia + incremento de importe Eficiencia energética/Ahorro de energía</t>
  </si>
  <si>
    <t>Autosuficiencia energética en el entorno del Parque Natural de Redes (esperar la ficha de proyecto)</t>
  </si>
  <si>
    <t>33015</t>
  </si>
  <si>
    <t>Caso</t>
  </si>
  <si>
    <t>Ayuntamiento de CASO</t>
  </si>
  <si>
    <t>AST-2020-0022.jpg</t>
  </si>
  <si>
    <t>Autosuficiencia energética en el entorno del Parque Natural de Redes. El proyecto está enmarcado en una estrategia de uso de recursos energéticos locales, tratándose de un proyecto singular y replicable. Modelo cero emisiones  con utilización de recursos locales y generación de actividad económica y empleo y mejora de una zona existente con instalaciones deportivas y empresariales.                                                                                                                                                                             
Se trata de un proyecto de ahorro energético que incluiría el Centro de Interpretación, las viviendas sociales, la piscina y el albergue municipal.</t>
  </si>
  <si>
    <t>Mejora Polígono Solavega.</t>
  </si>
  <si>
    <t>AST-2020-0022</t>
  </si>
  <si>
    <t>F. Nacionales (75 % ITJ / 25% CCAA) + PRTR</t>
  </si>
  <si>
    <t xml:space="preserve"> Empleo en construcción Lo hizo el Principado. El ayuntamiento me da una estimación</t>
  </si>
  <si>
    <t xml:space="preserve">Obras para mejorar el saneamiento de aguas y ampliar las redes </t>
  </si>
  <si>
    <t>33049</t>
  </si>
  <si>
    <t>Piloña</t>
  </si>
  <si>
    <t>Ayuntamiento de Piloña</t>
  </si>
  <si>
    <t>AST-2020-0019.jpg</t>
  </si>
  <si>
    <t xml:space="preserve"> https://sede.asturias.es/ast/bopa-disposiciones?p_p_id=pa_sede_bopa_web_portlet_SedeBopaDispositionWeb&amp;p_p_lifecycle=0&amp;p_p_state=normal&amp;p_p_mode=view&amp;_pa_sede_bopa_web_portlet_SedeBopaDispositionWeb_mvcRenderCommandName=%2Fdisposition%2Fdetail&amp;p_r_p_dispositionText=La+Pi%C3%B1era&amp;p_r_p_dispositionReference=2022-02770&amp;p_r_p_dispositionDate=26%2F04%2F2022&amp;_pa_sede_bopa_web_portlet_SedeBopaDispositionWeb_isTextDateSearch=false</t>
  </si>
  <si>
    <t xml:space="preserve">El proyecto engloba 3 actuaciones:                                                                                                                                                                                                                                                                                                                                    
- Saneamiento de la Piñera (Piloña): Las obras previstas en La Piñera consistieron en la conexión de la red de saneamiento municipal existente al colector-interceptor Sevares-Arriondas.  Para ello, se ejecutaron un colector con tubería de PVC, de 841 metros. El colector recoge ocho puntos de vertido, que en su momento vertían al río Color.  Se realizaron trabajos de conexión de vertidos particulares existentes y 10 pozos de acometida. Así mismo, para poder  dar continuidad al saneamiento de la zona Oeste de la localidad, se contempla la realización de un pozo de bombeo que impulsará los vertidos mediante curce en el río Color.                                                                                                                                                                                                                                                      
- Saneamiento  de la zona del río Piloña (Infiesto): en infiesto existían 3 zonas de vertido al río Piloña, procedentes de varios bloques de edificios en las calles Martínez Agostil, Covadonga y Paseo del Sol.  Los trabajos en este núcleo consistierón en la conexión al colector general de los diferentes puntos de vertido. Con su recogida se completará la red de saneamiento de infiesto. Estos vertidos se tratarán en la depuradora de Ricao, en Arriondas.                                                                                                                                                                                                                                                                                                                                                                                  
 - Saneamiento de Valle: la actuación consiste en ejecutar el colector del valle desde el núcleo con el mismo nombre hasta su incorporación al interceptor en el tramo Sevares-Arriondas. Este colector tiene una longitud de 1.670 m. y precisa de 40 pozos de registro.                                                                                                                                                                                         (BOPA)                                                                                                                                                                                                                                                                
Estas actuaciones de saneamiento beneficiarán a 457 personas en Infiesto: 220 vecinos, un hostal y el Instituto; 128 habitantes en Valle y otros 109 en La Piñera                                                                                                                                                                                                                                                                                                                                                                                                                                                                                                                                                                                                                   </t>
  </si>
  <si>
    <t>Saneamiento de La Piñera y zona río Piloña en Infiesto</t>
  </si>
  <si>
    <t>AST-2020-0019</t>
  </si>
  <si>
    <t>Consiste en la realización de una sala de calderas con combustible biomasa y sistema de distribución de calefacción y ACS mediante un sistema de District-Heating</t>
  </si>
  <si>
    <t>33032</t>
  </si>
  <si>
    <t>Laviana</t>
  </si>
  <si>
    <t>Ayuntamiento de LAVIANA</t>
  </si>
  <si>
    <t>https://sede.asturias.es/ast/bopa-disposiciones?p_p_id=pa_sede_bopa_web_portlet_SedeBopaDispositionWeb&amp;p_p_lifecycle=0&amp;p_p_state=normal&amp;p_p_mode=view&amp;_pa_sede_bopa_web_portlet_SedeBopaDispositionWeb_mvcRenderCommandName=%2Fdisposition%2Fdetail&amp;p_r_p_dispositionText=Proyecto+para+optimizaci%C3%B3n+y+diversificaci%C3%B3n+energ%C3%A9tica+en+los+edificios+p%C3%BAblicos+de+Laviana&amp;p_r_p_dispositionReference=2022-01920&amp;p_r_p_dispositionDate=25%2F03%2F2022&amp;_pa_sede_bopa_web_portlet_SedeBopaDispositionWeb_isTextDateSearch=false</t>
  </si>
  <si>
    <t>El proyecto pretende crear una red de calor que ayude a reducir en un 50% el gasto energético, y económico, de cuatro edificios públicos: el polideportivo y las piscinas de Pola de Laviana y el colegio público Maximiliano Arboleya y su polideportivo, en Barredos. Consiste en la realización de una sala de calderas con combustible biomasa y sistema de distribución de calefacción y ACS mediante un sistema de District-Heating.  Con este sistema -que conlleva la instalación de un sistema de canalización- se va a proporcionar calefacción y agua caliente sanitaria (ACS) a cuatro equipamientos públicos del municipio.</t>
  </si>
  <si>
    <t>Proyecto para optimización y diversificación energética en los edificios públicos de Laviana</t>
  </si>
  <si>
    <t>AST-2020-0018</t>
  </si>
  <si>
    <t>Ampliación de vigencia Se creará empleo indirecto asociado al uso turístico</t>
  </si>
  <si>
    <t>Servicios. Turismo. Cultura. Ocios</t>
  </si>
  <si>
    <t>Consiste en dotar a este espacio de una serie de infraestructuras para el uso lúdico-deportivo que lo conviertan en un referente de ámbito regional en la práctica de los deportes multiaventuras, a la vez que se inicia una recuperación medioambiental, con la repoblación en masa mixta (50%-50%) de roble y abedul, con una densidad de plantación de 900 pies/ha. Además, se mejorarán las infraestructuras para el uso agroganadero (bebederos) y de defensa del monte (creación de puntos de agua para carga de los helicópteros de extinción de incendios, mejora de las pistas, desbroces y reforestación).</t>
  </si>
  <si>
    <t>https://www.lne.es/cuencas/2023/09/13/laviana-inaugura-escalerona-carreras-montana-92011222.html                https://contrataciondelestado.es/wps/wcm/connect/PLACE_es/Site/area/docAccCmpnt?srv=cmpnt&amp;cmpntname=GetDocumentsById&amp;source=library&amp;DocumentIdParam=d9236d4d-a730-4c61-bc6a-699b88785235</t>
  </si>
  <si>
    <t>El objeto de este proyecto fue dotar a este espacio de una serie de infraestructuras para el uso lúdico-deportivo para convertirlo en un referente de ámbito regional en la práctica de los deportes multiaventuras. Las obras incluyeron  la construcción de un velódromo, dentro de una de las fincas pertenecientes al plan especial del parque de Europa, y  de unas escaleras de entrenamiento para trail en el antiguo trazado del plano inclinado de Coto Musel.  A estas actuaciones se unen dos más: el acondicionamiento de los “Caminos del Carbón” y el desbroce y ejecución de infraestructuras en el monte Carrio.                                                                                                         
A la vez que se inició una recuperación medioambiental, con la repoblación en masa mixta (50%-50%) de roble y abedul, con una densidad de plantación de 900 pies/ha. Además, se mejoraron  las infraestructuras para el uso agroganadero (bebederos) y de defensa del monte (creación de puntos de agua para carga de los helicópteros de extinción de incendios, mejora de las pistas, desbroces y reforestación).</t>
  </si>
  <si>
    <t>Proyecto para la recuperación y revalorización del Monte Carrio</t>
  </si>
  <si>
    <t>AST-2020-0017</t>
  </si>
  <si>
    <t>Rehabilitación y urbanización del soterramiento de la antigua linea ferroviaria para liberar una gran superficie de terreno e integrar un paseo con distintos elementos de mobiliario urbano y zonas de ocio, susceptibles de albergar juegos infantiles y gerontogimnasia, así como un carril bici y un vial peatonal.</t>
  </si>
  <si>
    <t>AST-2020-0006.jpg</t>
  </si>
  <si>
    <t>Soterramiento de Langreo: Urbanización y Accesos</t>
  </si>
  <si>
    <t>AST-2020-0006</t>
  </si>
  <si>
    <t>Ampliación de vigencia + Ejecución IDEPA Mejora de la empleabilidad
La suma de la ayuda de los 4 proyectos debería sumar 2.175.000 y la inversión 2.900.000</t>
  </si>
  <si>
    <t>PROYECTOS DE OBRAS PARA LA MEJORA DE POLIGONOS INDUSTRIALES EN LAS CUENCAS MINERAS. LOTE 4-SAN MARTÍN DEL REY AURELIO: LA CENTRAL Y LA FLORIDA</t>
  </si>
  <si>
    <t xml:space="preserve">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Proyectos de obras para la mejora de poligonos industriales en las cuencas mineras. Lote 4-San Martín del Rey Qurelio: La Central y la Florida </t>
  </si>
  <si>
    <t>Mejora de Polígonos Industriales</t>
  </si>
  <si>
    <t>AST-2020-0003</t>
  </si>
  <si>
    <r>
      <t>MEJORA DE POLÍGONOS INDUSTRIALES EN LAS CUENCAS MINERAS LOTE 1 LANGREO: VALNALÓN, LA MORAL Y LADA-MERIÑAN SITUACION T.M. DE LANGREO (ASTURIAS</t>
    </r>
    <r>
      <rPr>
        <sz val="10"/>
        <rFont val="Times New Roman"/>
        <family val="1"/>
      </rPr>
      <t>)</t>
    </r>
  </si>
  <si>
    <t>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Proyectos de obras para la mejora de poligonos industriales en las cuencas mineras.Lote 1 Langreo: Valnalón, La Moral y Lada-Meriñan situacion T.M de Langreo</t>
  </si>
  <si>
    <t xml:space="preserve">Construcción y mejora de las infraestructuras pre existentes para unir cinco actuaciones independientes de saneamiento de aguas </t>
  </si>
  <si>
    <t>AST-2020-0002.jpg</t>
  </si>
  <si>
    <t xml:space="preserve">https://sede.asturias.es/ast/bopa-disposiciones?p_p_id=pa_sede_bopa_web_portlet_SedeBopaDispositionWeb&amp;p_p_lifecycle=0&amp;p_p_state=normal&amp;p_p_mode=view&amp;_pa_sede_bopa_web_portlet_SedeBopaDispositionWeb_mvcRenderCommandName=%2Fdisposition%2Fdetail&amp;p_r_p_dispositionText=tira%C3%B1a&amp;p_r_p_dispositionReference=2022-02584&amp;p_r_p_dispositionDate=19%2F04%2F2022&amp;_pa_sede_bopa_web_portlet_SedeBopaDispositionWeb_isTextDateSearch=false                                 </t>
  </si>
  <si>
    <t xml:space="preserve">Construcción y mejora de las infraestructuras pre existentes para unir varias actuaciones independientes de saneamiento de aguas. El proyecto proponía el siguiente conjunto de actuaciones:                                                                                                                                  
Ejecución de un colector en San Pedro de Tiraña. El núcleo de Población de San Pedro de Tiraña del concejo de Laviana disponía de una red de saneamiento que vertía  sus aguas residuales domésticas en el arroyo de Tiraña sin ningún tipo de tratamiento. El objeto de esta actuación fue la ejecución de un colector que recogiera todos las aguas residuales en los distintos puntos de vertido y los condujeral hasta el colector interceptor del río Nalón en las próximidades de la población de Barredos, en un aliviadero del mismo. Su trazado se diseñó para que discurra por el valle del arroyo y por los viales urbanos de Barredos en final de su trazado con múltiples afecciones a servicios existentes.                                                                                                                                                                                                            
Ejecución de redes de saneamiento para los núcleso de Caucia y Fabariego: Los núcleos de Caucia y Fabariego, del concejo de Laviana, carecían de red de saneamiento, vertiendo las viviendas sus aguas residuales domésticas a cauces naturales o a fosas sépticas individuales. El objeto de la actuación fue la ejecución de las redes de saneamiento de los dos núcleos y de sendos ramales que condujeran las aguas a un ramal existente del colector del rio Villoria que discurre próximo a ellos en el núcleo de La Redondina.                                                                                                                                                                                                                                                        Reparación del colector y ramales en el tramo entre el Entrefo y el Aliviadero de Pola de Laviana. Los distintos ramales que constituyen la red de saneamiento de Pola de Laviana confluyen en el colector interceptor del río Nalón. Este colector, en el tramo comprendido entre Entraigo y el Aliviadero de Pola de Laviana, presentaba deficiencias e infiltraciones del nivel freático. Las actuaciones planificadas fueron la reparación de las deficiencias observadas en el colector Interceptor y demás ramales de la red de saneamiento. </t>
  </si>
  <si>
    <t>Saneamiento de tiraña, la caucia, fabariegu y entorno de pola de laviana</t>
  </si>
  <si>
    <t>AST-2020-0002</t>
  </si>
  <si>
    <t>El proyecto,  busca rehabilitar de forma integral el edificio de oficinas y compresores del pozo Barredos. Se desarrollará manteniendo la distribución original del edificio de las oficinas. Dos plantas que serán aprovechadas al completo tras su restauración para proyectos agroalimentarios. En la zona baja está previsto adecuar hasta cinco espacios para cámaras frigoríficas, dos de congelación, aseos, una sala central, zona de basuras y cinco naves. En total, se van a aprovechar 465 metros cuadrados útiles.El primer piso acogerá un aula multiusos, sala de reuniones, una sala de trabajo, dos naves, y tres altillos. Además de vestuarios para hombres y mujeres, logrando con ello hacer útiles unos 380 metros cuadrados además de la zona del compresor que quedará integrada entre nuevos espacios. El eje central de la recuperación del edificio principal del pozo Barredos es un espacio diáfano en el que se ubica un enorme compresor, que data de 1940, y que gracias a su altura se habilitará un aula. Compresor que forma parte del patrimonio minero por lo que deberá conservarse, al igual que el enorme ventilador ubicado en la explanada exterior del edificio a conservar.</t>
  </si>
  <si>
    <t>Ayuntamiento de Laviana</t>
  </si>
  <si>
    <t>Rehabilitacion de antiguo edificio en el Pozo Barredos - Carrio para la creación de centro de emprendimiento agroalimentario</t>
  </si>
  <si>
    <t>2024-C077</t>
  </si>
  <si>
    <t>Mejora de sendas emblemáticas como Brañagallones -incluyendo la restauración de una cabaña- o la recuperación del Camín Real, la instalación de paneles explicativos en parte de estos recorridos, así como dos estaciones de bicicletas eléctricas, una en Campo de Caso y otra en Bezanes, vinculadas a las sendas rehabilitadas.</t>
  </si>
  <si>
    <t>Ayuntamiento de Caso</t>
  </si>
  <si>
    <t> Mejora y modernización de sendas emblemáticas como Brañagallones -incluyendo la restauración de una cabaña- o recuperar el antiguo camino de los arrieros de Caso, el Camín Real entre El Campu y El Tozu. Instalación de paneles explicativos en parte de estos recorridos, así como estaciones de bicicletas eléctricas, vinculadas a las sendas rehabilitadas.</t>
  </si>
  <si>
    <t> Mejora de la movilidad y digitalización de infraestructuras turísticas y sociales en espacios de la Red Natura 2000, del municipio de Caso</t>
  </si>
  <si>
    <t>2024-C068</t>
  </si>
  <si>
    <t xml:space="preserve">Adquisición y modernización de las instalaciones frigoríficas </t>
  </si>
  <si>
    <t>DISAGO SL</t>
  </si>
  <si>
    <t>Disago es una empresa dedicada  a la distribución de bebidas y alimentos en Asturias. Este proyecto consiste en la adquisición y modernización de las instalaciones frigoríficas.</t>
  </si>
  <si>
    <t>Modernización de las instalaciones frigoríficas</t>
  </si>
  <si>
    <t>2023-P193</t>
  </si>
  <si>
    <t>Compra maquinaria para el mecanizado de corte de materiales cerámicos</t>
  </si>
  <si>
    <t>NANOKER RESEARCH SL</t>
  </si>
  <si>
    <t>Nanoker Research es una empresa tecnológica dedicada al desarrollo y fábricación de productos y soluciones basadas en cerámicas técnicas y nanocompuestos avanzados para diversas aplicaciones industriales, biomédicas… Este proyecto consiste en la compra maquinaria para el mecanizado de corte de materiales cerámicos.</t>
  </si>
  <si>
    <t>Nueva maquina para empresa tecnológica</t>
  </si>
  <si>
    <t>2023-P109</t>
  </si>
  <si>
    <t xml:space="preserve">Mejora de la capacidad productiva de empresa de elaboración de platos preparados </t>
  </si>
  <si>
    <t>O.VILLA S.L.</t>
  </si>
  <si>
    <t>O Villa es una empresa especializada en la elaboración de platos típicos de la gastronomía de la región, destacando sus envasados al vacío (callos artesanos, orejas y morros) y sus enlatados (fabada asturiana, pote asturiano, callos asturianos y callos con garbanzos); todo ello cocinado de manera artesanal. Este proyecto busca mejorar su capacidad productiva.</t>
  </si>
  <si>
    <t>Mejora de la producción de una empresa en la industria alimentaria</t>
  </si>
  <si>
    <t>2023-P096</t>
  </si>
  <si>
    <t>Modernización y ampliación de capacidad productiva de fábrica de salsas</t>
  </si>
  <si>
    <t>SALSAS ASTURIANAS, S.L.</t>
  </si>
  <si>
    <t>Salsas Asturianas es una empresa especializada en la creación de salsas gourmet. Este proyecto consiste en la modernización y ampliación de capacidad productiva de fábrica de salsas.</t>
  </si>
  <si>
    <t>Aumento de la capacidad productiva de una empresa de Salsas</t>
  </si>
  <si>
    <t>2023-P068</t>
  </si>
  <si>
    <t xml:space="preserve">Ampliación de las líneas existentes para el reciclaje de plásticos </t>
  </si>
  <si>
    <t>RECUPLAS ECONOMIA CIRCULAR, SL</t>
  </si>
  <si>
    <t>Recuplas es una empresa especializada en la gestión de residuos plásticos. El objetivo de este proyecto es ampliar las líneas existentes para el reciclaje de plásticos.</t>
  </si>
  <si>
    <t>Ampliación Líneas reciclaje</t>
  </si>
  <si>
    <t>2023-P010</t>
  </si>
  <si>
    <t>Renovación y modernización de los equipos y adecuación del local</t>
  </si>
  <si>
    <t>PANADERÍA LA NUEVA SAN ANDRÉS SL</t>
  </si>
  <si>
    <t>Renovación de una Panadería</t>
  </si>
  <si>
    <t>2023-P005</t>
  </si>
  <si>
    <t>ADQUISICIÓN DE MOLDES PARA PALLETS</t>
  </si>
  <si>
    <t>NAECO, S.L.</t>
  </si>
  <si>
    <t>https://naeco.com/es/</t>
  </si>
  <si>
    <t>Adquisición de moldes para pallets</t>
  </si>
  <si>
    <t>2023-M076</t>
  </si>
  <si>
    <t>ADQUISICIÓN DE BIENES DE EQUIPO</t>
  </si>
  <si>
    <t>NAECO RECYCLING SL</t>
  </si>
  <si>
    <t>https://recycling.naeco.com/</t>
  </si>
  <si>
    <t>Adquisición de bienes de equipo</t>
  </si>
  <si>
    <t>2023-M072</t>
  </si>
  <si>
    <t>ADQUISICION DE MAQUINA PLEGADORA</t>
  </si>
  <si>
    <t>AGUIMAR INOX, SL</t>
  </si>
  <si>
    <t>https://aguimarinox.wordpress.com/</t>
  </si>
  <si>
    <t>Adquisicion de maquina plegadora</t>
  </si>
  <si>
    <t>2023-M068</t>
  </si>
  <si>
    <t>ADQUISICIÓN DE MAQUINARIA</t>
  </si>
  <si>
    <t>CARPINTERIA DIAZ COBIAN SL</t>
  </si>
  <si>
    <t>https://diazcobian.es/</t>
  </si>
  <si>
    <t>Adquisición de maquinaria</t>
  </si>
  <si>
    <t>2023-M019</t>
  </si>
  <si>
    <t xml:space="preserve">Construcción de un nuevo centro geriátrico </t>
  </si>
  <si>
    <t>RESIDENCIAL PALACIO DE TIROCO SL</t>
  </si>
  <si>
    <t>Este proyecto pretende ampliar la oferta asistencial de la Residencia Palacio Tiroco al concejo de Langreo con una moderna edificación para alojar a personas mayores con capacidad de 50 plazas. Las actuaciones previstas incluyen la la adecuación de un edificio que solo tiene la cimentación y estructura básica (adquirido de SAREB) con el fin de adecuarlo a la actividad de geriátrico . Se tratará de un centro propiedad de la sociedad y no arrendado, datado de 1.566,73 metros cuadrados, 20 habitaciones dobles y 10 habitaciones individuales, todas previstas de baño incorporado, así como salas y zonas comunes y espacios de convivencia y familias.</t>
  </si>
  <si>
    <t>Centro de atención residencial para personas mayores Palacio de Tiroco La Felguera</t>
  </si>
  <si>
    <t>2023-G061</t>
  </si>
  <si>
    <t>Instalación de una planta envasadora de agua mineral natural</t>
  </si>
  <si>
    <t>MANANTIAL DE COMILLERA, S.L.</t>
  </si>
  <si>
    <t>El agua  Manantial de Comillera ha sido acreditada en los análisis del prestigioso laboratorio Dr. Oliver Rodés de Barcelona (el mayor experto en España en aguas minerales) cómo agua de excepcional calidad, con una pureza extraordinaria al tener solamente un residuo seco a 180ª de 16 mg/l. Este proyecto Instalación de una planta envasadora de agua mineral natural, “agua premium”, vinculada al manantial de Comillera, situado en el término municipal de Sobrescobio, dentro del parque natural de Redes, declarado reserva natural de la biosfera, provincia de Asturias.
Las actuaciones incluyen la promoción y construcción de la nave industrial e instalaciones, caseta de captación, traída y camino de servicio del agua desde la captación del manantial de Comillera.
La planta embotelladora se localizará en el Poligono Industrial Agroalimentario de Comillera, municipio Sobrescobio. La planta ocupará 6 de las 9 parcelas del Polígono Industrial de Comillera (P4, P5, P6, P7, P8 Y P9), habiendo solicitado al Ayuntamiento de Sobrescobio la reserva de las restantes 3 parcelas para futuros desarrollos empresariales vinculados con el proyecto.
Si bien la producción máxima anual podría situarse en los 47.3 millones de litros anuales que se obtendrían de acuerdo con la autorización concedida, se ha optado por dimensionar la planta envasadora para producir solamente durante unos siete meses al año, coincidiendo con los de mayor caudal del manantial, lo que supondrá una producción máxima anual de unos 15,8 millones de litros.</t>
  </si>
  <si>
    <t>Embotelladora : Captación, envasado y comercialización de agua mineral natural</t>
  </si>
  <si>
    <t>2023-G028</t>
  </si>
  <si>
    <t>Nueva línea de pinturas en polvo y horno de decapado por pirólisis</t>
  </si>
  <si>
    <t>DIMENSION, APLICACION DE PINTURAS, SA</t>
  </si>
  <si>
    <t xml:space="preserve"> https://www.dimensionpinturas.com/#tecnologia-aplicada</t>
  </si>
  <si>
    <t>La sociedad inicia su actividad en el Polígono industrial de Riaño II y desde el origen se ha focalizado en la prestación de servicios industriales para el tratamiento y recubrimiento de metales.
El proyecto consiste en una nueva línea de pintura electroestática en polvo para piezas metálicas y supone la ampliación productiva de la empresa para llegar a productos que por tamaño y peso estaban fuera de su línea de negocio.Así, esta nueva línea de pintura cubre una demanda latente en el mercado al pasar de piezas de un tamaño y peso de (6700mm* 1600mm* 800mm - 220Kg) a piezas de (7200mm*2200mm* 600mm - 1000Kg).  Otro factor determinante es la mejora en la calidad del servicio que puede ofertarse ya que la inversión en el túnel de pretratamiento pasando de tres a siete fases supondrá el poder incrementar sustancialmente la protección anticorrosiva de la pieza metálica a pintar,  lo que permitirá llegar a mercados emergentes como es el de componentes para plataformas de energía eólica y fotovoltaica. Todo ello acompañada de una mayor eficiencia en el consumo energético lo que va en línea con la filosofía de la empresa de compromiso con el medio ambiente. 
El proyecto incluye la adquisición del nuevo horno, línea de pintura CABYCAL, la adecuación de naves para el desarrollo de dichas actividades, compresor, filtros, depósito y separador,  cabina de pintura, carretilla...</t>
  </si>
  <si>
    <t>Línea de pintura en polvo y horno de decapado por pirólisis</t>
  </si>
  <si>
    <t>2023-G011</t>
  </si>
  <si>
    <t xml:space="preserve">Nueva planta de fabricación de módulos fotovoltáicos de última generación </t>
  </si>
  <si>
    <t>EXIOM SOLAR IBERICA S.L.</t>
  </si>
  <si>
    <t>https://www.exiomsolution.com/iberdrola-se-alia-con-la-exiom-para-liderar-la-fabricacion-de-paneles-solares-fotovoltaicos-en-espana/</t>
  </si>
  <si>
    <t>Junto con el grupo empresarial asturiano Exiom, Iberdrola trae a nuestro país parte de la cadena de valor vinculada a las energías renovables con el objetivo de liderar este emergente sector en Europa. El nuevo proyecto entraña el establecimiento de la primera planta de montaje de paneles solares en España, y la única con la tecnología específica en europa, con fabricación de los mismos cien por cien en Asturias.. La iniciativa, con una inversión prevista es de 20 millones de euros, contribuirá a la reactivación económica de las cuencas mineras con una generación de 115 empleos directos en la zona y favorecerá la industrialización asociada a la transición energética. 
El centro aprovechó las instalaciones de la antigua fábrica de material refractario Vesubius, en Langreo, y contará con una capacidad de 500 MW, convirtiéndose en la primera gran planta de producción de paneles solares en España.</t>
  </si>
  <si>
    <t>EXIOM Solar Ibérica: Fábrica de módulos fotovoltaicos.</t>
  </si>
  <si>
    <t>2023-G007</t>
  </si>
  <si>
    <t>INVERSIÓN EN BIENES DE EQUIPO Y TECNOLOGÍA</t>
  </si>
  <si>
    <t>https://salsasasturianas.es/</t>
  </si>
  <si>
    <t>Inversión en bienes de equipo y tecnología</t>
  </si>
  <si>
    <t>2023-0012</t>
  </si>
  <si>
    <t>EMPRESARIALES ZM</t>
  </si>
  <si>
    <t>Proyectos Empresariales en zonas Mineras</t>
  </si>
  <si>
    <t xml:space="preserve">PLANTA DE COMPOSTAJE DESTINADA AL TRATAMIENTO DE BIORRESIDUOS (RESIDUOS VEGETALES). Economía circular para la gestión de residuos vegetales, municipales y privados, para la elaboración de compost y posible oportunidad futura de producción de pellets </t>
  </si>
  <si>
    <t>El proyecto de la planta de compostaje diseñada viene a impulsar la idea de la promoción de una producción y un consumo mucha más circular, en un emplazamiento enfocado a industrias que apuesten por modelos sostenibles de producción y gestión. Se basa fundamentalmente en una planta destinada al tratamiento de residuos vegetales procedentes de jardines y zonas verdes municipales, así como también restos vegetales procedentes de zonas verdes particulares. Dicha instalación constará de los siguientes elementos, una zona de pesaje y recepción del producto, una zona de cribado y triturado, zona en la cual se va a realizar el proceso de maduración propiamente dicho y por ultimo una zona de almacenaje del producto final. A su vez contará con un pequeño laboratorio, oficinas y un aula de interpretación del compostaje.</t>
  </si>
  <si>
    <t xml:space="preserve">Planta de compostaje destinada al tratamiento de biorresiduos (residuos vegetales) </t>
  </si>
  <si>
    <t>2022-C180</t>
  </si>
  <si>
    <t xml:space="preserve">CAMINO NATURAL SENDA DE LA MINA LA PIPIONA. Camino natural para uso senderista y cicloturista que permite valorar el patrimonio minero </t>
  </si>
  <si>
    <t>Se pretende realizar una regeneración del medio natural, la recuperación ambiental de espacios degradados, así como el desarrollo de restauraciones paisajísticas. La elección de la ruta que aquí se pretende, viene motivada por un intento de ampliar la oferta de actividades turísticas de la zona, mostrando a su vez la riqueza histórica, natural y etnográfica de toda la zona este del concejo de Langreo, aprovechando para ello la traza de antiguos caminos agrícolas y de servicio a las primeras minas langreanas. Se trata entonces de crear un camino natural señalizado y homologado para uso senderista y cicloturista que, con inicio en la barraca, discurra por el fondo del valle del “arroyo de villar”, hasta el entorno de “la Texera” en la sierra de la espada, donde enlazará con el sendero “vuelta a Ciaño” lo que le permitirá hacer un recorrido de ida y vuelta o formar un circuito cerrado con llegada y salida en el mismo punto, pero sin recorrer dos veces ningún tramo. Todo el trazado discurrirá siempre por viales públicos existentes, lo que se comprobará mediante certificados catastrales o del Secretario Municipal. La recuperación de esta infraestructura, traerá consigo, aparte de lo ya mencionado y de una notoria recuperación ambiental, la mejora para los usos agrícolas y ganaderos de los vecinos de la zona.                                                              
Actuaciones de la obra: 
•Movimiento tierras
•Superestructuras (En los puntos de gran vaciado, se procederá a la extensión de una capa de zahorra natural+ otra de zahorra artificial. Para evacuación de pluviales se ejecutarán sangraderas a base de balasto, dispuestas transversalmente, según dimensiones y forma indicadas en planos, ejecutadas hasta el borde del talud.)
•Obras de fábrica
•Señalización
•Pasarela. (colocación de una pasarela peatonal de hormigón y madera como medio para no tener que vadear una riega ocasional)</t>
  </si>
  <si>
    <t>Camino natural senda de la mina la Pipiona.</t>
  </si>
  <si>
    <t>2022-C165</t>
  </si>
  <si>
    <t>PROYECTO DE REFORMA DEL ESTACIONAMIENTO DE SOTO DE AGUES EN EL PARQUE NATURAL DE REDES. Aparcamiento reformado para la gestión del tráfico en el parque dotado de cargadores eléctricos alimentados por paneles solares</t>
  </si>
  <si>
    <t>Proyecto de reforma del estacionamiento de soto de Agues en el parque natural de redes para convertirlo en un parking adaptado a la movilidad eléctrica y sostenible el municipio de Sobrescobio tiene todo su territorio integrado dentro del parque natural de redes, declarado por la ONU reserva mundial de la biosfera y, dentro del mismo, se ubica el monumento natural de la ruta del alba, el más visitado del parque y de toda Asturias, lo que obligó en su día a construir este aparcamiento. Se pretende además de regular el tráfico en una zona de alto valor ecológico, instalar cargadores eléctricos para los vehículos, abriendo así el parque natural a los coches eléctricos e híbridos, ya que hasta ahora no tenían puntos de recarga y, además, promoviendo que la energía que alimente a los cargadores se genere de manera renovable solar.                                                                                                                                                                                                                                                                         Actualmente el aparcamiento dispone de una sola plaza para recarga de vehículos eléctricos, y debido a que se localiza en una zona de posible estancia larga por parte de los visitantes de la zona, al disponerse próximos a la Ruta del Alba y al Parque Natural de Redes, es del máximo interés ampliar esta tipología de plazas de aparcamiento para permitir y fomentar el uso de vehículos que no generen emisiones, y todo ello a través de la implantación de energías renovables, en este caso placas solares, que se dispondrán sobre una marquesina que cubrirá parte de los aparcamientos.                                                                                                                                       
El aparcamiento resultante presentará una dotación de 153 plazas, divididas en 133 para vehículos ligeros, 9 para motos, 4 para personas de movilidad reducida, 9 para carga de vehículos eléctricos y 3 reservadas para autobús. La superficie total urbanizada correspondiente a la zona de aparcamiento es de 4.767,95 m 2.</t>
  </si>
  <si>
    <t xml:space="preserve">Proyecto de reforma del estacionamiento de soto de agues en el parque natural de redes. </t>
  </si>
  <si>
    <t>2022-C164</t>
  </si>
  <si>
    <t xml:space="preserve">PROYECTO DE REHABILITACIÓN DE INMUEBLES PARA CREAR CENTRO DE ATENCIÓN INTEGRAL Y DE FORMACIÓN PARA LA MUJER RURAL EN SOBRESCOBIO. Centro de atención integral y formación a la mujer rural donde desarrollar proyectos educativos y/o empresariales que fomenten su incorporación a la vida laboral </t>
  </si>
  <si>
    <t>Proyecto de rehabilitación de inmuebles para crear centro de atención integral y de formación para la mujer rural en Sobrescobio.                                                                                                                                                                                                                                      El Ayuntamiento es titular de varios inmuebles adyacentes en la localidad de Rioseco, los cuales y en la actualidad están sin uso, por lo que se pretende su rehabilitación para ubicar en ellos un Centro de Atención Integral y de Formación para la mujer coyana y por otro lado se pretende urbanizar una parcela también de propiedad municipal y ubicada entre ambos inmuebles, como estacionamiento al servicio de los usuarios de ambos centros, dotándolo de cargadores eléctricos que se abastezcan de energía solar, con el fin de fomentar la movilidad eléctrica en el Parque Natural de Redes y reducir la huella de carbono.                                                                                                                           Actuaciones: 
Inmueble 01: demoliciones estructuras, fachadas, particiones y albañilería, cubierta, impermeabilización y aislamientos, pavimentos y revestimientos, carpinterías y cerrajería, fontanería, evacuación, aparatos sanitarios, instalación eléctrica, instalación, producción acs y calefacción, instalación de ventilación, vidrio, pintura y varios. 
Inmueble 02: demoliciones, estructuras, fachadas, particiones y albañilería, cubierta, pavimentos y revestimientos, carpinterías y cerrajería, instalación eléctrica, vidrio, pintura y varios. 
Inmueble 03 demoliciones, red horizontal de saneamiento, fachadas, particiones y albañilería, cubierta, impermeabilización y aislamientos, pavimentos y revestimientos, carpinterías y cerrajería, fontanería, evacuación, aparatos sanitarios, instalación eléctrica, producción acs y calefacción, instalación de ventilación, vidrio, pintura y varios.</t>
  </si>
  <si>
    <t>Proyecto de rehabilitación de inmuebles para crear centro de atención integral y de formación para la mujer rural en sobrescobio.</t>
  </si>
  <si>
    <t>2022-C150</t>
  </si>
  <si>
    <t>.REHABILITACIÓN DE EDIFICIO PARA FUTURO ALBERGUE PÚBLICO EN VILLAMAYOR. Albergue turístico y de peregrinos con capacidad para 40 personas. Da servicio a una zona que ha creado una ruta turística de santuarios</t>
  </si>
  <si>
    <t>Se mejorarán las condiciones de habitabilidad, accesibilidad y ahorro energético.                                                                            
El proyecto planteado consiste en la rehabilitación de la primera planta y del bajocubierta de un edificio, actualmente sin uso, para su uso como albergue turístico y de peregrinos con capacidad para 40 personas, aprovechando el tirón turístico y de peregrinación del reciente lanzamiento conjunto entre Asturias y Cantabria del camino de los santuarios, que une Santo Toribio de Liébana (Cantabria) con la catedral de san salvador (Oviedo), con hito intermedio en el santuario de Covadonga.                                                                                                                                                  
Actuaciones:
•Demoliciones. Se desmontan las carpinterías exteriores, ventanas de madera. Se desmontan los premarcos de algunas de las puertas existentes para su posterior reubicación en nuevos huecos a abrir en tabiques existentes, se levanta por completo la teja de cubierta, y se hace una pequeña demolición de pavimento en el exterior para colocación del ascensor necesario a panta primera. 
•Cubiertas. Se realizará una nueva cubierta de teja cerámica curva sobre panel impermeabilizante ondulado. 
•Carpintería exterior. Se disponen nuevas carpinterías de madera con un diseño similar al existente, con vidrios dobles aislante con cámara de argón de alta eficiencia energética y aislamiento acústico. 
•Compartimentación interior. Las distribuciones están realizadas en su practica totalidad, siendo estas aprovechables, solo es necesario una subdivisión para realizar la zona de almacén y la unión de dos salas con una parte de la sala de espera de planta primera para realizar la sala polivalente y comedor.
•Carpintería interior: Se colocarán las puertas de paso sobre aquellos huecos ya existentes en obra. 
•Revestimientos en paredes. En general, acabado con pintura plástica sobre enfoscado de mortero de cemento para las zonas generales y cerámicos en los cuartos húmedos y cocina. 
•Revestimientos en suelos. Se colocará gres porcelánico en toda la superficie de actuación, al igual que en la escalera de acceso. 
•Falsos techos. Se dispondrán falsos techos lisos en las dos plantas de actuación Instalación eléctrica y alumbrado. Actualmente están realizadas las canalizaciones, debiéndose realizar los cuadros de protección, cableados mecanismos y luminarias. 
•Instalación de calefacción: Se instala una caldera nueva y se colocarán los radiadores necesarios sobre la instalación existente. 
•Instalación de fontanería: se colocarán los aparatos sanitarios necesarios sobre la instalación existente. 
•Aparatos elevadores. Se colocarán un ascensor con doble embarque y acceso desde el exterior desde planta baja a primera.</t>
  </si>
  <si>
    <t xml:space="preserve">Rehabilitación de edificio para futuro albergue público en Villamayor. </t>
  </si>
  <si>
    <t>2022-C143</t>
  </si>
  <si>
    <t xml:space="preserve">REHABILITACIÓN DEL ANTIGUO INSTITUTO DE FP DE SAN CIPRIANO. El centro será escuela de desarrollo rural y laboratorio de innovación rural, además de centro de coworking, punto de encuentro para asociaciones y espacio formativo. </t>
  </si>
  <si>
    <t xml:space="preserve">Su rehabilitación consiste en acondicionar el edificio como hogar del mayor.  Rehabilitación del antiguo instituto de FP de san Cipriano para promoción del emprendimiento, desarrollo económico regional e impulso de nuevos usos de carácter social el proyecto planteado consiste en la rehabilitación de parte del complejo que era un antiguo instituto de formación profesional, abandonado desde 2010, para destinarlo tanto a diferentes usos sociales (espacios de coworking asociacional, talleres para desarrollo personal, sala de formación…), como de desarrollo económico de la zona, ofreciendo espacios de trabajo para emprendedores y empresas innovadoras del municipio y su entorno (espacio coworking para empresas y teletrabajadores, escuela de desarrollo rural y laboratorio de innovación rural).                                                                                         
Actuaciones:
•Demoliciones. 
•Estructura: Se repararán las partes de pilares y vigas que están deteriorados, limpiándose y retirando las partes en mal estado, limpiando las armaduras que queden al descubierto y aplicando un pasivador para el óxido y cubriéndose con un mortero de reparación con puente de unión. 
•Albañilería: Se trasdosarán todas las fachadas con un sistema autoportante de placas de cartón yeso con estructura de acero galvanizado de 72 mm y relleno aislamiento térmico a base de manta de lana de roca de 70 mm. Se limpiarán y repasarán el resto de los paramentos para que queden preparados para pintar. Creación una sala insonorizada para ensayos musicales, con aislamiento acústico es paredes, suelo flotante aislado y techo colgado con amortiguadores y aislado , así como puerta acústica. Se limpiará la fachada de los bloques se actuación, eliminando las eflorescencias existentes y manchas de humedad, utilizando hidrolimpiadoras y cepillos manuales. 
•Cubiertas. Se realizará una nueva cubierta de teja mixta de hormigón similar a la existente sobre panel impermeabilizante ondulado. 
•Carpintería exterior. Se disponen nuevas carpinterías de aluminio anodizado en su color con rotura de puente térmico con un diseño similar al existente, con vidrios dobles aislante con cámara de argón de alta eficiencia energética y aislamiento acústico. 
•Carpintería interior: Se colocarán las puertas nuevas de paso sobre aquellos huecos ya existentes en obra con hojas terminadas en estratificado tipo melamina. 
•Revestimientos en paredes. En general, acabado con pintura plástica sobre enfoscado de mortero de cemento para las zonas generales y cerámicos en los cuartos húmedos y cocina. 
•Revestimientos en suelos. Se colocará gres porcelánico en los aseos, se pulirá y abrillantará el terrazo existente, tanto en solados como en escalones. 
•Falsos techos. Se dispondrán falsos techos lisos en las plantas de actuación Instalación eléctrica y alumbrado. Se cambiarán las luminarias existentes por otras nuevas con tecnología LED, se sustituyen los mecanismos de maniobra, se revisan los cuadros de planta y se actualizan a las nuevas necesidades.
•Instalación de calefacción: Se instala una caldera nueva y se colocarán los radiadores de aluminio con mayor eficacia energética. 
•Instalación de fontanería: se colocarán los aparatos sanitarios nuevos, se instala un depósito para recogida de lluvia para usos no sanitarios. 
•Aparatos elevadores. Se colocarán un ascensor exterior para facilitar la accesibilidad de personas con movilidad reducida. </t>
  </si>
  <si>
    <t xml:space="preserve">Rehabilitación del antiguo instituto de FP de San Cipriano. </t>
  </si>
  <si>
    <t>2022-C132</t>
  </si>
  <si>
    <t>Instalacion de envasadora automatica para big-bag y de exposiciones de venta de productos al mayor</t>
  </si>
  <si>
    <t>LA LLERA POLIN S.L</t>
  </si>
  <si>
    <t xml:space="preserve">La empresa beneficiaria es  un comercio mayorista de productos para el sector de la construcción, maderas y sus derivados. El proyecto consisitó por una parte en la instalación de una envasadora automática, para Big-Bag para áridos y productos de construcción, compuesta por tolvas de llenado, pesadora y programa informático y por otra parte en la instalación  de exposiciones de venta de productos al por mayor. El objetivo de esta inversión fue reducir tiempos en nuestros servicio y aumentar la afluencia de clientes que les permitiera  obtener un mayor volumen de trabajo y crecer cómo empresa.
</t>
  </si>
  <si>
    <t>"Polin" instalación de exposiciones y compra de inmovilizado material.</t>
  </si>
  <si>
    <t>2021-M179</t>
  </si>
  <si>
    <t>A.sanitarias y de S. sociales</t>
  </si>
  <si>
    <t>Ampliación de la capacidad de las instalaciones del tanatorio La Florida, ubicado en Sotrondio y adquisición de un nuevo horno de cremación.</t>
  </si>
  <si>
    <t>FUNERARIAS DEL NALÓN, S.A.</t>
  </si>
  <si>
    <t>FUNERARIAS DEL NALÓN S.A (en adelante FUNASA) es una empresa fundada en 1984 cuya actividad se encuadra en el CNAE 9603: Servicios de pompas fúnebres. Su origen es fruto de la unión de varias empresas del sector en el Valle del Nalón, por lo que su zona de actuación se concentra fundamentalmente en esta zona.
El presente proyecto de inversión está orientado a la ampliación de la capacidad de las instalaciones del Tanatorio La Florida, ubicado en Sotrondio (San Martín del Rey Aurelio).
Por un lado, las inversiones estaban dirigidas a la mejora de los principales espacios dentro del tanatorio, con el fin de dotarlos de funcionalidad y modernidad. Por otro, y como eje fundamental del presente proyecto, se incorpora al proceso un nuevo horno de cremación, que permite optimizar de manera significativa el proceso, además de contribuir a la minimización del impacto ambiental y al ahorro energético.</t>
  </si>
  <si>
    <t>Ampliación de capacidad del Tanatorio "La Florida" mediante la incorporación de tecnología avanzada para el proceso de incineración.</t>
  </si>
  <si>
    <t>2021-M147</t>
  </si>
  <si>
    <t>Construcción de 3 apartamentos turísticos bajo el estándar Passivhaus para su posterior explotación turística</t>
  </si>
  <si>
    <t>ESPACIOS PASSIVHAUS DE ASTURIAS S.L.</t>
  </si>
  <si>
    <t>https://elbalcondelsueve.com/apartamentos/</t>
  </si>
  <si>
    <t xml:space="preserve"> Este proyecto consisitó en la rehabilitación integral  y ampliación proyectada de un edificiode piedra caliza del año 1900 para transformarlo en tres apartamentos turísticos de 3 llaves, que  permitan disfrutar al huésped de un entorno privilegiado enclavado en la Comarca del Sueve.  Este proyecto se asienta sobre los pilares de la construcción Passivhaus, cuya  eficiencia demostrada conlleva a una edificación sostenible y comprometida con el
 medioambiente.                                                                                                                                                                                                                                                                                                                                                                                                                                                                                                                  La rehabilitación integral y ampliación proyectada, se ha diseñado con el objetivo principal de  alcanzar las características de un edificio de consumo casi nulo.  Algunas de las medidas al respecto han sido la instalación de paneles fotovoltaicos que alimenten el 80% de la demanda de electricidad o  un sistema de ventilación  mecánica con intercambiador de calor. 
Las inversiones incluyeron la instalación electricidad y de seguridad, equipos de medidas y otros bienes de equipo, mobiliario, electrodomésticos, etc.Dos de los apartamentos constan de 4 plazas cada uno y el tercer apartamento cuenta con 2 plazas. </t>
  </si>
  <si>
    <t>Apartamentos turísticos en Melarde</t>
  </si>
  <si>
    <t>2021-M059</t>
  </si>
  <si>
    <t>Creación de la clínica de odontología.</t>
  </si>
  <si>
    <t>FERNANDO VILLANUEVA FRESNO</t>
  </si>
  <si>
    <t xml:space="preserve">El proyecto  consistió en la rehabilitación y adecuación de un bajo comercial para crear una clínica dental y de cirugía que  abarcaría  a todo tipo de público y todo rango de edades; con una buena ubicación en la localidad de Infiesto (Concejo de PILOÑA). 
Las inversiones realizadas, incluyendo el local, fueron: la obra civil , el mobiliario y equipamiento (sillones, escáner, etc.), pequeño equipamiento (instrumental odontológico, etc.), sistemas de gestión (software, etc.), ordenadores, página web y redes sociales. La La obra civil supuso la realización de una sala de máquinas, un archivo, sala de espera, cuarto de aseo para los clientes, cuarto de aseo y vestuario para el personal, laboratorio, despacho, cuarto emplomado de rayos X, cuarto multiuso de almacenaje , y tres  gabinetes de trabajo . También se renovaron la fachada a la calle y se retocó la fachada trasera. </t>
  </si>
  <si>
    <t>Clínica dental y de cirugía implantoógica, prótesis y periimplantología de nueva creación en la localidad de Infiesto (Piloña, Asturias).</t>
  </si>
  <si>
    <t>2021-M055</t>
  </si>
  <si>
    <t>Puesta en marcha de una planta para el reciclaje de plásticos</t>
  </si>
  <si>
    <t>Recuplas Economía Circular, S.L., en adelante, RECUPLAS, es una empresa de reciente creación para dar respuesta al ciclo de vida y economía circular de los residuos plásticos. Su actividad es la de clasificación, trituración y limpieza de residuos plásticos, tanto plástico film (PEBD) como plástico rígido (PEAD/PP/PS).                                                                                                                                                                                                                                                                                                                         El principal objetivo de RECUPLAS con el presente proyecto es la puesta en marcha de una nueva planta para el reciclaje de plásticos, con la intención de hacer viable, mediante un proyecto sostenible, la economía circular del plástico, dando una respuesta de calidad a la problemática de la gestiónde este tipo de residuos, desde su recogida, clasificación y preparación para el reciclaje, reincorporando los residuos plásticos en el ciclo de vida de los productos. Además, se dotó con las instalaciones y equipos productivos tecnológicos para la puesta en marcha de su actividad industrial, convirtiéndose en un referente en el norte de España de la nueva economía verde. Siendo una alternativa económica en la zona, con la creación de puestos de trabajo estables, con contrato a tiempo completo e indefinido.</t>
  </si>
  <si>
    <t>Nueva planta de reciclaje de plásticos.</t>
  </si>
  <si>
    <t>2021-M041</t>
  </si>
  <si>
    <t>Se ha añadido el dato de empleo comprometido: 3</t>
  </si>
  <si>
    <t>a.sanitarias y de S. sociales</t>
  </si>
  <si>
    <t>Centro de dia para personas de la tercera edad en la localidad de Sotrondio.</t>
  </si>
  <si>
    <t xml:space="preserve">CENTRO DE DIA SAN JOSE </t>
  </si>
  <si>
    <t>2021-M029</t>
  </si>
  <si>
    <t>Otras industrias alimentarias</t>
  </si>
  <si>
    <t>Adquisición de maquina enlatadora de cerveza y dos tanques de fermentación y su instalacion</t>
  </si>
  <si>
    <t>CERVEZA CALEYA SL</t>
  </si>
  <si>
    <t>CERVEZA CALEYA SL es una fábrica de cerveza artesana. Se encuentra ubicada en una nave industrial situada en el polígono industrial de Valnalón en Langreo. Se elabora cerveza al estilo tradicional inglés, para lo cual solo se usan materia primas nobles y naturales: malta de cebada, trigo, lúpulo, levadura y agua. Los productos terminados se venden principalmente a nivel provincial, distribuyéndose una pequeña parte a nivel nacional.          
La gran competitividad que caracteriza a este mercado, unido a la gran acogida y la gran demanda de este producto desde su nacimiento, les obliga a buscar nuevas formas de crecimiento. Con este fin, decidieron adquirir nueva maquinaria para mejorar el proceso productivo, en concreto una máquina enlatadora y varios tanques fermentadores. Con la adquisición de esta maquinaria, se planeba aumentar considerablemente la capacidad de producción y la productividad, pudiendo hacer frente a la creciente demanda del mercado.</t>
  </si>
  <si>
    <t>Subvención por inversión en una maquina enlatadora y fermentadores</t>
  </si>
  <si>
    <t>2021-M018</t>
  </si>
  <si>
    <t>Montaje y puesta en marcha de planta de aglomerado en frío en sus instalaciones situadas en el polígono de Riaño II para poner en marcha una nueva línea de negocio y  la instalación de una envolvedora automática de frutos o máquina de flow-pack.</t>
  </si>
  <si>
    <t>PJR GESTIÓN SL</t>
  </si>
  <si>
    <t>2021-M011</t>
  </si>
  <si>
    <t>Nueva actividad: la fabricación de tuberías metálicas para los sectores naval e industrial.</t>
  </si>
  <si>
    <t>TRABAJOS Y SERVICIOS NORTE S.L (SERTRA)</t>
  </si>
  <si>
    <t>https://www.hunosaempresas.es/2021/12/22/hunosa-empresas-apoya-un-proyecto-de-fabricacion-de-tuberias-metalicas-para-el-sector-naval/</t>
  </si>
  <si>
    <t xml:space="preserve">El presente proyecto implicó la integración de una nueva actividad, la fabricación de tuberías metálicas para los sectores naval e industrial, una línea de negocio hasta el momento no explotada por la empresa. El fin del proyecto era disponer de ventaja competitiva sobre otros montadores, que no tienen la capacidad de controlar al 100% la cadena de valor, ni disponen de la flexibilidad que aportó a Sertra el desarrollo del plan de inversión. El proyecto de inversión inclutó la constricciónde un nuevo centro productivo en Langreo, así como la adquisición de la maquinaria de última tecnología necesaria para el desarrollo del proceso de fabricación de isométricos y  trabajos de planificación e ingeniería del proyecto (estudio geotécnico o levantamiento topográfico). </t>
  </si>
  <si>
    <t>Creación de un nuevo centro de trabajo para la fabricación de isométricos para los sectores naval e industrial.</t>
  </si>
  <si>
    <t>2021-0092</t>
  </si>
  <si>
    <t>Proyecto de adaptación y adecuación del hotel “Palacio de Rubianes” en el concejo de Piloña. Rehabilitación y mejora de las instalaciones del hotel empleando criterios de sostenibilidad, eficiencia energética y promoción de la economía autóctona.</t>
  </si>
  <si>
    <t>LA FORNELLONA, S.L.</t>
  </si>
  <si>
    <t xml:space="preserve"> https://www.turismoasturias.es/organiza-tu-viaje/donde-dormir/alojamiento/hoteles/palacio-de-rubianes</t>
  </si>
  <si>
    <t>El Hotel Palacio de Rubianes se sitúa en la localidad de Cereceda, Asturias, parroquia del concejo de Piloña, rodeado de un paraje eminentemente rural, situándose a si mismo a unos dos kilómetros del Hábitat protegido por la Red Natura 2000 de la Sierra del Sueve, no catalogándose dentro de este hábitat.  
El proyecto consistió en la rehabilitación y mejora de las instalaciones del hotel  “Palacio de Rubianes” empleando criterios de sostenibilidad, eficiencia energética y promoción de la economía autóctona. Las actuaciones realizadas tenían el objetivo de permitir la recuperación y puesta en valor de elementos histórico-etnográficos y de la zona agraria, basándose en la introducción de elementos tecnológicos y energías renovables que han convertido el espacio en un ejemplo de alojamiento sostenible y respetuoso con el medio ambiente.
Todas las medidas establecidas se fomentaron en el principio de respeto hacia el entorno.</t>
  </si>
  <si>
    <t xml:space="preserve">Hotel Palacio de Rubianes </t>
  </si>
  <si>
    <t>2021-0064</t>
  </si>
  <si>
    <t>Centro de atencion a mayores con una capacidad para 118 plazas, aula de formacion y centro de rehabilitacion.</t>
  </si>
  <si>
    <t>ARAMO NALON S.L.</t>
  </si>
  <si>
    <t xml:space="preserve"> https://www.elcomercio.es/area-metropolitana-asturias/cuencas/aramo-crea-hogares-nueva-residencia-mayores-sama-20240620224518-nt.html</t>
  </si>
  <si>
    <t>Centro de atención a mayores con una capacidad para 118 plazas, aula de formación y centro de rehabilitación. 
El proyecto consistió en rehabilitar un edificio sobre una parcela de 774 m2. El centro esta compuesto por un sótano, una planta baja y tres plantas más, con una superficie construida de 3.468 m2.  Las inversiones necesarias para llevar al cabo el proyecto incluyeron la adqusición del terreno, las traídas y acometidas necesarias para rehabilitar y adaptar el edificio, la adquisición de bienes de equipo ( maquinaria, instalaciones eléctricas, generadores térmicos, transporte interior...) y mobiliario.</t>
  </si>
  <si>
    <t>Centro de atención a mayores en la modalidad de alojamiento en Sama de Langreo.</t>
  </si>
  <si>
    <t>2021-0021</t>
  </si>
  <si>
    <t>Desarrollo de nuevas gamas de producto de palets logic, flay y basic.</t>
  </si>
  <si>
    <t>en patrocinadores se mecnciona al ministerio de hacienda al IDEPA, los fondos FEDER…pero no al ITJ.</t>
  </si>
  <si>
    <t xml:space="preserve">Este proyecto consistió en desarrollar 3 nuevas gamas de producto (LOGIC, FLAT Y BASIC/SQUARE) con la necesaria inversión de 3 nuevos moldes:                                                                                                                                                                                    -GAMA LOGIC : Se trata de una gama de palets monobloque, formados por una sola pieza, en tamaños europeo y americano, y con tablero abierto.    
GAMA FLAT  Se trata de una gama de palets ideal para manipulaciones de cargas moderadas. Gracias a su superficie lisa y cerrada, aseguran una limpieza eficaz y un secado rápido. 
GAMA BASIC/ SQUARE  Gama de palets ligera y cuadrada, ideal para el transporte en contenedores ya que optimiza todo el espacio disponible en contenedores tipo ISO. Existe una alta demanda de palets cuadrados especialmente en el sector químico cuando manipulan mercancía a granel en Big-bags o sacas.
Los productos se desarrollaron desde la fase de concepción (diseño) hasta la fase de fabricación permitiendo a la compañía abrir nuevos nichos de mercado y ampliar la cartera de clientes y ventas. 
</t>
  </si>
  <si>
    <t>Nueva línea de productos Logic, Flat y Basic</t>
  </si>
  <si>
    <t>2021-0012</t>
  </si>
  <si>
    <t>Implantación de un sistema ERP/CRM de gestión empresarial para una empresas de servicios de prevención de incendios</t>
  </si>
  <si>
    <t>Prevencion de Incendios Seguridad Aplicada, S.L.</t>
  </si>
  <si>
    <t>https://previnsa.com/inversion-para-la-mejora-de-la-planificacion-de-los-recursos-empresariales/</t>
  </si>
  <si>
    <t xml:space="preserve">Este proyecto persigue la digitalización de la empresa mediante la automatización de procesos empresariales (Gestión comercial, marketing básico, atención al cliente, gestión de almacén y logística, gestión de instalaciones y mantenimientos, gestión de producción, gestión financiera y contables, gestión laboral) con el objetivo de mejorar la planificación de recursos empresariales. El proyecto conisitó en implantar una solución de gestión empresarial efectiva mediante un sistema ERP/CRM adaptado al negocio de la empresa. Este sistema de información es capaz de centralizar y unificar los datos procedentes de los distintos departamentos empresariales facilitando la fluidez de la información. Tanto gerentes como mandos intermedios contarán con información unificada en tiempo real que facilitará elproceso de toma de decisiones.
</t>
  </si>
  <si>
    <t xml:space="preserve"> Inversión para la mejora de la planificación de recursos empresariales a través de un sistema ERP/CRM.</t>
  </si>
  <si>
    <t>2018-M133</t>
  </si>
  <si>
    <t>Adquisición de diversa maquinaria de segunda mano para la actividad, junto con la instalación eléctrica necesaria para ello.</t>
  </si>
  <si>
    <t>Proyectos Metal Laser, S.L.</t>
  </si>
  <si>
    <t xml:space="preserve"> https://cotecasturias.com/corte-a-laser/</t>
  </si>
  <si>
    <t>Proyectos Metal Láser es una empresa nacida en 2015 dedicada principalmente a la ingenieria mecánica por cuenta de terceros ubicada en el Polígono Riaño II. El proyecto consistió en la adquisición e instalación de nueva maquinaria que permite ofrecer a los clientes una mejor calidad en el servicio, atentiendo a sus demandas de forma más ágil, en respuesta a un aumento en el volúmen de negocio.  La maquinaria en cuestión incluye una maquina de corte láser de CO2, una plegadora, un taladro, un puente grúa GH Nº 81316, una punzonadora GEKA 165/E-750 y un compresor ATLSA COPPO.</t>
  </si>
  <si>
    <t>Adquisición y puesta en funcionamiento de maquinaria.</t>
  </si>
  <si>
    <t>2018-M132</t>
  </si>
  <si>
    <t>Rediseño y modificación radical de una prensa hidraúlica incorporando los últimos avances tecnologicos, para una empresa de fabricación de materiales refractarios</t>
  </si>
  <si>
    <t>Cerámica del Nalón, S.A.</t>
  </si>
  <si>
    <t>2018-M129</t>
  </si>
  <si>
    <t>Instalación de una línea de sacrificio de pollos ecológico</t>
  </si>
  <si>
    <t>Ecopollo, S.L.</t>
  </si>
  <si>
    <t>2018-M127</t>
  </si>
  <si>
    <t>Comprometido: 3, creado 1,73</t>
  </si>
  <si>
    <t>Guardería infantil</t>
  </si>
  <si>
    <t>Laura Miguel Hermoso</t>
  </si>
  <si>
    <t>https://espacioescoborola.es/trabaja-en-escoborola/</t>
  </si>
  <si>
    <t>Proyecto de adecuación de un bajo para  para crear una guardería infantil. El local esta ubicado un barrio residencial  en el centro de La Felguera. El centro se ha diseñado pensando en los/as niños/as, respondiendo a sus necesidades y también dispone de otros espacios destinados a los adultos para reunirse, trabajar, relacionarse con las familias.  Las inversiones también incluyeron la adecuación del local con extinotres, alarmas, insonorización etc además de la adquisición de mobiliario y electrodomésticos.</t>
  </si>
  <si>
    <t>Espacio Educativo Escoborola</t>
  </si>
  <si>
    <t>2018-M122</t>
  </si>
  <si>
    <t>Adquisición de maquinaria y equipo informático</t>
  </si>
  <si>
    <t>Bimenes Mechanical Constructions S.L.</t>
  </si>
  <si>
    <t>2018-M119</t>
  </si>
  <si>
    <t>Se prevé la contratación de un trabajador mayor 45 años y parado de larga duración</t>
  </si>
  <si>
    <t xml:space="preserve"> Adquisición de nave y maquinaria tecnológicamente más avanzada, que les permita ofertar otros productos/trabajos de impresión digital, y de mayor calidad.</t>
  </si>
  <si>
    <t>La Fueya Artes Grafiques, S.L.</t>
  </si>
  <si>
    <t xml:space="preserve">La empresa se enfrentaba a a un espacio limitado que no le permitía ampliar el área de producción. Además, necesitaban eliminar ruidos y olores que resultan incómodos para los clientes que les visitaban. El proyecto consistió en trasladar parte de la producción a una nave industrial, liberando el local para transformarlo en un espacio dedicado a la impresión digital.       
La nave fue acondicionada para albergar maquinaria pesada y ruidosa, mientras que el local comercial quedó destinado a trabajos de impresión digital. El plan incluía la adquisición de la nave industrial, el traslado y montaje de la maquinaria de impresión tradicional (serigrafía y tampografía) a la nueva ubicación. También se planteó la compra de maquinaria nueva para ampliar la oferta de servicios, incorporando trabajos de impresión digital.  </t>
  </si>
  <si>
    <t xml:space="preserve"> Adquisición y adecuación de una nave industrial para la realización de actividades de artes gráficas</t>
  </si>
  <si>
    <t>2018-M115</t>
  </si>
  <si>
    <t>Empleo, Inicio</t>
  </si>
  <si>
    <t>Adquisición de maquinaria para taller de mecánica general de automoviles</t>
  </si>
  <si>
    <t>Autocentro Regsa S.L.L.</t>
  </si>
  <si>
    <t>2018-M102</t>
  </si>
  <si>
    <t>Ampliación e introducción de mejoras tecnólogicas en una empresa de sistemas de almacenaje</t>
  </si>
  <si>
    <t>Auxiliar de Perfiles Perforados Metalicos, S.A.</t>
  </si>
  <si>
    <t>2018-0058</t>
  </si>
  <si>
    <t>MEQUIMENZA. 'Adecuación de dos edificaciones (casa de la Administración y edificio de Almacenes) para su reutilización y creación de un centro de interpretación de la minería</t>
  </si>
  <si>
    <t>Mineros</t>
  </si>
  <si>
    <t>50165</t>
  </si>
  <si>
    <t>Mequinenza</t>
  </si>
  <si>
    <t>Zaragoza</t>
  </si>
  <si>
    <t>Aragón</t>
  </si>
  <si>
    <t>Departamento de Industria, Competitividad y Desarrollo Empresarial</t>
  </si>
  <si>
    <t>Mequimenza. 'adecuación de dos edificaciones (casa de la administración y edificio de almacenes) para su reutilización y creación de un centro de interpretación de la minería</t>
  </si>
  <si>
    <t>Centro de interpretación de la minería</t>
  </si>
  <si>
    <t>P03.C10.I01.P01.S001.01</t>
  </si>
  <si>
    <t xml:space="preserve">Consiste en nuevo equipamiento de mejora energética para centros y edificaciones municipales para 5 centros de día y una Escuela de Educación Infantil </t>
  </si>
  <si>
    <t>34004</t>
  </si>
  <si>
    <t>Aguilar de Campoo</t>
  </si>
  <si>
    <t>Palencia</t>
  </si>
  <si>
    <t>Castilla y León</t>
  </si>
  <si>
    <t>Ayuntamiento de Aguilár de Campoo</t>
  </si>
  <si>
    <t xml:space="preserve">Mejora energética de centros y edificaciones municipales </t>
  </si>
  <si>
    <t>CYL-2020-0007</t>
  </si>
  <si>
    <t>Reasfaltado de calzadas con un ancho tal que permita la libre circulación de ciclistas y peatones con la adaptación del pavimento a las exigencias actuales de la sociedad, así como a la normativa vigente sobre accesibilidad peatonal para la circulación de personas con discapacidad.</t>
  </si>
  <si>
    <t>13071</t>
  </si>
  <si>
    <t>Puertollano</t>
  </si>
  <si>
    <t>Ciudad Real</t>
  </si>
  <si>
    <t>Castilla-La Mancha</t>
  </si>
  <si>
    <t>Ayuntamiento de Puertollano</t>
  </si>
  <si>
    <t>CLM-2020-0004</t>
  </si>
  <si>
    <t>Mejora de la empleabilidad</t>
  </si>
  <si>
    <t>Mantenimiento, renovación y adecuación del polígono industrial (calzadas, vados de peatones señalización)</t>
  </si>
  <si>
    <t>CLM-2020-0003</t>
  </si>
  <si>
    <t>PDC TOTAL</t>
  </si>
  <si>
    <t>Realización de tareas de mantenimiento, renovación o adecuación a las nuevas necesidades desde la construcción de estos para que sean aptas para uso de más empresas que se han instalado recientemente en el Polígono industrial de la Nava</t>
  </si>
  <si>
    <t>Mejora del Polígono industrial de la Nava</t>
  </si>
  <si>
    <t>CLM-2020-0002</t>
  </si>
  <si>
    <t>Ampliación de vigencia + Cambio de título y objeto</t>
  </si>
  <si>
    <t>Tiene por objeto urbanizar la fase 2 del polígono, contempla una serie de actuaciones: establecimiento de una red de abastecimiento de aguas, red de alumbrado público, gestión de residuos, señalización, etc.</t>
  </si>
  <si>
    <t>Contempla una serie de actuaciones: establecimiento de una red de abastecimiento de aguas, red de alumbrado público, gestión de residuos, señalización, etc.</t>
  </si>
  <si>
    <t>tiene por objeto urbanizar la fase 2 del polígono, contempla una serie de actuaciones: establecimiento de una red de abastecimiento de aguas, red de alumbrado público, gestión de residuos, señalización, etc.</t>
  </si>
  <si>
    <t>CLM-2020-0001</t>
  </si>
  <si>
    <t>Puente sobre el río Nalón en el Polígono de Olloniego-Tudela</t>
  </si>
  <si>
    <t>33044</t>
  </si>
  <si>
    <t>Oviedo</t>
  </si>
  <si>
    <t>Ayuntamiento de Oviedo</t>
  </si>
  <si>
    <t>AST-2020-0035</t>
  </si>
  <si>
    <t>Proyecto de creación de vivero empresarial en Lieres</t>
  </si>
  <si>
    <t>33066</t>
  </si>
  <si>
    <t>Siero</t>
  </si>
  <si>
    <t>Ayuntamiento de Siero</t>
  </si>
  <si>
    <t>Creación de vivero empresarial en Lieres</t>
  </si>
  <si>
    <t>AST-2020-0021</t>
  </si>
  <si>
    <t>Mejorar y ampliar la capacidad de bombeo para mejorar las redes de saneamiento y de aguas</t>
  </si>
  <si>
    <t>Mejorar y ampliación de las redes de saneamiento y de aguas</t>
  </si>
  <si>
    <t>AST-2020-0008</t>
  </si>
  <si>
    <t>Objetivo de aumentar el volumen de aguas residuales enviado a tratamiento en la EDAR de Villapérez, con el objetivo de reducir, en estas infraestructuras, el número de episodios de alivio en condiciones de lluvia y minimizar la contaminación vertida durante los mismos. Por eso, el proyecto consiste en el aumento de la capacidad de los bombeos desde los polígonos industriales de Espíritu Santo (Oviedo) y Venta del Gallo (Siero), la mejora de su operatividad y la optimización del consumo de energía y control, así como la renovación de la calderería.</t>
  </si>
  <si>
    <t>Mejora EDAR de Villapérez</t>
  </si>
  <si>
    <t>AST-2020-0007</t>
  </si>
  <si>
    <t>Ampliación de vigencia + cambio objeto</t>
  </si>
  <si>
    <t>construcción del centro de atención a personas mayores y centro de día en Mequinenza</t>
  </si>
  <si>
    <t>Ayuntamiento de Mequinenza</t>
  </si>
  <si>
    <t>Centro de atención a personas mayores y centro de día en Mequinenza</t>
  </si>
  <si>
    <t>ARA-2020-0015</t>
  </si>
  <si>
    <t>ENCASUR - PUERTOLLANO</t>
  </si>
  <si>
    <t>52094110F</t>
  </si>
  <si>
    <t>30207332Y</t>
  </si>
  <si>
    <t>AMPLIACION DE CLINICA DENTAL</t>
  </si>
  <si>
    <t>SANDRA CALVO CLINICA DENTAL, S.L.P.</t>
  </si>
  <si>
    <t>https://sandracalvo.es/</t>
  </si>
  <si>
    <t>Ampliacion de clinica dental</t>
  </si>
  <si>
    <t>2023-M106</t>
  </si>
  <si>
    <t>PUESTA EN MARCHA DE UNA CLÍNICA EN ACTIVIDAD FÍSICA Y SALUD</t>
  </si>
  <si>
    <t>CLINICA TERRASANA S.L.</t>
  </si>
  <si>
    <t>Puesta en marcha de una clínica en actividad física y salud</t>
  </si>
  <si>
    <t>2023-M104</t>
  </si>
  <si>
    <t>COMPRA Y REHABILITACIÓN DE VIVIENDA PARA LA CONSTRUCCIÓN DE APARTAMENTOS RURALES</t>
  </si>
  <si>
    <t>33013</t>
  </si>
  <si>
    <t>Caravia</t>
  </si>
  <si>
    <t>PROMOCION DE EVENTOS SOSTENIBLES DE ASTURIAS S.L.</t>
  </si>
  <si>
    <t>Compra y rehabilitación de vivienda para la construcción de apartamentos rurales</t>
  </si>
  <si>
    <t>2023-M103</t>
  </si>
  <si>
    <t>AMPLIACIÓN DE LA CAPACIDAD PRODUCTIVA MEDIANTE LA INSTALACIÓN DE UN SISTEMA DE BANDAS TRANSPORTADORAS</t>
  </si>
  <si>
    <t>INDUSTRIAS DOY MANUEL MORATE, SL</t>
  </si>
  <si>
    <t>https://www.industriasdoy.com/</t>
  </si>
  <si>
    <t>Ampliación de la capacidad productiva mediante la instalación de un sistema de bandas transportadoras</t>
  </si>
  <si>
    <t>2023-M102</t>
  </si>
  <si>
    <t>NUEVA CLÍNICA DENTAL</t>
  </si>
  <si>
    <t>PATRICIA MARTINEZ MARTIN</t>
  </si>
  <si>
    <t>https://www.doctoralia.es/patricia-martinez-perez/dentista/arges</t>
  </si>
  <si>
    <t>Creación de una nueva clínica dental</t>
  </si>
  <si>
    <t>Clínica Dental Patricia Martinez</t>
  </si>
  <si>
    <t>2023-M086</t>
  </si>
  <si>
    <t>CREACION DE UN CREMATORIO DE MASCOTAS EN NOREÑA</t>
  </si>
  <si>
    <t>33042</t>
  </si>
  <si>
    <t>Noreña</t>
  </si>
  <si>
    <t>SERVICIOS CREMASTURIAS SL</t>
  </si>
  <si>
    <t>Creacion de un crematorio de mascotas en Noreña</t>
  </si>
  <si>
    <t>2023-M085</t>
  </si>
  <si>
    <t>AMPLIACION EN PLANTA DE FABRICACION DE VENTANAS</t>
  </si>
  <si>
    <t>33004</t>
  </si>
  <si>
    <t>Avilés</t>
  </si>
  <si>
    <t>DESARROLLO EFICIENTE DE VENTANAS SL</t>
  </si>
  <si>
    <t>https://deventana.com/</t>
  </si>
  <si>
    <t>Ampliacion en planta de fabricacion de ventanas</t>
  </si>
  <si>
    <t>2023-M083</t>
  </si>
  <si>
    <t>FRANCISCO BERDASCO GUERRA</t>
  </si>
  <si>
    <t>2023-M078</t>
  </si>
  <si>
    <t>AMPLIACION Y REFORMA AGROTIENDA RURAL DE GRADO</t>
  </si>
  <si>
    <t>33026</t>
  </si>
  <si>
    <t>Grado</t>
  </si>
  <si>
    <t>https://campoastur.es/</t>
  </si>
  <si>
    <t>Ampliacion y reforma agrotienda rural de grado</t>
  </si>
  <si>
    <t>2023-M073</t>
  </si>
  <si>
    <t>LA AMPLIACIÓN DE LA CAPACIDAD OPERATIVA DE REFRACTARIA</t>
  </si>
  <si>
    <t>REFRACTARIA S.A.U</t>
  </si>
  <si>
    <t>https://www.refractaria.com/</t>
  </si>
  <si>
    <t>La ampliación de la capacidad operativa de refractaria</t>
  </si>
  <si>
    <t>2023-M071</t>
  </si>
  <si>
    <t>NUEVA SEDE DE CENTRO ENSEÑANZAS TIC PARA AUTOESCUELA EXIT</t>
  </si>
  <si>
    <t>AUTOESCUELA EXIT OVIEDO SL</t>
  </si>
  <si>
    <t>https://www.autoescuelaexit.com/</t>
  </si>
  <si>
    <t>Nueva sede de centro enseñanzas tic para autoescuela Exit</t>
  </si>
  <si>
    <t>2023-M064</t>
  </si>
  <si>
    <t>AMPLIACIÓN DE LA CAPACIDAD PRODUCTIVA DE DENTAL ASTUR MEDIANTE EQUIPOS DE INDUSTRIA 4.0</t>
  </si>
  <si>
    <t>LABORATORIO DENTAL ASTUR SA</t>
  </si>
  <si>
    <t>https://laboratoriodentalastur.es/</t>
  </si>
  <si>
    <t>Ampliación de la capacidad productiva de Dental Astur mediante equipos de industria 4.0</t>
  </si>
  <si>
    <t>2023-M063</t>
  </si>
  <si>
    <t>CENTRO DE HALOTERAPIA (HALOSPA)</t>
  </si>
  <si>
    <t>MARIA ANGELA FERNANDEZ ALVAREZ</t>
  </si>
  <si>
    <t>Centro de haloterapia (Halospa)</t>
  </si>
  <si>
    <t>2023-M061</t>
  </si>
  <si>
    <t>AMPLIACIÓN DE HOSTAL</t>
  </si>
  <si>
    <t>22234</t>
  </si>
  <si>
    <t>Torrente de Cinca</t>
  </si>
  <si>
    <t>Huesca</t>
  </si>
  <si>
    <t>FONFREDAALONSO SL</t>
  </si>
  <si>
    <t>Ampliación de hostal</t>
  </si>
  <si>
    <t>2023-M053</t>
  </si>
  <si>
    <t>CONSTRUCCION DE NAVE INDUSTRIAL E INSTALACION DE PUENTE GRUA</t>
  </si>
  <si>
    <t>Ascomi Estructuras, S.L.</t>
  </si>
  <si>
    <t>https://www.ascomi.es/</t>
  </si>
  <si>
    <t>Construccion de nave industrial e instalacion de puente grua</t>
  </si>
  <si>
    <t>2023-M052</t>
  </si>
  <si>
    <t>RESTYLING DE MAQUINARIA</t>
  </si>
  <si>
    <t>COEMASTUR, SL</t>
  </si>
  <si>
    <t>https://www.coemastur.com/</t>
  </si>
  <si>
    <t>Restyling de maquinaria</t>
  </si>
  <si>
    <t>2023-M050</t>
  </si>
  <si>
    <t>IMPRENTA GOYMAR, SL</t>
  </si>
  <si>
    <t>https://www.imprentagoymar.es/</t>
  </si>
  <si>
    <t>2023-M047</t>
  </si>
  <si>
    <t>PUESTA EN MARCHA DE CENTRO CULTURAL EN OVIEDO</t>
  </si>
  <si>
    <t>KUIVI VISION, S.L.</t>
  </si>
  <si>
    <t>https://kuivialmacenes.es/</t>
  </si>
  <si>
    <t>Puesta en marcha de centro cultural en Oviedo</t>
  </si>
  <si>
    <t>2023-M037</t>
  </si>
  <si>
    <t>En Ejecución</t>
  </si>
  <si>
    <t>AMPLIACIÓN Y REFORMA DE GIMNASIO PARA AUMENTO Y MEJORA DE CALIDAD DE SERVICIOS</t>
  </si>
  <si>
    <t>22112</t>
  </si>
  <si>
    <t>Fraga</t>
  </si>
  <si>
    <t>DEPORTE Y SALUD PDJ, S.L.</t>
  </si>
  <si>
    <t>https://www.instagram.com/dys_deporteysalud/?hl=es</t>
  </si>
  <si>
    <t>Ampliación y reforma de gimnasio para aumento y mejora de calidad de servicios</t>
  </si>
  <si>
    <t>Ampliación de gimnasio</t>
  </si>
  <si>
    <t>2023-M036</t>
  </si>
  <si>
    <t>CREACION PLANTA DE ALTA TECNOLOGIA DE PROYECCION TERMICA HVAF</t>
  </si>
  <si>
    <t>LLANEZA COATING SL</t>
  </si>
  <si>
    <t>https://talleresllaneza.com/</t>
  </si>
  <si>
    <t>Creacion planta de alta tecnologia de proyeccion termica HVAF</t>
  </si>
  <si>
    <t>2023-M030</t>
  </si>
  <si>
    <t>CREACIÓN DE UNIDAD DE METALISTERÍA, SERIGRAFÍA Y NUEVO ESPACIO EXPERIENCIAL</t>
  </si>
  <si>
    <t>Proa Sur, S.L.</t>
  </si>
  <si>
    <t>https://www.proasur.com/</t>
  </si>
  <si>
    <t>Creación de unidad de metalistería, serigrafía y nuevo espacio experiencial</t>
  </si>
  <si>
    <t>2023-M027</t>
  </si>
  <si>
    <t>ALBERGUE TURÍSTICO</t>
  </si>
  <si>
    <t>24209</t>
  </si>
  <si>
    <t>Villafranca del Bierzo</t>
  </si>
  <si>
    <t>León</t>
  </si>
  <si>
    <t>GERGELY TICHY-RACS</t>
  </si>
  <si>
    <t>https://www.transicionjusta.gob.es/content/dam/itj/files-1/Documents/reactivacion_comarcas/common/MINERIA/MINIMIS_Mineria/Resoluci%C3%B3n%20concesi%C3%B3n%20definitiva%20MINIMIS%202023_firmada.pdf</t>
  </si>
  <si>
    <t>Construcción de albergue turístico en Villafranca del Bierzo</t>
  </si>
  <si>
    <t>Albergue turístico</t>
  </si>
  <si>
    <t>2023-M017</t>
  </si>
  <si>
    <t>AMPLIACION DE INSTALACIONES PARA MEJORA DEL RENDIMIENTO</t>
  </si>
  <si>
    <t>PUERTONARCEA SL</t>
  </si>
  <si>
    <t>https://www.puertonarcea.com/</t>
  </si>
  <si>
    <t>Ampliación de las instalaciones para mejora del rendimiento</t>
  </si>
  <si>
    <t>Ampliación Puertonarcea</t>
  </si>
  <si>
    <t>2023-M013</t>
  </si>
  <si>
    <t>AMPLIACIÓN DE INSTALACIONES</t>
  </si>
  <si>
    <t>MEQUITEC MANTENIMIENTO, S.L.</t>
  </si>
  <si>
    <t>Ampliación de instalaciones</t>
  </si>
  <si>
    <t>2023-M008</t>
  </si>
  <si>
    <t>NUEVA CLÍNICA DE FISIOTERAPIA</t>
  </si>
  <si>
    <t>RICHARD GRANDIO SL</t>
  </si>
  <si>
    <t>Nueva clínica de fisioterapia</t>
  </si>
  <si>
    <t>2023-M005</t>
  </si>
  <si>
    <t>CONTENEDORES GEMA SL</t>
  </si>
  <si>
    <t>https://www.contenedoresgema.es/</t>
  </si>
  <si>
    <t>2023-M001</t>
  </si>
  <si>
    <t>CENTRO DE ATENCION A MAYORES EN LA MODALIDAD DE ALOJAMIENTO</t>
  </si>
  <si>
    <t>ARAMO AUDITORIO SL</t>
  </si>
  <si>
    <t>https://residenciaaramo.com/</t>
  </si>
  <si>
    <t>Centro de atencion a mayores en la modalidad de alojamiento</t>
  </si>
  <si>
    <t>2023-0060</t>
  </si>
  <si>
    <t>AMPLIACION Y REFORMA DE RESIDENCIA</t>
  </si>
  <si>
    <t>RESIDENCIA SANTA ISABEL, S.L.</t>
  </si>
  <si>
    <t>https://www.crsantaisabel.es/</t>
  </si>
  <si>
    <t>Ampliacion y reforma de residencia</t>
  </si>
  <si>
    <t>2023-0054</t>
  </si>
  <si>
    <t>AMPLIACIÓN Y MEJORAS EN CENTRAL HORTOFRUTÍCOLA</t>
  </si>
  <si>
    <t>FRUTAS AURELIO, SL</t>
  </si>
  <si>
    <t>Ampliación y mejora en central hortofrutícola</t>
  </si>
  <si>
    <t>2023-0045</t>
  </si>
  <si>
    <t>CREACIÓN DE NUEVA PLANTA PARA FABRICACIÓN DE ÁRIDOS RECICLADOS</t>
  </si>
  <si>
    <t>TRANSPORTES Y MANIPULACION DE MINERALES SA</t>
  </si>
  <si>
    <t>https://tramisa.es/</t>
  </si>
  <si>
    <t>Creación de nueva planta para fabricación de áridos reciclados</t>
  </si>
  <si>
    <t>2023-0043</t>
  </si>
  <si>
    <t>ADQUISICION DE UN NUEVO CENTRO PRODUCTIVO E INVERSION EN MAQUINARIA INNOVADORA</t>
  </si>
  <si>
    <t>ASTURCOPIA SL</t>
  </si>
  <si>
    <t>https://asturcopia.com/quienes-somos/</t>
  </si>
  <si>
    <t>Adquisicion de un nuevo centro productivo e inversion en maquinaria innovadora</t>
  </si>
  <si>
    <t>2023-0037</t>
  </si>
  <si>
    <t>AMPLIACIÓN DE CAPACIDAD EN PLANTA DE FABRICACIÓN DE CERRAMIENTOS EN PVC</t>
  </si>
  <si>
    <t>CARPINTERIA METALICA VILLA DE AVILES SL</t>
  </si>
  <si>
    <t>http://www.viavi.es/</t>
  </si>
  <si>
    <t>Ampliación de capacidad en planta de fabricación de cerramientos en PVC</t>
  </si>
  <si>
    <t>2023-0028</t>
  </si>
  <si>
    <t>MEJORAS TECNOLÓGICAS EN CENTRAL HORTOFRUTICOLA</t>
  </si>
  <si>
    <t>RIO CINCA SAT N 4301</t>
  </si>
  <si>
    <t>https://cincagroup.com/</t>
  </si>
  <si>
    <t>Mejoras tecnológicas en central hortofruticola</t>
  </si>
  <si>
    <t>Mejoras tecnológicas en central hortofrutícola</t>
  </si>
  <si>
    <t>2023-0013</t>
  </si>
  <si>
    <t>INSTALACIÓN DE PLANTA DESTINADA A LA FABRICACIÓN DE POSTES PRETENSADOS</t>
  </si>
  <si>
    <t>VALENTE IBERICA S.L.</t>
  </si>
  <si>
    <t>https://www.valenteiberica.es/</t>
  </si>
  <si>
    <t>Instalación de planta destinada a la fabricación de postes pretensados</t>
  </si>
  <si>
    <t xml:space="preserve">Planta de postes pretensados </t>
  </si>
  <si>
    <t>2023-0006</t>
  </si>
  <si>
    <t>FABRICACIÓN DE FIBRA POLIESTER A PARTIR DEL RESIDUO DE PLASTICO PET</t>
  </si>
  <si>
    <t>NAECO FIBERS S.L.</t>
  </si>
  <si>
    <t>https://fibers.naeco.com/</t>
  </si>
  <si>
    <t>Fabricación de fibra poliester a partir del residuo de plastico PET</t>
  </si>
  <si>
    <t>2023-0004</t>
  </si>
  <si>
    <t>Construcción de apartamentos turisticos</t>
  </si>
  <si>
    <t>HOTEL VILLALEGRE CB</t>
  </si>
  <si>
    <t>Apartamentos turísticos en Avilés</t>
  </si>
  <si>
    <t>2021-M178</t>
  </si>
  <si>
    <t>Adquisicion de una nueva maquina de corte de madera y toda la instalacion necesaria para su funcionamiento</t>
  </si>
  <si>
    <t>TANO FERNANDEZ, S.L.</t>
  </si>
  <si>
    <t xml:space="preserve">Maquinaria de corte de madera </t>
  </si>
  <si>
    <t>2021-M171</t>
  </si>
  <si>
    <t>Inicio</t>
  </si>
  <si>
    <t>Incorporación de equipamiento tecnológico de última generación.</t>
  </si>
  <si>
    <t>CAREAGA DIGITAL SLNE</t>
  </si>
  <si>
    <t>2021-M158</t>
  </si>
  <si>
    <t>Instalación de un centro de día.</t>
  </si>
  <si>
    <t>CENTRO DE DIA SIERO</t>
  </si>
  <si>
    <t>2021-M152</t>
  </si>
  <si>
    <t>Ampliación de la capacidad operativa de las instalaciones del Tanatorio Los Arenales y adquisición de un nuevo horno crematorio.</t>
  </si>
  <si>
    <t>FUNERARIAS REUNIDAS S.A.</t>
  </si>
  <si>
    <t>Ampliación Tanatorio Los Arenales y nuevo horno crematorio.</t>
  </si>
  <si>
    <t>2021-M150</t>
  </si>
  <si>
    <t>Nueva clinica especializada en fisioterapia y recuperacion funcional mediante pilates</t>
  </si>
  <si>
    <t>LABRUM - MARCOS GARCÍA ALONSO</t>
  </si>
  <si>
    <t>Nueva clinica de fisioterapia</t>
  </si>
  <si>
    <t>2021-M141</t>
  </si>
  <si>
    <t>Creación de un centro para la educación canina y formadores de adiestramiento y peluquería canina.</t>
  </si>
  <si>
    <t>CAMILO GÓMEZ GUZMÁN</t>
  </si>
  <si>
    <t>Creación de un centro para la educación canina y para la formación en  adiestramiento. El mismo contará con servicios de peluquería canina.</t>
  </si>
  <si>
    <t>2021-M140</t>
  </si>
  <si>
    <t>Reforma de taller y ampliación de actividad de desguace.</t>
  </si>
  <si>
    <t>TRANSPORTES ROCES, S.L.</t>
  </si>
  <si>
    <t>2021-M139</t>
  </si>
  <si>
    <t>Fabricacion de productos de molineria a partir de insectos</t>
  </si>
  <si>
    <t>ECO-PROTEÍNA DE InSECTO, S.L.</t>
  </si>
  <si>
    <t>2021-M138</t>
  </si>
  <si>
    <t>Ampliación de una edificación destinada a residencia geriátrica.</t>
  </si>
  <si>
    <t>RESIDENCIALES ASSOR, S.L.</t>
  </si>
  <si>
    <t>Ampliación Residencia geriátrica.</t>
  </si>
  <si>
    <t>2021-M134</t>
  </si>
  <si>
    <t>El proyecto de mejoras tecnológicas en central hortofrutícola consistirá en el acondicionamiento de la actual de la zona de expedición de la central (nave e) mediante la instalación en la misma de tres muelles de carga, puerta seccional y plataforma hidráulica, asi como zona de abrigo correspondiente. Construcción de oficinas para el desarrollo de tareas administrativas y de gestión. Instalación electríca, alumbrado y contra incendios.  Instalación de una línea de deshidratado de producto, así como programas y equipos informáticos.</t>
  </si>
  <si>
    <t>LIMOSIN FRUITS, SL</t>
  </si>
  <si>
    <t>2021-M133</t>
  </si>
  <si>
    <t>Modernización de un hotel de 5 estrellas.</t>
  </si>
  <si>
    <t>VIACARLA INVERSIONES SA</t>
  </si>
  <si>
    <t>2021-M121</t>
  </si>
  <si>
    <t>Ampliación de actividad mediante nueva policlínica podológica.</t>
  </si>
  <si>
    <t>DE YÑIGO &amp; NICOLAS C.B.</t>
  </si>
  <si>
    <t>Nueva policlínica podológica.</t>
  </si>
  <si>
    <t>2021-M120</t>
  </si>
  <si>
    <t>Fabricación de pan y pastas del Bajo Aragón. Modernización de la panadería con la compra de un nuevo horno con quemador/calentador de pellets (en sustitución del anterior que tiene mas de 35 años).</t>
  </si>
  <si>
    <t>44118</t>
  </si>
  <si>
    <t>Ginebrosa, La</t>
  </si>
  <si>
    <t>Teruel</t>
  </si>
  <si>
    <t>JOSE MANUEL BORRAZ SANCHO</t>
  </si>
  <si>
    <t>2021-M117</t>
  </si>
  <si>
    <t>Aquisición de nuevo edificio para fabricación almacenamiento y venta mayorista</t>
  </si>
  <si>
    <t>INOXIDABLES LUAL SL</t>
  </si>
  <si>
    <t>2021-M111</t>
  </si>
  <si>
    <t>Adecuacion y rehabilitacion de diferentes zonas de taller. Nueva instalacion tecnica para recargas de coches electricos.</t>
  </si>
  <si>
    <t>Iberica de Tecnologia y Servicios de Automocion S.L.</t>
  </si>
  <si>
    <t>2021-M099</t>
  </si>
  <si>
    <t>Hosteleria Nor S.L. gestiona un hotel en Lugones de 35 habitaciones y se pretende la adaptacion del mismo a centro de mayores en la modalidad de alojamiento, con 8 habitaciones dobles y 21 individuales para una capcacidad total de 37 plazas</t>
  </si>
  <si>
    <t>HOSTELERIA NOR SL</t>
  </si>
  <si>
    <t xml:space="preserve">Hotel en Lugones </t>
  </si>
  <si>
    <t>2021-M097</t>
  </si>
  <si>
    <t>Diseño, desarrollo e industrialización de nuevos materiales, derivados de elementos naturales, con elevadas prestaciones mecánicas, con el fin de sustituir materiales derivados del petróleo.</t>
  </si>
  <si>
    <t>44004</t>
  </si>
  <si>
    <t>Aguaviva</t>
  </si>
  <si>
    <t>SILVESTRINA SOCIEDAD COOPERATIVA MADRILEÑA</t>
  </si>
  <si>
    <t>Diseño, desarrollo e industrialización de nuevos materiales, derivados de elementos naturales</t>
  </si>
  <si>
    <t>2021-M089</t>
  </si>
  <si>
    <t>Liquidado. Revocación parcial y PDC</t>
  </si>
  <si>
    <t>Adecuación de nueva fabrica para ampliación de la actividad de procesado de frutas y hortalizas peladas, troceadas y envasadas listas para su consumo.</t>
  </si>
  <si>
    <t>PIPS NATURE, S.L.</t>
  </si>
  <si>
    <t>Fabrica procesado de frutas y hortalizas</t>
  </si>
  <si>
    <t>2021-M088</t>
  </si>
  <si>
    <t>Ampliación de silos para soja en una planta de fabricación de pienso compuesto para alimentación del sector porcino.  Los silos constarán con transportador para el llenado de las celdas del almacenaje, indicadores de nivel, tolvas-bascula dosificadores y transportadores finales de cadena, así como automatismos, equipos y programas informáticos para su correcto funcionamiento (Imago S.L). Toda esta actuación permitirá el almacenaje automático de la soja, para su posterior dosificación e incorporación con el resto de los productos a la elaboración del pienso compuesto.</t>
  </si>
  <si>
    <t>CINCAPORC, SAU</t>
  </si>
  <si>
    <t>Fabricación de pienso compuesto para alimentación del sector porcino.</t>
  </si>
  <si>
    <t>2021-M087</t>
  </si>
  <si>
    <t>Revocación total y PDC</t>
  </si>
  <si>
    <t>Modernizacion y adecuacion de nuestras instalaciones, para hacerlas medioambientalmente sostenibles y productivas, asi mismo, se pretender modernizar la trazabilidad y página Web de la empresa refrescando así, nuestra imagen corporativa y reforzando el ecommerce.</t>
  </si>
  <si>
    <t>HACIENDA IBER, S.L.</t>
  </si>
  <si>
    <t>Modernizacion y adecuacion de  instalaciones, para hacerlas medioambientalmente sostenibles y productivas.</t>
  </si>
  <si>
    <t>2021-M085</t>
  </si>
  <si>
    <t>Clínica odontológica.</t>
  </si>
  <si>
    <t>SONIA GONZÁLEZ FEITO</t>
  </si>
  <si>
    <t>2021-M073</t>
  </si>
  <si>
    <t>Nueva línea business en el edificio histórico del Palacio de Ferrera en el hotel Palacio de Avilés, 5 estrellas. digitalización y servicios inteligentes.</t>
  </si>
  <si>
    <t>HOTEL PALACIO DE FERRERA, S.L.</t>
  </si>
  <si>
    <t>2021-M072</t>
  </si>
  <si>
    <t>Adquisicion e instalación de un laser de fibra para corte de chapa. Adecuación de una zona de solar como zona de accesos y maniobra. Adquisición de una carretilla elevadora electrónica.</t>
  </si>
  <si>
    <t>SALLERAS HERMANOS, SL</t>
  </si>
  <si>
    <t>Adquisicion Laser de fibra para corte de chapa</t>
  </si>
  <si>
    <t>2021-M068</t>
  </si>
  <si>
    <t>Centro de fisioterapia y rehabilitación en Mequinenza para evitar el desplazamiento de la gente a otros municipios para realizar la fisioterapia, ya que en Mequinenza no hay este servicio y poder ayudar a la gente a paliar sus dolencias y mejorar su calidad de vida.</t>
  </si>
  <si>
    <t>SANDRA GODIA</t>
  </si>
  <si>
    <t>Centro de fisioterapia y rehabilitación</t>
  </si>
  <si>
    <t>2021-M064</t>
  </si>
  <si>
    <t>Puesta en marcha de un nuevo centro de alta tecnología diagnóstica y asistencia clínica. Adquisición de un escaner para tomografía axial computerizada, un equipo para radiografía digital de altas prestaciones y un ecógrafo doppler.</t>
  </si>
  <si>
    <t>SALUD Y TECNOLOGIA ASTURIANA, S.L.</t>
  </si>
  <si>
    <t>Centro de alta tecnología diagnóstica</t>
  </si>
  <si>
    <t>2021-M061</t>
  </si>
  <si>
    <t xml:space="preserve">Adquisición de un sistema de escaneado portátil de alta precisión incluido el software necesario para la captación de datos, para la ingeniería inversa y metrología. </t>
  </si>
  <si>
    <t xml:space="preserve">RADOSLAW POLCHLOPEK </t>
  </si>
  <si>
    <t>Sistema de escaneado portátil de alta precisión</t>
  </si>
  <si>
    <t>2021-M052</t>
  </si>
  <si>
    <t xml:space="preserve">Liquidado </t>
  </si>
  <si>
    <t>Mejoras tecnológicas en central hortofrutícola, mediante la instalación de una nueva línea para el calibrado de melocotón y nectarina. La línea de confección se ubicará la zona de manipulación, ocupando buena parte de la misma. esta línea de dos carriles, dispondrá además del calibrador, de zona de recepción, con volteador de palots y zona de vaciado en agua.</t>
  </si>
  <si>
    <t>FRUTAS PONS, SL</t>
  </si>
  <si>
    <t>2021-M043</t>
  </si>
  <si>
    <t>Adquisición de un robot de soldadura: - la necesidad de la ayuda en seguir modernizando los procesos productivos de rigual, sa, como fabricante líder en cisternas de carburantes, equipos de medio ambiente y limpieza, orientado a la ser una empresa referente en diferenciación mediante la implantación de la industria 4.0. Se trata de un proyecto de modernización de los sistemas productivos, orientados a la fabricación de cisternas con los máximos estándares de calidad. Como resultado de la puesta en marcha de este proyecto se prevé aumentar la capacidad de producción y el empleo, con contratación de personal de la zona con contrato indefinido.</t>
  </si>
  <si>
    <t>RIGUAL, S.A.</t>
  </si>
  <si>
    <t>Adquisición de un robot de soldadura</t>
  </si>
  <si>
    <t>2021-M039</t>
  </si>
  <si>
    <t>Ampliación y mejora de una central hortofrutícola. Acondicionamiento interior como zona de manipulacion y recepcion de genero, instalación de dos nuevas camaras frigorificas.  Ampliacion de la zona de paletización. Ampliación de la instalación frigorifica existente y la nueva instalación de un hidrocooling (enfriamiento rapido de genero procedente de campo), asi como instalacion electrica y alumbrado, fontaneria y contra-incendios necesaria. Por ultimo, tambien se ha previsto y en la zona de recepción de la instalación de una bascula de pesaje electronica.</t>
  </si>
  <si>
    <t>LLAMFRUIT CHERRY, SL</t>
  </si>
  <si>
    <t xml:space="preserve">Ampliación y mejora de una central hortofrutícola. </t>
  </si>
  <si>
    <t>2021-M038</t>
  </si>
  <si>
    <t>Hotel de dos estrellas dirigido principalmente a estudiantes de Mir.</t>
  </si>
  <si>
    <t>ACEBORENT S.L.</t>
  </si>
  <si>
    <t>Hotel de dos estrellas para estudiantes de Mir.</t>
  </si>
  <si>
    <t>2021-M037</t>
  </si>
  <si>
    <t>Se corrige el empleo comprometido que es 2 (1 de plantilla y 1 autónomo). El empleo creado es 2</t>
  </si>
  <si>
    <t>Comercio al por mayor destinado al sector de flores y plantas y la implementación de un entorno de comercio electronico para acceder a nuestro catálogo de productos on-line.</t>
  </si>
  <si>
    <t>ACCESORIOS MORENTE S.L.</t>
  </si>
  <si>
    <t xml:space="preserve">Comercio al por mayor destinado al sector de flores y plantas </t>
  </si>
  <si>
    <t>2021-M031</t>
  </si>
  <si>
    <t>Adecuación de local y dotación del mismo con bienes y aparatologia e instrumental necesaria para la apertura de nueva clinica dental en Oviedo</t>
  </si>
  <si>
    <t>LAURA MARTINEZ YAGÜE</t>
  </si>
  <si>
    <t>Nueva clinica dental en Oviedo</t>
  </si>
  <si>
    <t>2021-M024</t>
  </si>
  <si>
    <t>Creación de nueva clínica de fisioterapia, así como adquisición de material y maquinaria para la misma</t>
  </si>
  <si>
    <t>IFV FISIOTERAPIA</t>
  </si>
  <si>
    <t>Clínica de fisioterapia</t>
  </si>
  <si>
    <t>2021-M023</t>
  </si>
  <si>
    <t>Compra de inmueble actual y mejora y ampliación de las instalaciones.</t>
  </si>
  <si>
    <t>33016</t>
  </si>
  <si>
    <t>Castrillón</t>
  </si>
  <si>
    <t>CARLOS MEANA PEREZ</t>
  </si>
  <si>
    <t>Mejora y ampliación de las instalaciones.</t>
  </si>
  <si>
    <t>2021-M022</t>
  </si>
  <si>
    <t>Compra nave industrial con el fin de incrementar la planta productiva para hacer frente a la mayor demanda con disminucion de costes.</t>
  </si>
  <si>
    <t>PORTONES Y AUTOMATISMOS ASTURSIERO, S.L.</t>
  </si>
  <si>
    <t>2021-M021</t>
  </si>
  <si>
    <t>Integral Thermal Shield, S.L., destinada a combatir situaciones de calor extremo, acomete una ampliación de su capacidad productiva al objeto de proceder al lanzamiento a nivel nacional de su marca deportiva Veskin, ropa deportiva personalizada de altas prestaciones.</t>
  </si>
  <si>
    <t>INTEGRAL THERMAL SHIELD,S.L.</t>
  </si>
  <si>
    <t>Integral Thermal Shield</t>
  </si>
  <si>
    <t>2021-M020</t>
  </si>
  <si>
    <t>Innovación en tecnología para la odontología.</t>
  </si>
  <si>
    <t>TUDENT, S.L.</t>
  </si>
  <si>
    <t>2021-M015</t>
  </si>
  <si>
    <t>Mejora de los procesos de clasificación y envasado de fruta, mediante la instalación en la línea de calibrado de melocotón y nectarina (greefa) de un sistema automático de detección de defectos internos y externos de los frutos, así como mejoras en la línea de calibrado de cerezas (unitec). Instalación de una envolvedora automática de frutos o máquina de flow-pack. Construcción de una nueva zona de personal. Se procederá también a la adquisición de programas y equipos informáticos.</t>
  </si>
  <si>
    <t>2021-M012</t>
  </si>
  <si>
    <t xml:space="preserve">Apertura de hotel rural </t>
  </si>
  <si>
    <t>24022</t>
  </si>
  <si>
    <t>Borrenes</t>
  </si>
  <si>
    <t>ZAIRA FERNÁNDEZ MORÁN</t>
  </si>
  <si>
    <t>La actividad consistirá en la apertura de un hotel rural en la localidad de la chana municipio de borrenes (león). se realizará la construcción y rehabilitación de una edificación con una antigüedad de más de 100 años. la zona se encuentra próxima a médulas espacio declarado patrimonio de la humanidad y con gran afluencia de visitantes. el hotel contará con cinco habitaciones, de ellas
cuatro serán dobles y una cuádruple. se respetará la estructura de las construcciones de la zona en piedra y madera compaginándolo con una edificación eficiente a nivel energético</t>
  </si>
  <si>
    <t>2021-M009</t>
  </si>
  <si>
    <t>Instalacion de un portero nocturno asi como instalacion de tarjetas y cerraduras en cada una de las habitaciones del hotel.</t>
  </si>
  <si>
    <t>CASCO ANTIGUO AVILES S.A.</t>
  </si>
  <si>
    <t>2021-M008</t>
  </si>
  <si>
    <t>Mejoras tecnológicas en central hortofrutícola, mediante la instalación en la zona de manipulación de dos nuevas líneas de calibrado de frutos, con detección de defectos internos de los mismos. Una de ellas para melocotón y nectarina (uniway 2l p100 gs7) y una segunda para calibrado de cerezas (cherryfre 2l 16s). Estas líneas disponen de la última tecnología detectando de modo automático los defectos internos y externos y de los frutos y separando estos.</t>
  </si>
  <si>
    <t>FRUTAS GUIRAL, SL</t>
  </si>
  <si>
    <t>2021-M001</t>
  </si>
  <si>
    <t>Ampliación de fábrica de ácido Oxalico y sus sales derivadas.</t>
  </si>
  <si>
    <t>44013</t>
  </si>
  <si>
    <t>Alcañiz</t>
  </si>
  <si>
    <t>OXAQUIM, S.A.</t>
  </si>
  <si>
    <t>2021-0109</t>
  </si>
  <si>
    <t>Rehabilitacion de edificio para su uso como centro de personas mayores en el casco de pola de siero</t>
  </si>
  <si>
    <t>CK SENIOR GESTION SL</t>
  </si>
  <si>
    <t>2021-0084</t>
  </si>
  <si>
    <t>Construccion de una nave con la que podremos incrementar la produccion de vigas y placas y adquisición de nuevos moldes de mesas y un molde universal. Nuevos puntos de estocaje y carga de camiones y una zona cubierta de pre stock para pintura y repasos de las piezas.</t>
  </si>
  <si>
    <t>HORMIPRESA CENTRO SUR S.L.U</t>
  </si>
  <si>
    <t>Construccion de una nave con la que se pueda incrementar la produccion de vigas y placas y adquisición de nuevos moldes de mesas y un molde universal. Nuevos puntos de estocaje y carga de camiones y una zona cubierta de pre stock para pintura y repasos de las piezas.</t>
  </si>
  <si>
    <t>Construccion de una nave con la que podremos incrementar la produccion de vigas y placas y adquisición de nuevos moldes de mesas y un molde universal. nuevos puntos de estocaje y carga de camiones y una zona cubierta de pre stock para pintura y repasos de las piezas.</t>
  </si>
  <si>
    <t>2021-0083</t>
  </si>
  <si>
    <t>Se ha añadido el dato correcto: 3 empleos comprometidos</t>
  </si>
  <si>
    <t>Reforma y ampliación de un centro asistencial que atiende a personas con discapacidad</t>
  </si>
  <si>
    <t>FUNDACION VIRGEN DE LLANO</t>
  </si>
  <si>
    <t>2021-0077</t>
  </si>
  <si>
    <t>Ampliación de las instalaciones en el Pi Las Arobias, junto a la ría de Avilés, implantando un proceso productivo más eficiente y sostenible, apostando por ofrecer un “producto de acero verde”, orientado al sector fotovoltaico. También: dotarse con las instalaciones y equipos productivos incorporando en su proceso la fase de corte de bobinas de acero, que hasta ahora subcontrata.</t>
  </si>
  <si>
    <t>ASTURMADI RENEERGY SL</t>
  </si>
  <si>
    <t>Ampliación de las instalaciones en el Pi Las Arobias</t>
  </si>
  <si>
    <t>2021-0074</t>
  </si>
  <si>
    <t>Empleo comprometido: 11, Empleo creado: 7</t>
  </si>
  <si>
    <t>Instalación de una nueva planta de obtención, selección y envasado de semillas, constituido por dos áreas bien diferenciadas, destinadas a gran cultivo y cultivo hobby</t>
  </si>
  <si>
    <t>SEMILLAS BATLLE, S.A.</t>
  </si>
  <si>
    <t>Nueva planta de obtención, selección y envasado de semillas.</t>
  </si>
  <si>
    <t>2021-0069</t>
  </si>
  <si>
    <t>Ampliación de las instalaciones de Cálida Residencial, S.L. centro 91 plazas. El proyecto contempla ampliar en 50 habitaciones.</t>
  </si>
  <si>
    <t>CALIDA RESIDENCIAL SL</t>
  </si>
  <si>
    <t>Ampliación de las instalaciones de Cálida Residencial, S.L.</t>
  </si>
  <si>
    <t>2021-0067</t>
  </si>
  <si>
    <t>Mejoras tecnológicas en industria destinada a la fabricación de repostería y sus derivados (sin gluten), mediante la adquisición del restante solar disponible y su acondicionamiento como zona de tratamiento de residuos. Mejora de los procesos de elaboración y envasado, mediante la adquisición de una línea de enfriamiento y descarga automática de carros, así como una bañadora y fundidora de chocolate. también se pretende la automatización del pesaje de líquidos y harinas. Adquisición de una envolvedora automática o máquina de flow-pack y un paletizador automático (celdas de paletizado).</t>
  </si>
  <si>
    <t>BRIOIXPAN, SL</t>
  </si>
  <si>
    <t>Mejoras tecnológicas en industria destinada a la fabricación de repostería y sus derivados (sin gluten)</t>
  </si>
  <si>
    <t>2021-0066</t>
  </si>
  <si>
    <t>Ampliación y mejora de los procesos de manipulación, envasado y conservación de fruta, mediante la instalación de un sistema de enfriamiento de fruta proveniente de campo (hidrocooling dinámico), así como la adquisición de una línea de calibrado para melocotón y nectarina, con su correspondiente equipo de vaciado en agua y volteador automático.  Instalación del sistema de detección automático de defectos internos de los frutos aplicado a la línea existente y una nueva línea a adquirir (unitec), detectando además grado de madurez de los frutos.  Adquisición de una línea de envasado automática de cerezas, mediante cestas.</t>
  </si>
  <si>
    <t>SAT 4301 RIO CINCA</t>
  </si>
  <si>
    <t>Mejora planta de procesado de fruta</t>
  </si>
  <si>
    <t>2021-0048</t>
  </si>
  <si>
    <t>Ampliación de la residencia santa isabel: creación de una planta más sobre la ya existente, para la ampliación de 26 plazas más que harían un total de 50 plazas autorizadas.</t>
  </si>
  <si>
    <t>Ampliación de la residencia santa isabel: creación de una planta más sobre la ya existente.</t>
  </si>
  <si>
    <t>2021-0046</t>
  </si>
  <si>
    <t>Instalación de una industria destinada a la fabricación y venta de productos de envasado.  Instalacion electrica y de alumbrado, asi como fontaneria, contra incendios y demás necesarias.  Instalacion de una maquina formadora de cajas de carton y, estanterias de paletización. Adquisición de tres carretillas elevadoras electronicas.</t>
  </si>
  <si>
    <t>LLORENÇ FONTANET, SL</t>
  </si>
  <si>
    <t>Instalación de una industria destinada a la fabricación y venta de productos de envasado.</t>
  </si>
  <si>
    <t>2021-0038</t>
  </si>
  <si>
    <t>Nuevo hotel en Oviedo</t>
  </si>
  <si>
    <t>Promociones y Construcciones Alvarez S.L.</t>
  </si>
  <si>
    <t>2021-0019</t>
  </si>
  <si>
    <t>Compra de terreno y construcción de hotel de 4 estrellas en concejo minero</t>
  </si>
  <si>
    <t>ELEONORE SOCIEDAD LIMITADA</t>
  </si>
  <si>
    <t>2021-0011</t>
  </si>
  <si>
    <t xml:space="preserve">Puesta en marcha de centro residencial para personas mayores </t>
  </si>
  <si>
    <t>24034</t>
  </si>
  <si>
    <t>Camponaraya</t>
  </si>
  <si>
    <t>VALLE DE OZA, S.L.</t>
  </si>
  <si>
    <t>https://www.diariodeleon.es/bierzo/100724/511038/paramo-adjudica-obras-geriatrico-inversion-tres-millones.html</t>
  </si>
  <si>
    <t>Puesta en marcha de centro residencial para personas mayores en la localidad de camponaraya.</t>
  </si>
  <si>
    <t>2021-0008</t>
  </si>
  <si>
    <t>Construcción de una residencia geriatrica para personas válidas y asistidas mas un centro de día. el edificio constará de planta sotano, baja y tres plantas destinadas a estancias, en total albergara 195 personas en dormitorios dobles (78) y sencillos (39). La planta sotano se destina a servicios propios de la residencia, contando con aparcamiento. La planta baja se destina a cocina-comedor, actividades, salas y tanatorio.</t>
  </si>
  <si>
    <t>RESIDENCIAS MENEN, S.L</t>
  </si>
  <si>
    <t xml:space="preserve">Construcción de una residencia geriatrica para personas válidas y asistidas mas un centro de día. </t>
  </si>
  <si>
    <t>2021-0005</t>
  </si>
  <si>
    <t>Pago a cuenta (75%)</t>
  </si>
  <si>
    <t xml:space="preserve">Proyecto de ampliación y mejora de central hortofrutícola mediante la adquisición de terrenos y la posterior construcción en los mismos de una nave-almacen y zona de expedición. Se procederá a la instalación de dos cámaras frigoríficas y una zona de expedición, con acceso a tres muelles de carga para camiones. Igualmente se procederá a la ampliación frigorífica necesaria, así como la instalación eléctrica y contra-incendios de la central. </t>
  </si>
  <si>
    <t>2R FRUITS, SL</t>
  </si>
  <si>
    <t xml:space="preserve">Ampliación y mejora de central hortofrutícola </t>
  </si>
  <si>
    <t>2021-0004</t>
  </si>
  <si>
    <t>Construcción y puesta en marcha de una planta de tratamiento sandach. Se centra en la recogida, tratamiento y eliminación de estos subproductos. se persigue la sanidad animal y la sostenibilidad ambiental de las explotaciones ganaderas. así como la valorización energética de estos subproductos durante su tratamiento y eliminación.</t>
  </si>
  <si>
    <t>ANIMAL BY-PRODUCTS SOLUTIONS SL</t>
  </si>
  <si>
    <t>Tratamiento de subproductos animales, con un presupuesto que asciende a la cantidad de 4,8 millones de euros y con un plazo de ejecución de cinco meses. La empresa deberá abonar un canon del 2% del importe total de la inversión a realizar  para la ejecución de las obras, construcciones e instalaciones, en concepto de participación municipal en el aprovechamiento urbanístico atribuido por la calificación urbanística. Asimismo, deberá depositar fianza del 3% del presupuesto de la obra a realizar.   La nueva empresa ocupará el espacio de la antigua nave de talleres de Encasur en Puertollano.</t>
  </si>
  <si>
    <t>Construcción y puesta en marcha de una planta de tratamiento sandach. se centra en la recogida, tratamiento y eliminación de estos subproductos. se persigue la sanidad animal y la sostenibilidad ambiental de las explotaciones ganaderas. así como la valorización energética de estos subproductos durante su tratamiento y eliminación.</t>
  </si>
  <si>
    <t>2021-0001</t>
  </si>
  <si>
    <t>Inversión en la mejora y modernización de la línea de producción de envases y embalajes de madera</t>
  </si>
  <si>
    <t>Servicio de Integracion Laboral del Principado de Asturias, S.L.</t>
  </si>
  <si>
    <t>2018-M153</t>
  </si>
  <si>
    <t>tiempo completo para un mayor de 45 años (autónomo</t>
  </si>
  <si>
    <t>Empleo</t>
  </si>
  <si>
    <t>Centro de almacenaje y distribución de productos alimenticios</t>
  </si>
  <si>
    <t>33065</t>
  </si>
  <si>
    <t>Sariego</t>
  </si>
  <si>
    <t>Centro Industrial y Tecnologico Odonnell S.L.</t>
  </si>
  <si>
    <t>2018-M152</t>
  </si>
  <si>
    <t xml:space="preserve">Adquisición de local y maquinaria para ampliación de la actividad de las reparaciones de material quirúrgico de la empresa </t>
  </si>
  <si>
    <t>4-ICE Medical S.L.</t>
  </si>
  <si>
    <t>Ampliación de la actividad de las reparaciones de material quirúrgico.</t>
  </si>
  <si>
    <t>2018-M147</t>
  </si>
  <si>
    <t>Adaptación de instalaciones para añadir nueva actividad comercial de una empresa de reparación de vehiculos pesados</t>
  </si>
  <si>
    <t>Belval Servicios y Ventas, S.L.</t>
  </si>
  <si>
    <t>2018-M138</t>
  </si>
  <si>
    <t>Adecuación y habilitación de un espacio para Realidad virtual</t>
  </si>
  <si>
    <t>Laura Tarrazo Tarrazo</t>
  </si>
  <si>
    <t>2018-M137</t>
  </si>
  <si>
    <t xml:space="preserve">Rehabilitación y adecuación de un espacio de creación audiovisual colaborativa </t>
  </si>
  <si>
    <t>Kuivi Vision, S.L.</t>
  </si>
  <si>
    <t>2018-M136</t>
  </si>
  <si>
    <t>Adquisición de una instalación/maquina de corte de agua a presión, con la que pretende mejorar el proceso productivo de la empresa que se dedica a la Fabricación de maquinaria para la industria agroalimentaria</t>
  </si>
  <si>
    <t>Construcciones Foncueva, S.L.</t>
  </si>
  <si>
    <t>2018-M135</t>
  </si>
  <si>
    <t>Ampliación de instalaciones en una nave industrial para la fabricación vidrio (oficinas, aseos y vestuarios; maquinaria.) El objeto del proyecto es abrir un nuevo campo de negocio, como es la transformación propia del vidrio, con lo que pasarán a ser más competitivos en grandes instalaciones de vidrio.</t>
  </si>
  <si>
    <t>Montajes y Tecnologias para Fachadas, S.L.</t>
  </si>
  <si>
    <t xml:space="preserve">Ampliación de instalaciones en una nave industrial para la fabricación vidrio </t>
  </si>
  <si>
    <t>2018-M134</t>
  </si>
  <si>
    <t>Instalación de un equipo de aspiración y filtración para mejorar las condiciones de seguridad y salud en
el trabajo y de un sistema de calefacción más eficiente, para una empresa de carrozado integral de autobuses y microbuses.</t>
  </si>
  <si>
    <t>Carroceria Ferqui, S.L.</t>
  </si>
  <si>
    <t>Empresa de carrozado integral de autobuses y microbuses.</t>
  </si>
  <si>
    <t>2018-M128</t>
  </si>
  <si>
    <t>Ampliación de instalaciones para fabricación de productos metálicos</t>
  </si>
  <si>
    <t>Hispano Industrias Svelt, S.L.</t>
  </si>
  <si>
    <t>2018-M126</t>
  </si>
  <si>
    <t>Construcción de nave e instalación de un puente grua</t>
  </si>
  <si>
    <t>2018-M124</t>
  </si>
  <si>
    <t>Ampliación de la zona de oficinas</t>
  </si>
  <si>
    <t>Desing Business&amp;Verification Services S.L.L.</t>
  </si>
  <si>
    <t>2018-M113</t>
  </si>
  <si>
    <t>Mejorar la eficacia de la empresa con un nuevo programa de gestionm para desarrollar sus actividades comerciales de accesorios del vino</t>
  </si>
  <si>
    <t>Find It Import&amp;Export S.L.</t>
  </si>
  <si>
    <t>Mejorar la eficacia de la empresa con un nuevo programa de gestion para desarrollar sus actividades comerciales de accesorios del vino</t>
  </si>
  <si>
    <t>Mejora comercial de accesorios del vino</t>
  </si>
  <si>
    <t>2018-M112</t>
  </si>
  <si>
    <t>Creación de empresa de hidrodemolicion del hormigón con equipos de alta presion</t>
  </si>
  <si>
    <t>Soluciones Ultra Alta Presión, S.L.</t>
  </si>
  <si>
    <t xml:space="preserve">Creación de empresa de hidrodemolicion del hormigón </t>
  </si>
  <si>
    <t>2018-M108</t>
  </si>
  <si>
    <t>Ampliación y modernización de taller mecánico de vehiculos eléctricos o no</t>
  </si>
  <si>
    <t>2018-M107</t>
  </si>
  <si>
    <t>Alojamiento túristico de dos estrellas</t>
  </si>
  <si>
    <t>33040</t>
  </si>
  <si>
    <t>Nava</t>
  </si>
  <si>
    <t>Ana Emilia  Ordoñez Gonzalez</t>
  </si>
  <si>
    <t>2018-M104</t>
  </si>
  <si>
    <t>Adquisición de impresora flexográfica para una empresa de fabricación de envases y embalajes de plástico</t>
  </si>
  <si>
    <t>Tecnoenvases Alvarez S.L.</t>
  </si>
  <si>
    <t>Fabricación de envases y embalajes de plástico</t>
  </si>
  <si>
    <t>2018-M103</t>
  </si>
  <si>
    <t>Adquisición de terrenos para apartamentos turísticos de lujo ("cabañas") en espacio rural</t>
  </si>
  <si>
    <t>33034</t>
  </si>
  <si>
    <t>Valdés</t>
  </si>
  <si>
    <t>Cabins in Paradise, S.L.</t>
  </si>
  <si>
    <t>2018-M096</t>
  </si>
  <si>
    <t>Inversión en instalaciones de una empresa de venta al por mayor de productos farmacéuticos para su expansión nacional e Internacional (ñejora de los procesos logísticos, plataforma e-comercio)</t>
  </si>
  <si>
    <t>Dental Iberica 2008 S.L.</t>
  </si>
  <si>
    <t>Inversión en instalaciones de una empresa de venta al por mayor de productos farmacéuticos para su expansión nacional e Internacional (mejora de los procesos logísticos, plataforma e-comercio)</t>
  </si>
  <si>
    <t xml:space="preserve">Mejora instalaciones productos farmacéuticos </t>
  </si>
  <si>
    <t>2018-M094</t>
  </si>
  <si>
    <t>Adquisición de suelo y construcción nave para ampliación de instalaciones (espacio de almacén y de exposición) para una empresa de comercio al por mayor de madera, materiales de construcción y aparatos sanitarios.</t>
  </si>
  <si>
    <t>Omega Norte S.L.</t>
  </si>
  <si>
    <t>2018-M092</t>
  </si>
  <si>
    <t>Instalación de gas y calefacción en nave y compra de maquinaría para una empresa de diseño y fabricación de equipos industriales</t>
  </si>
  <si>
    <t>Valfer Automatización de Procesos Industriales S.L.</t>
  </si>
  <si>
    <t>2018-M076</t>
  </si>
  <si>
    <t>El informe menciona que el proyecto intentaría competir en un mercado turístico ya saturado.</t>
  </si>
  <si>
    <t>No ejecución</t>
  </si>
  <si>
    <t>Rehabilitación edificio siglo XVII para casa rural</t>
  </si>
  <si>
    <t>24100</t>
  </si>
  <si>
    <t>Molinaseca</t>
  </si>
  <si>
    <t>Brañuelas Inmuebles S.L.</t>
  </si>
  <si>
    <t>2018-M074</t>
  </si>
  <si>
    <t>AMPLIACION Y MEJORA DE CENTRAL HORTOFRUTICOLA</t>
  </si>
  <si>
    <t>EXCELSIORFRUIT, SL</t>
  </si>
  <si>
    <t>Ampliacion y mejora de central hortofrutícola</t>
  </si>
  <si>
    <t>2018-M062</t>
  </si>
  <si>
    <t>mejora de la eficiencia energética</t>
  </si>
  <si>
    <t>Instalación sistema climatización en una bodega</t>
  </si>
  <si>
    <t>24038</t>
  </si>
  <si>
    <t>Carracedelo</t>
  </si>
  <si>
    <t>BODEGA DEL ABAD, S.L.</t>
  </si>
  <si>
    <t>2018-M060</t>
  </si>
  <si>
    <t xml:space="preserve">El proyecto conlleva un incremento importante en su demanda de electricidad, sin embargo, también plantea realizar un estudio y posible instalación de paneles fotovoltaicos. </t>
  </si>
  <si>
    <t xml:space="preserve">Ampliación de planta de instalación de máquinas y equipos industriales </t>
  </si>
  <si>
    <t>3.- INSTALACIÓN PARA EL USO BOMBONAS GAS PARA ENVASADO ACEITUNA</t>
  </si>
  <si>
    <t>2018-M058</t>
  </si>
  <si>
    <t>Pago a cuenta (50%). Revocación parcial</t>
  </si>
  <si>
    <t>AMPLIACION Y MEJORA DE CENTRAL HORTOFRUTÍCOLA</t>
  </si>
  <si>
    <t>Central Hortofrutícola</t>
  </si>
  <si>
    <t>2018-M057</t>
  </si>
  <si>
    <t>Mejora bodega que elabora, embotella y vende vinos</t>
  </si>
  <si>
    <t>BODEGAS Y VIÑEDOS CASTRO VENTOSA, S.L.</t>
  </si>
  <si>
    <t>2018-M054</t>
  </si>
  <si>
    <t>AMPLIACIÓN Y MODERNIZACIÓN DE CENTRAL HORTOFRUTÍCOLA</t>
  </si>
  <si>
    <t>FRUTAS MAGDA, SL</t>
  </si>
  <si>
    <t>Ampliación y modernización de central hotofrutícola</t>
  </si>
  <si>
    <t>2018-M048</t>
  </si>
  <si>
    <t>Rehabilitación viñas familiares para crear nueva bodega de vinos</t>
  </si>
  <si>
    <t>24143</t>
  </si>
  <si>
    <t>Sancedo</t>
  </si>
  <si>
    <t>BODEGAS CEPALL, CB</t>
  </si>
  <si>
    <t>https://debodegaenbodega.es/producto/bodega-cepall-sancedo-del-bierzo-leon/</t>
  </si>
  <si>
    <t>2018-M046</t>
  </si>
  <si>
    <t>Caldera de biomasa para los sistemas de calefación</t>
  </si>
  <si>
    <t>2018-M045</t>
  </si>
  <si>
    <t>El proyecto implica un escalamiento en la cadena de valor de los productos micologicos. Además, la construcción usará principios de la arquitectura sostenible</t>
  </si>
  <si>
    <t>Creación de centro de cultivo y transformación de hongos medicinales cultivados de manera ecológica, la arquitectura será medioambientalmente sostenible.</t>
  </si>
  <si>
    <t>24049</t>
  </si>
  <si>
    <t>Castropodame</t>
  </si>
  <si>
    <t>ORO DE CASTROPODAME S.L</t>
  </si>
  <si>
    <t>2018-M044</t>
  </si>
  <si>
    <t>La instalación de los filtros asociados al nuevo horno se realiza sobre la explanada donde se desenvuelve la maquinaria de gestión de escorias. La limitación del espacio de maniobra junto con un incremento de las escorias a procesar, fuerza la reubicación de este elemento de la planta. El emplazamiento seleccionado para la recolocación del sistema de tratamiento de escorias, se encuentra en el límite occidental del perímetro de la planta. Este sistema se dota de mayor capacidad en todas sus fases y, especialmente, en la fase de inertización, dotada ahora con dos silos, que es en la que mayor tiempo permanecen las escorias. La superficie en planta de los sistemas de tratamiento de escorias pasa de unos 400 m2 a casi 1.000 m2.</t>
  </si>
  <si>
    <t>EL ORUJO, CON UN SEPARADOR EL HUESO DE LA ACEITUNA PARA UTILIZARLO EN</t>
  </si>
  <si>
    <t>2018-M042</t>
  </si>
  <si>
    <t>Adblue es un aditivo químico que, cuando se añade a un combustible, disminuye las emisiones de NOX creadas en la combustión.</t>
  </si>
  <si>
    <t>Ampliación instalaciones de empresa productora de Adblue</t>
  </si>
  <si>
    <t>FINISH METAL PLATING, SL</t>
  </si>
  <si>
    <t>Esta empresa comenzó hace tres años su actividad en Puertollano con la fabricación de aditivos «Adblue» destinados a reducir las emisiones de motores diesel y ahora incrementará sus instalaciones industriales.</t>
  </si>
  <si>
    <t>Ampliación instalaciones de empresa productora de adblue</t>
  </si>
  <si>
    <t>2018-M036</t>
  </si>
  <si>
    <t>Ampliación y modernización de empresa de mantenimiento industrial</t>
  </si>
  <si>
    <t>Empresa de mantenimiento industrial</t>
  </si>
  <si>
    <t>2018-M031</t>
  </si>
  <si>
    <t>Modernización de un taller de reparación y lavado de vehículos</t>
  </si>
  <si>
    <t>AUTOMOTO CENTER, S.L.</t>
  </si>
  <si>
    <t>Taller de reparación y lavado de vehículos</t>
  </si>
  <si>
    <t>2018-M030</t>
  </si>
  <si>
    <t>Construcción hotel apartamento con servicios de gimnasio y spa</t>
  </si>
  <si>
    <t>ALEJANDRO VILLAR PEREZ</t>
  </si>
  <si>
    <t>2018-M028</t>
  </si>
  <si>
    <t>Se trata de la compra de bienes de equipo y otros activos necesarios para la realización de la actividad de una empresa de comunicación (Servicios de ingeniería de red fija (FTTH), Servicios de mantenimiento de la red-cliente, Servicios de cableado, Servicio de instalación de internet)</t>
  </si>
  <si>
    <t>A Toda Velocidad S.L.</t>
  </si>
  <si>
    <t>mejora de servicios de empresa de comunicación (Servicios de ingeniería de red fija (FTTH)</t>
  </si>
  <si>
    <t>2018-M026</t>
  </si>
  <si>
    <t>Servicios públicos básicos (fijación de la población)</t>
  </si>
  <si>
    <t>Modernización de las instalaciones de una empresa envasadora de aceitunas</t>
  </si>
  <si>
    <t>50074</t>
  </si>
  <si>
    <t>Caspe</t>
  </si>
  <si>
    <t>ACEITUNAS Y ENCURTIDOS MAR DE ARAGÓN, S.L.</t>
  </si>
  <si>
    <t>Modernización empresa envasadora de aceitunas</t>
  </si>
  <si>
    <t>2018-M017</t>
  </si>
  <si>
    <t>1 empleo fijo y 2 autónomos</t>
  </si>
  <si>
    <t>Implantación de laboratorio protésico dental; Adecuación mediante la adquisición de bienes de equipos y materiales</t>
  </si>
  <si>
    <t>Canteli y Romo CB</t>
  </si>
  <si>
    <t>Implantación de laboratorio protésico dental</t>
  </si>
  <si>
    <t>2018-M014</t>
  </si>
  <si>
    <t>Restauración de casa para convertirla en tres apartamentos turísticos</t>
  </si>
  <si>
    <t>María Amparo González Salazar</t>
  </si>
  <si>
    <t>2018-M012</t>
  </si>
  <si>
    <t>Desarrollo económico alternativo</t>
  </si>
  <si>
    <t>Creación nave para venta de materiales construcción de tejados y cubiertas</t>
  </si>
  <si>
    <t>ALUMINIOS Y SUMINISTROS PARA CUBIERTAS, ASC BIERZO, S.L.</t>
  </si>
  <si>
    <t>2018-M010</t>
  </si>
  <si>
    <t>Ampliación y reforma de residencia geriatrica</t>
  </si>
  <si>
    <t>Ampliación  residencia geriatrica</t>
  </si>
  <si>
    <t>2018-M007</t>
  </si>
  <si>
    <t>Mejora de la productividad para desarrollo contenidos para museos de alta complejidad técnica</t>
  </si>
  <si>
    <t>2018-M004</t>
  </si>
  <si>
    <t>Construcción de nuevo edificio corporativo y adquisición de nuevo equipamiento</t>
  </si>
  <si>
    <t>Instalaciones Electroastur S.L.</t>
  </si>
  <si>
    <t>2018-0064</t>
  </si>
  <si>
    <t>La nueva línea de producción no es particularmente innovadora.</t>
  </si>
  <si>
    <t>Incorporación de una nueva línea de produccion de galletas y pastas</t>
  </si>
  <si>
    <t>Productos La Luarquesa, S.L.</t>
  </si>
  <si>
    <t>Nueva línea de produccion de galletas y pastas</t>
  </si>
  <si>
    <t>2018-0055</t>
  </si>
  <si>
    <t>Construcción de hotel de 4 estrellas usando principios de arquitectura sostenible</t>
  </si>
  <si>
    <t>2018-0053</t>
  </si>
  <si>
    <t>Compra de un solar para instalar una fábrica de prefabricados de hormigón premodelado</t>
  </si>
  <si>
    <t>SPRING CAPITAL, SL</t>
  </si>
  <si>
    <t>2018-0035</t>
  </si>
  <si>
    <t>El proyecto sería llevado por una cooperativa, una empresa parte de la economía social que puede dinamizar el tejido socio-económico local.</t>
  </si>
  <si>
    <t>Modernización de una fábrica de piensos</t>
  </si>
  <si>
    <t>SOCIEDAD COOPERATIVA GANADERA DE CASPE, S.R.L.</t>
  </si>
  <si>
    <t>Fábrica de piensos</t>
  </si>
  <si>
    <t>2018-0034</t>
  </si>
  <si>
    <t>El hotel será construido usando principios de la arquitectura sostenible e implementando una caldera de biomasa</t>
  </si>
  <si>
    <t>Rehabilitación y explotación de un Hotel de 5 Estrellas usando principios de arquitectura ecológica</t>
  </si>
  <si>
    <t>44154</t>
  </si>
  <si>
    <t>Monroyo</t>
  </si>
  <si>
    <t>PROYECTOS E INVERSIONES DEL MATARRAÑA, S.L.</t>
  </si>
  <si>
    <t>Rehabilitación y explotación de un Hotel de 5 Estrellas</t>
  </si>
  <si>
    <t>2018-0030</t>
  </si>
  <si>
    <t>Ampliación y mejora de una fábrica de ácido oxálico mediante la creación de una planta de CO</t>
  </si>
  <si>
    <t>2018-0028</t>
  </si>
  <si>
    <t>INSTALACIÓN DE UNA CENTRAL HORTOFRUTÍCOLA</t>
  </si>
  <si>
    <t>LABER 2011, SL</t>
  </si>
  <si>
    <t>Instalación de una central Hortofrutícola</t>
  </si>
  <si>
    <t>2018-0024</t>
  </si>
  <si>
    <t>FRUTAS DAVID, S.L.</t>
  </si>
  <si>
    <t>2018-0022</t>
  </si>
  <si>
    <t>La empresa plantea usar productos locales y ecológicos. Esto podría dinamizar el tejido socio-económico local</t>
  </si>
  <si>
    <t>Instalación y puesta en marcha de línea de deshidratación de alimentos</t>
  </si>
  <si>
    <t>24030</t>
  </si>
  <si>
    <t>Cacabelos</t>
  </si>
  <si>
    <t>DRYMOONTECHNOLOGY INGREDIENTS, S. L.</t>
  </si>
  <si>
    <t>2018-0020</t>
  </si>
  <si>
    <t>El tipo de tecnología utilizada en este proyecto requiere una demanda de electricida un 89% menor que la media del sector. Un punto importante dado que el reciclaje de baterías tiende a ser electrointensivo</t>
  </si>
  <si>
    <t>Construcción y puesta en marcha de una planta industrial a gran escala para el reciclaje y valorización ecológica de BPA.</t>
  </si>
  <si>
    <t>CLEANTECH LAB, S.L.</t>
  </si>
  <si>
    <t>Clean Tech Lab aspira a liderar el ámbito de la economía circular en el reciclaje de baterías de plomo ácido, con una capacidad de reciclaje y valorización ecológica de 50.000 toneladas anuales y la tecnología de bajo consumo de energía «más limpia e innovadora de Europa»El objetivo de la construcción de esta planta, según Clean Tech Lab, es fomentar el reciclado de los materiales, en este caso las baterías fuera de uso, para que se alcancen los objetivos de reducir la cantidad de residuos depositados en vertedero.
De esta forma, considerando las baterías fuera de uso como residuos, la empresa será capaz de reciclar la pasta de plomo, con aplicabilidad en la fabricación de nuevas baterías, pero también, asegura, «generará otros materiales secundarios como el plástico, aleación de plomo o ácido, que volverán a ser introducidos en el mercado como materias primas secundarias para el proceso de fabricación de baterías y para otros sectores industriales»..</t>
  </si>
  <si>
    <t>Construcción y puesta en marcha de una planta industrial a gran escala para el reciclaje y valorización ecológica de bpa.</t>
  </si>
  <si>
    <t>2018-0018</t>
  </si>
  <si>
    <t>Comprometido: 10, creado 9,88</t>
  </si>
  <si>
    <t>Modernización industria panificadora para sacar nueva línea "sin gluten"</t>
  </si>
  <si>
    <t>Panificadora sin gluten</t>
  </si>
  <si>
    <t>2018-0015</t>
  </si>
  <si>
    <t>El proyecto implica la mecanización de un proceso realizado manualmente hasta la fecha</t>
  </si>
  <si>
    <t>INSTALACIÓN DE UNA FÁBRICA DE ENVASES DE CARTÓN</t>
  </si>
  <si>
    <t>BOX JOVE, S.L.</t>
  </si>
  <si>
    <t>Instalación de una fábrica de envases de cartón</t>
  </si>
  <si>
    <t>Fábrica de envases de cartón</t>
  </si>
  <si>
    <t>2018-0014</t>
  </si>
  <si>
    <t>AMPLIACIÓN Y MEJORA DE CENTRAL HORTOFRUTICOLA</t>
  </si>
  <si>
    <t>ASOFRUBE, SL</t>
  </si>
  <si>
    <t>2018-0011</t>
  </si>
  <si>
    <t>MODERNIZACIÓN DE CENTRAL HORTOFRUTÍCOLA CON LA APLICACIÓN DE NUEVOS PROCESOS DE CLASIFICACIÓN Y ENVASADO</t>
  </si>
  <si>
    <t>ALBICE, S.L.</t>
  </si>
  <si>
    <t>Modernización de central hortofrutícola con la aplicación de nuevos procesos de clasificación y envasado</t>
  </si>
  <si>
    <t>Modernización de central hortofrutícola</t>
  </si>
  <si>
    <t>2018-0010</t>
  </si>
  <si>
    <t>Instalación de un camping de lujo centrado en el eco-turismo</t>
  </si>
  <si>
    <t>EBRUS, S.L.</t>
  </si>
  <si>
    <t>2018-0007</t>
  </si>
  <si>
    <t>Empleo Comprometido: 3, creado: 2,99</t>
  </si>
  <si>
    <t>Fabricación de espumogenos con un menor daño medioambiental</t>
  </si>
  <si>
    <t>VS FOCUM, S.L.</t>
  </si>
  <si>
    <t>Fabricación de espumogenos</t>
  </si>
  <si>
    <t>2018-0005</t>
  </si>
  <si>
    <t>INCORPORACIÓN DE LA MEJOR TECNOLOGÍA DISPONIBLE PARA PODER LLEVAR A CABO LA INSTALACIÓN Y PUESTA EN MARCHA DE UNA LÍNEA DE PRETRATAMIENTO Y PINTURA MIXTA EN POLVO Y LÍQUIDA PARA EL PINTADO DE PUERTAS INDUSTRIALES Y RAMPAS NIVELADORAS</t>
  </si>
  <si>
    <t>PUERTAS ROPER, S.L</t>
  </si>
  <si>
    <t>Incorporación de la mejor tecnología disponible para poder llevar a cabo la instalación y puesta en marcha de una línea de pretratamiento y pintura mixta en polvo y líquida para el pintado de puertas industriales y rampas niveladoras</t>
  </si>
  <si>
    <t>Línea de pretratamiento y pintura mixta en polvo y líquida para el pintado de puertas industriales y rampas niveladoras</t>
  </si>
  <si>
    <t>2018-0001</t>
  </si>
  <si>
    <t>Implantación de instalaciones de recepción, enfriamiento y almacenamiento refrigerado de fruta</t>
  </si>
  <si>
    <t>Mejora instalaciones de fruta</t>
  </si>
  <si>
    <t>2016-0031</t>
  </si>
  <si>
    <t xml:space="preserve">mejora de los procesos de producción con la construcción de nave y al instalación de nuevas líneas de calibrado </t>
  </si>
  <si>
    <t>SAT Nº 4301 RIO CINCA</t>
  </si>
  <si>
    <t xml:space="preserve">Nueva nave y  nuevas líneas de calibrado </t>
  </si>
  <si>
    <t>2016-0029</t>
  </si>
  <si>
    <t>ampliación y mejora de central hortofruticola</t>
  </si>
  <si>
    <t>IFRUMI, S.L.</t>
  </si>
  <si>
    <t>2016-0028</t>
  </si>
  <si>
    <t>instalación de central hortofrutícola mediante la adquisición de parcela, construcción de nave almacén y adquisición de material</t>
  </si>
  <si>
    <t>2016-0027</t>
  </si>
  <si>
    <t>construcción de una nave almacén para central hortofrutícola</t>
  </si>
  <si>
    <t>Construcción de una nave almacén para central hortofrutícola</t>
  </si>
  <si>
    <t>2016-0025</t>
  </si>
  <si>
    <t>Implantación de líneas innovadoras de elaboración de productos de repostería industrial</t>
  </si>
  <si>
    <t>VERTICE DE INNOVACIÓN Y DESARROLLO DE ALIMENTOS, S.A.U.</t>
  </si>
  <si>
    <t>https://radioaguilar.com/ultimas-noticias/la-tercera-fabrica-de-gullon-en-aguilar-comenzara-a-producir-durante-el-primer-trimestre-del-proximo-ano/</t>
  </si>
  <si>
    <t>llevamos más de 20 años en el campo de la exportación y somos proveedores de la gama de alta calidad de charcutería para las grandes cadenas de distribución. puedes encontrar nuestros productos en francia, reino unido, suiza, suecia, alemania, italia, bélgica, holanda, polonia y portugal.</t>
  </si>
  <si>
    <t>2016-0018</t>
  </si>
  <si>
    <t>05913040Q</t>
  </si>
  <si>
    <t>05910678T</t>
  </si>
  <si>
    <t>05910047J</t>
  </si>
  <si>
    <t>05907720D</t>
  </si>
  <si>
    <t>05907291V</t>
  </si>
  <si>
    <t>05907205T</t>
  </si>
  <si>
    <t>05906408P</t>
  </si>
  <si>
    <t>04595541A</t>
  </si>
  <si>
    <t>RENUNCIA</t>
  </si>
  <si>
    <t>REVOCACION</t>
  </si>
  <si>
    <t xml:space="preserve">DESARROLLO DE UN SISTEMA INNOVADOR DE ELECTRÓLISIS ALCALINA AEM PARA PRODUCCIÓN DE HIDRÓGENO VERDE MEDIANTE ENERGÍA EÓLICA		</t>
  </si>
  <si>
    <t>NORDEX ENERGY SPAIN, S.A.U.</t>
  </si>
  <si>
    <t>https://www.innovationspfr.com/blog-posts/ipcei-h2-made-in-spain</t>
  </si>
  <si>
    <t>Desarrollo de un sistema innovador de electrólisis alcalina AEM para producción de hidrógeno verde mediante energía eólica. El objetivo es crear un módulo escalable para grandes plantas de electrólisis, especialmente en lugares sin conexión a la red con alto potencial de energías renovables, para que la producción de hidrógeno sea lo más rentable posible</t>
  </si>
  <si>
    <t xml:space="preserve">Desarrollo de un sistema innovador de electrólisis alcalina aem para producción de hidrógeno verde mediante energía eólica		</t>
  </si>
  <si>
    <t>PR-H2CVAL4-C1-2022-0039</t>
  </si>
  <si>
    <t>H2CVAL1</t>
  </si>
  <si>
    <t>Ayudas a proyectos a cadena valor</t>
  </si>
  <si>
    <t>PROYECTO HydRIC PUERTOLLANO</t>
  </si>
  <si>
    <t>REPSOL HIDROGENO S.A</t>
  </si>
  <si>
    <t>HydRIC se iniciará con una fase de 30 MW que entrará en operación en 2025 y que ha sido adjudicada con un PERTE de 10 M de euros. HydRIC se proyecta como una oportunidad de desarrollo del ecosistema  del hidrógeno verde en toda su cadena y en múltiples usos, a la vez que consolida a Puertollano como hub de referencia en el hidrógeno verde con un proyecto sólido y escalable.
El proyecto se apoya en actores locales, como el CNH2 y la refinería de Repsol y espera ser tractor de nuevos despliegues industriales que fomenten la economía y el desarrollo de Puertollano. Actualmente están analizando la ampliación de capacidad a 200 MW sobre la misma parcela ante demandas crecientes esperadas, lo que conllevará asimismo un notable incremento de los puestos de trabajo.</t>
  </si>
  <si>
    <t>Proyecto hydric puertollano</t>
  </si>
  <si>
    <t>PR-H2CVAL3-C1-2022-0041</t>
  </si>
  <si>
    <t>DESARROLLO DE UN SISTEMA INNOVADOR DE ELECTRÓLISIS ALCALINA AEM PARA PRODUCCIÓN DE HIDRÓGENO VERDE</t>
  </si>
  <si>
    <t>NORDEX ELECTROLYZERS, S.L.</t>
  </si>
  <si>
    <t>https://apriasystems.es/en/distech2/</t>
  </si>
  <si>
    <t>Desarrollo de una nueva generación de fotoelectrolizadores modulares de estado cuasi-sólido que operan en condiciones de flujo continuo y concentración solar, capaces de producir hidrógeno verde sin la necesidad de la aplicación externa de energía eléctrica, abarcando toda la cadena de valor.</t>
  </si>
  <si>
    <t xml:space="preserve"> DisTecH2</t>
  </si>
  <si>
    <t>PR-H2CVAL4-C2-2023-000065</t>
  </si>
  <si>
    <t>H2CVAL4</t>
  </si>
  <si>
    <t>H2 CADENA VALOR P4 C2</t>
  </si>
  <si>
    <t>ENERGÉTICO</t>
  </si>
  <si>
    <t>Actuaciones de renovación CH Cordiñanes</t>
  </si>
  <si>
    <t>24116</t>
  </si>
  <si>
    <t>Posada de Valdeón</t>
  </si>
  <si>
    <t>ALTANO HIDRO SA</t>
  </si>
  <si>
    <t>https://www.diariodevalderrueda.es/texto-diario/mostrar/4328873/central-hidroelectrica-cordinanes-estabilizara-taludes-rio-cares-escollera#google_vignette</t>
  </si>
  <si>
    <t>La central hidroeléctrica de cordiñanes de valdeón, gestionada por la empresa altano hidro s.a., llevará a cabo la construcción de una escollera para estabilizar los taludes de la margen derecha del río cares, en pleno parque nacional de los picos de europa. 
las obras se llevarán a cabo por debajo de la presa de cordiñanes, en el valle de valdeón, e incluyen también la reparación del canal de derivación de la central hidroeléctrica.</t>
  </si>
  <si>
    <t>Actuaciones de renovación ch cordiñanes</t>
  </si>
  <si>
    <t>PR-REPOTEN-2023-000189</t>
  </si>
  <si>
    <t>REPOTEN</t>
  </si>
  <si>
    <t>Programas de Repotenciación Circular</t>
  </si>
  <si>
    <t>BlueFilters – fabricación de vidrios dicroicos para paneles Fotovoltaicos de plantas híbridas con tecnología BlueSolar.</t>
  </si>
  <si>
    <t>BLUESOLAR FILTERS S.L.</t>
  </si>
  <si>
    <t>https://www.lacomarcadepuertollano.com/articulo/puertollano/bluesolar-consigue-apoyo-idae-construir-primera-fabrica-filtros-puertollano/20250404115448587246.html</t>
  </si>
  <si>
    <t>Fábrica de filtros dicroicos para sistemas  híbridos fotovoltaicos-térmicos,  dentro  del  Instituto  de  Sistemas  Fotovoltaicos de Concentración (ISFOC), desde donde se fabricarán a su vez los primeros  paneles para aplicaciones comerciales de media escala</t>
  </si>
  <si>
    <t>Fábrica de filtros dicroicos</t>
  </si>
  <si>
    <t>PR-RENOVAL-2024-000046</t>
  </si>
  <si>
    <t>RENOVAL</t>
  </si>
  <si>
    <t xml:space="preserve">Cadena de valor de equipos </t>
  </si>
  <si>
    <t>Desarrollo de un sistema de propulsión alimentado por hidrógeno renovable líquido para movilidad aérea</t>
  </si>
  <si>
    <t>24061</t>
  </si>
  <si>
    <t>Cuadros</t>
  </si>
  <si>
    <t>DESTINUS SPAIN SL</t>
  </si>
  <si>
    <t>https://ciuden.es/archivo-noticias/ciuden-da-el-primer-paso-para-convertirse-en-oficina-de-transformacion-comunitaria/</t>
  </si>
  <si>
    <t>PR-H2CVAL2-C1-2022-0064</t>
  </si>
  <si>
    <t>Gestión de la demanda energética mediante un sistema híbrido de almacenamiento y generación de energía solar para aplicaciones industriales (ALMASOLAR)</t>
  </si>
  <si>
    <t>REPSOL PETROLEO, S.A.</t>
  </si>
  <si>
    <t>Gestión de la demanda energética mediante un sistema híbrido de almacenamiento y generación de energía solar para aplicaciones industriales</t>
  </si>
  <si>
    <t>Almasolar</t>
  </si>
  <si>
    <t>PR-NMN-01-2023-000100</t>
  </si>
  <si>
    <t>NMN</t>
  </si>
  <si>
    <t>Nuevos modelos de negocio para la transición energética</t>
  </si>
  <si>
    <t>Almacenamiento
Electroquímico</t>
  </si>
  <si>
    <t>LA NAVA: Hibridación del Parque Fotovoltaico ya existente La
Nava con el Sistema de Almacenamiento Planta Baterías La
Nava</t>
  </si>
  <si>
    <t>13015;13071</t>
  </si>
  <si>
    <t>Almodóvar del Campo;Puertollano</t>
  </si>
  <si>
    <t>Naturgy Renovables SLU</t>
  </si>
  <si>
    <t>La Nava con el Sistema de Almacenamiento Planta Baterías La Nava con 21,20 MW de potencia y una ayuda de 3,7 millones de euros, de una inversión total de 14,4 millones de euros, lo que supone más de un 25% de subvención que recibirá este proyecto</t>
  </si>
  <si>
    <t>La nava: hibridación del parque fotovoltaico ya existente la
nava con el sistema de almacenamiento planta baterías la
nava</t>
  </si>
  <si>
    <t>PR-HIALMAC-2023-000289</t>
  </si>
  <si>
    <t>HIALMAC</t>
  </si>
  <si>
    <t>Proyectos innovadores de almacenamiento energético hibridado con instalaciones de generación de energía eléctrica a partir de fuentes de energía renovables</t>
  </si>
  <si>
    <t>Electrolizador Alcalino, destinado a uso Industrial en Caspe para el autoconsumo de hidrógeno verde y la producción de amoniaco renovable “in situ”, para su posterior venta a industrias.</t>
  </si>
  <si>
    <t>WALIA ENERGY, S.L.</t>
  </si>
  <si>
    <t>Electrolizador Alcalino, destinado a uso Industrial en Caspe</t>
  </si>
  <si>
    <t>PR-H2PION-C2-2023-000128</t>
  </si>
  <si>
    <t>H2 PIONEROS-C2</t>
  </si>
  <si>
    <t>Ayudas a proyectos singulares y pioneros de producción y consumo de hidrógeno renovable - 2ª convocatoria</t>
  </si>
  <si>
    <t>FABRICACIÓN Y TESTEO DE ELECTRODOS AVANZADOS PARA ELECTRÓLISIS ALCALINA CON ALIMENTACIÓN EÓLICA</t>
  </si>
  <si>
    <t>Fabricación y testeo de electrodos avanzados para electrólisis alcalina con alimentación eólica</t>
  </si>
  <si>
    <t>PR-H2CVAL1-C1-2022-0011</t>
  </si>
  <si>
    <t>Los datos del IDAE tienen en cuenta la tipología 1 y 2,2 para el calculo de la inversión y  la ayuda. Los que teníamos registrados tienen en cuenta las 3 tipologías de la ayuda
	TIPOLOGÍA 1	TIPOLOGIA 2,2	TIPOLOGIA 3	TOTAL
	665.273,95		
Invers 	518.867,71	146.406,24	259.433,86	924.707,81
Ayuda	129.716,93	36.601,56	64.858,46	231.176,95
	166.318,49		
https://sede.idae.gob.es/sites/default/files/2024-02/%28356%29_BIOGAS_Resolucion_Definitiva_SEE_fdo.pdf</t>
  </si>
  <si>
    <t>INSTALACIÓN DE PLANTA DE BIOGÁS Y TRATAMIENTO DEL DIGERIDO POR GRL GANADERA SL</t>
  </si>
  <si>
    <t>G.R.L GANADERA, S.L</t>
  </si>
  <si>
    <t>Instalación de planta de biogás y tratamiento del digerido por GRL GANADERA SL</t>
  </si>
  <si>
    <t>PR-BIOGAS-2022-000354</t>
  </si>
  <si>
    <t>BIOGÁS</t>
  </si>
  <si>
    <t>Programas de incentivos para la concesión de ayudas a proyectos singulares de instalaciones de biogás</t>
  </si>
  <si>
    <t>PROYECTO DE BIOGAS DE CAPWATT EN FRAGA (HUESCA)</t>
  </si>
  <si>
    <t>Capwatt Solar Esp 2, S.L.</t>
  </si>
  <si>
    <t>Proyecto de biogas de capwatt en Fraga (Huesca)</t>
  </si>
  <si>
    <t>PR-BIOGAS-2022-000142</t>
  </si>
  <si>
    <t>3 empleos asociados a la ayuda</t>
  </si>
  <si>
    <t>Reforma y adecuación de la antigua escuela en sede de referencia para servicios administrativos básicos, act. Educativas, culturales y lúdicas</t>
  </si>
  <si>
    <t>Meirama</t>
  </si>
  <si>
    <t>15024</t>
  </si>
  <si>
    <t>Cerceda</t>
  </si>
  <si>
    <t>Coruña, A</t>
  </si>
  <si>
    <t>Galicia</t>
  </si>
  <si>
    <t>AYUNTAMIENTO DE CERCEDA</t>
  </si>
  <si>
    <t>ELCT-2020-00031-E.jpg</t>
  </si>
  <si>
    <t>https://www.cerceda.org/actualidade/noticias/o-concello-recepciona-as-obras-de-reforma-do-renovado-edificio-social-de-xesteda</t>
  </si>
  <si>
    <t>El edificio, que actualmente es cedido para actividades y ocupaciones provisionales a los vecinos, no cumple con su función de forma adecuada por diferentes carencias y necesidades. A través de una remodelación interna se pretende convertir el edificio en un centro de prestación de servicios sociales, educativos y culturales para la gente de la zona. Como componente modernizador se garantizará el acceso a internet, dando servicio en la instalación a todos los usuarios.
Tras la puesta en marcha del centro municipal se espera generar un mínimo de 3 empleos con posibilidad de generar más empleos derivados de la actividad del centro.</t>
  </si>
  <si>
    <t>Reforma y adecuación de la antigua escuela de Xesteda como sede de referencia para servicios administrativos y Actividades Educativas, culturales y lúdicas</t>
  </si>
  <si>
    <t>ELCT-2020-00031-E</t>
  </si>
  <si>
    <t>CIUDEN</t>
  </si>
  <si>
    <t>Social</t>
  </si>
  <si>
    <t>REHABILITACIÓN Y MEJORA DE EFICIENCIA ENERGÉTICA DE EDIFICIO INTERGENERACIONAL DE A LARACHA</t>
  </si>
  <si>
    <t>15041</t>
  </si>
  <si>
    <t>Laracha, A</t>
  </si>
  <si>
    <t>Ayuntamiento de A Laracha</t>
  </si>
  <si>
    <t> https://www.alaracha.gal/gl/noticia/1732/o-concello-transformara-servizos-multiples-nun-edificio-interxeracional-enfocado-a-persoas-de-todas-as-idades/</t>
  </si>
  <si>
    <t> El proyecto prevé una redistribución de los espacios para optimizarlos, incrementar las superficies y favorecer la accesibilidad para personas que presenten dificultades físicas o cognitivas. La creación de aulas digitales ofrecerán a la ciudadanía nuevas oportunidades formativas y de ocio, y espacios dirigidos específicamente a acoger actividades juveniles de diversa índole.</t>
  </si>
  <si>
    <t>Reforma y rehabilitación energética del edificio intergeneracional de A Laracha</t>
  </si>
  <si>
    <t>2024-C083</t>
  </si>
  <si>
    <t xml:space="preserve">Equipamiento de una nueva planta para la valorización de cenizas volantes </t>
  </si>
  <si>
    <t>15021</t>
  </si>
  <si>
    <t>Carral</t>
  </si>
  <si>
    <t>EUROASH RECYCLING CORPORATION SL</t>
  </si>
  <si>
    <t>2023-P196.jpg</t>
  </si>
  <si>
    <t>Nueva planta para valorización de cenizas volantes, que valorizará 27.000 Tm/año de cenizas volantes reactivas a partir de cenizas volantes que actualmente se depositan en vertedero en un proceso altamente innovador y sostenible a nivel industrial y medioambiental, ya que, mediante la molienda de las cenizas, se conseguirá reducir su tamaño para usarlas como sustitutivo parcial de cemento en materiales de construcción.</t>
  </si>
  <si>
    <t>2023-P196</t>
  </si>
  <si>
    <t>Solicitado pago del 100%</t>
  </si>
  <si>
    <t>Adquisición de nave para realizar actividad productiva</t>
  </si>
  <si>
    <t>CRISMAVAL CARTON S.L.</t>
  </si>
  <si>
    <t>Compra de la nave actualmente alquilada para el desarrollo de la actividad de fabricación y elaboración de productos de papel y cartón, además de almacenaje en algunos casos, tanto de la materia prima como del producto elaborado.
La nueva nave por sus dimensiones, cercacía al mayor proveedor mejorará la producción de la empresa.</t>
  </si>
  <si>
    <t>2023-P144</t>
  </si>
  <si>
    <t>Pagado o 53% 73.785,9 (06/05/2025)</t>
  </si>
  <si>
    <t xml:space="preserve">Mejora de la productividad y ampliación de la capacidad de producción _x000D_ </t>
  </si>
  <si>
    <t>GALICAN SPORT, S.L.</t>
  </si>
  <si>
    <t>Mejora del grado de automatización y digitalización de dos fases fundamentales dentro de los procesos de fabricación (el corte y mecanizado de piezas metálicas y la soldadura) con el fin de mejorar la productividad general del proceso y aumentar la
capacidad de producción, adecuándola así a los requerimientos de la demanda actual.
Para alzanzar dicha mejora se incorporarán elementos innovadores en ambos procesos:  en el proceso de mecanizado se incorporará un nuevo centro de mecanizado con control numérico que cuenta con mayor grado de automatización y digitalización. En el proceso de soldadura se implementará una "celda de soldadura robotizada" que permitirá su automatización total, logrando un considerable aumento de la productividad y la capacidad de producción, así como una precisión total en el trabajo de soldadura mejorando notablemente la calidad final del producto.</t>
  </si>
  <si>
    <t xml:space="preserve">Mejora de la productividad y capacidad en empresa de fabricación de equipamiento para pruebas caninas de agility y otros elementos accesorios
 </t>
  </si>
  <si>
    <t>2023-P091</t>
  </si>
  <si>
    <t>Ampliación de nave de fábrica de colchones con el objetivo de ampliar la capacidad productiva</t>
  </si>
  <si>
    <t>15059</t>
  </si>
  <si>
    <t>Ordes</t>
  </si>
  <si>
    <t>COLCHÓN DURMET, S.L.</t>
  </si>
  <si>
    <t>Ampliación de la nave de fabricación de colchones para aumentar la producción  y satisfacer la demanda de las empresas consumidoras</t>
  </si>
  <si>
    <t>2023-P056</t>
  </si>
  <si>
    <t>Puesta en marcha de una instalación de valorización de residuos de papel y cartón</t>
  </si>
  <si>
    <t>NATUREA MEDIOAMBIENTE, S.L.</t>
  </si>
  <si>
    <t>Instalación de clasificación, selección y tratamiento mecánico de residuos de papel y cartón, que permitirá valorizar hasta 25.000 toneladas anuales de residuos para servir como herramienta de la administración pública de cara al tratamiento de este tipo de residuos. Se espera generar 15 empleos.
El proyecto presenta una doble innovación tanto desde el punto de vista del producto mediante la mejora de la calidad utilizando tecnologías innovadoras de clasificación y selección, desarrollo y personalización, como desde el punto de vista del proceso productivo a través de la automatización y digitalización del mismo.
En la digitalización de los procesos de producción, se incluyen sensores de monitoreo en tiempo real, automatización de procesos, integración de sistemas de información, gemelo digital, analítica avanzada y Big Data y, finalmente inteligencia artificial y Machine Learning.</t>
  </si>
  <si>
    <t>Instalación de valorización de residuos de papel y cartón</t>
  </si>
  <si>
    <t>2023-G108</t>
  </si>
  <si>
    <t>Construcción de una planta de fabricación de biocombustibles aprovechando aceites y grasas residuales</t>
  </si>
  <si>
    <t>GALICIA BIOWASTE, SOCIEDAD LIMITADA</t>
  </si>
  <si>
    <t>Planta de fabricación de Biocombustibles que utilizará para su elaboración materia prima procedente de aceites vegetales y grasas animales. 
La construcción de esta nueva nave permitirá contribuir a una mayor sostenibilidad produciendo un combustible ecológico de alta calidad. También se utilizarán los fondos de la unidad de destilación no aprovechables para su conversión en biocombustibles para automoción, consiguiendo así una fabricación dentro de la economía circular. 
Tras la puesta en marcha del proyecto se prevé la creación de 40 empleos. 
El proyecto implica innovación en los procesos con la incorporación de la industria 4.0 a los procesos productivos, seguridad y redundancia.</t>
  </si>
  <si>
    <t>Planta de fabricación de biocombustibles aprovechando aceites y grasas residuales</t>
  </si>
  <si>
    <t>2023-G055</t>
  </si>
  <si>
    <t xml:space="preserve">REHABILITACIÓN DEL LOCAL SOCIAL DE O MESÓN DO VENTO COMO VIVIENDA DE ALQUILER SOCIAL. Vivienda de alquiler social con precios accesibles </t>
  </si>
  <si>
    <t>AYUNTAMIENTO DE ORDES</t>
  </si>
  <si>
    <t>Rehabilitación casi integral de la planta baja y la primera planta de un local social para adaptarla como vivienda de alquiler con 2 dormitorios para familias con escasos recursos o en riesgo de exclusión social.</t>
  </si>
  <si>
    <t>Rehabilitación del local social como vivienda de alquiler social (Mesón do Vento)</t>
  </si>
  <si>
    <t>2022-C267</t>
  </si>
  <si>
    <t xml:space="preserve">RESIDENCIA DE LA TERCERA EDAD EN PONTEPEDRA. Nuevo servicio de residencia para personas mayores para facilitar la conciliación familiar y contribuir a crear empleo </t>
  </si>
  <si>
    <t>15084</t>
  </si>
  <si>
    <t>Tordoia</t>
  </si>
  <si>
    <t>AYUNTAMIENTO DE TORDOIA</t>
  </si>
  <si>
    <t>2022-C258.jpg</t>
  </si>
  <si>
    <t>Edificio de 30 años de antigüedad que alberga en la planta baja el área municipal y en la primera y segunda planta la Casa de Cultura.
Al ser un edificio infrautilizado, se pretende dedicar a Hogar Residencial que dé cobertura al Ayuntamiento y entorno próximo, dinamizando la actividad económica a través de un flujo de participantes de PYMES locales y la creación de empleo particularmente femenino.</t>
  </si>
  <si>
    <t>Residencia de la tercera edad en Pontepedra</t>
  </si>
  <si>
    <t>2022-C258</t>
  </si>
  <si>
    <t xml:space="preserve">ITINERARIO DE MOVILIDAD ALTERNATIVA EN LA DP-5903 DE ORDES A PORTOMOURO POR PONTECHONIA. Itinerario sostenible con aparcamiento para bicicletas y cargadores para pequeños vehículos eléctricos y bancos de descanso </t>
  </si>
  <si>
    <t>Creación de un nuevo itinerario de movilidad sostenible con puntos de descanso con zonas verdes, aparcamiento para bicicletas, puntos de recarga de motos, bicicletas y patinetes eléctricos.
Como componente innovador se implantará una aplicación con sistema de recompensas para fomentar el uso de itinerarios de movilidad alternativos.</t>
  </si>
  <si>
    <t xml:space="preserve"> Itinerario de movilidad sostenible DP-5903 de Ordes a Portomouro</t>
  </si>
  <si>
    <t>2022-C250</t>
  </si>
  <si>
    <t xml:space="preserve">MEJORA, AMPLIACIÓN Y REGENERACIÓN DEL ENTORNO Y PASEO FLUVIAL DEL RÍO CABANCOS (O ACEVEDO - CERCEDA). Paseo fluvial y entorno recuperado. Integración con los espacios colindantes y conexión con los accesos al parque acuático y al jardín botánico. El parque dispondrá de wifi gratuita y de un sistema de QR para identificar a especies. </t>
  </si>
  <si>
    <t>Mejora, ampliación y regeneración del paseo fluvial e integración con los espacios colindantes, y conectándolo con los accesos al parque acuático y al jardín botánico. De esta manera se crean diferentes conexiones de red en la zona. La mejora incluirá la construcción de un circuito de calistenia, la instalación de WiFi público gratuito para los visitantes de la zona del jardín botánico y un código QR que permita identificar e informar sobre las plantas y árboles del jardín botánico acercando así la naturaleza al ciudadano.</t>
  </si>
  <si>
    <t xml:space="preserve">Mejora, ampliación y regeneración del entorno del Paseo Fluvial del Río Cabancos (O Acevedo) </t>
  </si>
  <si>
    <t>2022-C078</t>
  </si>
  <si>
    <t xml:space="preserve">MEJORA DE LA EFICIENCIA ENER. MEDIANTE UNHA INSTALACIÓN SOLAR TÉRMICA Y
FOTOVOLTAICA EN EL AQUAPARK. Parque acuático con agua climatizada que permitirá aumentar los días de apertura y la offerta de actividades </t>
  </si>
  <si>
    <t>2022-C076.jpg</t>
  </si>
  <si>
    <t xml:space="preserve">El proyecto consiste en la instalación de solar térmica y fotovoltaica automatizada y monitorizada en el parque acuático de Cerceda. 
La planta solar térmica contará con 48 paneles de tubo de vacío y control automático mediante autómatas programables y con aerotermos para disipación de calor.
La planta solar fotovoltaica de autoconsumo está diseñada para una potencia mayor de 100 kW mediante panel monocristalino de célula partida e inversor solar. </t>
  </si>
  <si>
    <t>Mejora de la eficiencia energética. Instalación solar térmica en el Aquapark</t>
  </si>
  <si>
    <t>2022-C076</t>
  </si>
  <si>
    <t xml:space="preserve">Resolución def: 
Coste subvencionable 4.105.500 
Ayuda a conceder 495.000 </t>
  </si>
  <si>
    <t>Repotenciación Parque Eólico Pena Galluda</t>
  </si>
  <si>
    <t>VENTO LARACHA, S.L.</t>
  </si>
  <si>
    <t>PPEE.jpg</t>
  </si>
  <si>
    <t>Modificación del Parque Eólico Pena Galluda mediante la retirada del aerogenerador actual y la instalación de una nueva máquina de mayores dimensiones y potencial nominal de 3,45MW.</t>
  </si>
  <si>
    <t>PR-REPOTEN-2023-000233</t>
  </si>
  <si>
    <t>Parque eólico “Coriscada Repotenciación”</t>
  </si>
  <si>
    <t>As Pontes</t>
  </si>
  <si>
    <t>15044</t>
  </si>
  <si>
    <t>Mañón</t>
  </si>
  <si>
    <t xml:space="preserve">Sistemas Energéticos Mañón Ortigueira S.A. </t>
  </si>
  <si>
    <t>Modificación sustancial del parque eólico en funcionamiento Coriscada, cuya vida útil está llegando a su fin, que consiste en sustituir los 40 aerogeneradores actuales de 0,6 MW por cuatro de 6,6 MW, limitando la potencia máxima generada a 24 MW sin modificar la infraestructura eléctrica de evacuación existente.</t>
  </si>
  <si>
    <t>PR-REPOTEN-2023-000123</t>
  </si>
  <si>
    <t>Nueva planta de producción de hidrógeno renovable en los terrenos de la antigua central térmica de Meirama</t>
  </si>
  <si>
    <t>NATURGY NUEVAS ENERGÍAS, S.L.U</t>
  </si>
  <si>
    <t>La iniciativa impulsada por Naturgy, Repsol y Reganosa supondrá una inversión superior a los 64 millones de euros, y contará, en una primera fase, con una potencia inicial de 30 MW, lo que permitirá obtener una producción de 4.500 toneladas al año de hidrógeno renovable.
La planta se ampliará en dos fases posteriores hasta alcanzar 50 MW y 200 MW respectivamente, consiguiendo una producción de unas 30.000 toneladas de hidrógeno renovable al año. El proyecto supone un valor añadido en una zona afectada por el cierre de la central térmica de Meirama, permitiendo reutilizar instalaciones existentes y situando Galicia en el nuevo mercado del hidrógeno renovable. Se impulsa así el desarrollo de la cadena de valor de este vector energético en que la comunidad busca posicionarse como referente internacional a través de la Alianza Industrial Gallega del Hidrógeno Renovable. Asimismo, el proyecto tiene un importante grado de innovación, ya que permitirá la demostración de la operación a gran escala de un electrolizador de potencia industrial.
https://www.xunta.gal/es/notas-de-prensa/-/nova/82025/xunta-declara-planta-hidrogeno-renovable-naturgy-repsol-reganosa-cerceda-como</t>
  </si>
  <si>
    <t>PR-H2CVAL3-C1-2022-0014</t>
  </si>
  <si>
    <t>H2CVAL3</t>
  </si>
  <si>
    <t>PROYECTO DE MODIFICACIÓN DEL PARQUE EÓLICO SOMOZAS EN EXPLOTACIÓN</t>
  </si>
  <si>
    <t>15081</t>
  </si>
  <si>
    <t>Somozas, As</t>
  </si>
  <si>
    <t>ENERGÍAS AMBIENTALES DE SOMOZAS, S.A.</t>
  </si>
  <si>
    <t>Modificación sustancial del parque eólico en funcionamiento Somozas mediante la sustitución de los 80 aerogeneradores actuales (79 de 600 kW y 1 de 1.600 kW) por 10 aerogeneradores de mayores dimensiones y potencia unitaria cada uno de ellos, manteniendo la misma potencia total instalada en el parque (49,6 MW). Se subirá la tensión de los circuitos de media tensión del parque de 20 kV a 30 kV y se ejecutará la adaptación y mejora de la actual subestación transformadora (SET) del parque eólico Somozas.
En la fase de desmantelamiento del parque se contempla la retirada de los aerogeneradores, la torre meteorológica, las cimentaciones y plataformas de montaje, así como de aquellas canalizaciones eléctricas subterráneas y caminos para los que no se prevé su uso con la nueva configuración.</t>
  </si>
  <si>
    <t>Proyecto de modificación del parque eólico Somozas en explotación</t>
  </si>
  <si>
    <t>PR-REPOTEN-2023-000121</t>
  </si>
  <si>
    <t>% en San Sadurniño.
Inversión total del proyecto:26.316.972 Ayuda total: 11.250.000</t>
  </si>
  <si>
    <t>Proyecto de modificación del Parque Eólico Novo en  Explotación</t>
  </si>
  <si>
    <t>15076</t>
  </si>
  <si>
    <t>San Sadurniño</t>
  </si>
  <si>
    <t>Retirada de las actuales infraestructuras (con una potencia total de 18,75 MW repartida en 25 aerogeneradores de 750 kW de potencia unitaria) y la instalación de nuevas máquinas e infraestructuras de conexión entre ellas, reduciéndose el número de aerogeneradores a 6 unidades, aumentando la dimensión y la potencia unitaria de cada uno y modificando la actual subestación transformadora, manteniendo la misma potencia total instalada.
Ayuntamientos afectados:  Valdoviño, Narón y San Sadurniño</t>
  </si>
  <si>
    <t xml:space="preserve">Repotenciación Parque Eólico Novo </t>
  </si>
  <si>
    <t>PR-REPOTEN-2023-000114</t>
  </si>
  <si>
    <t xml:space="preserve">Resolución definitiva:
Coste subvencionable 14.854.477 
Ayuda a conceder 4.456.343 </t>
  </si>
  <si>
    <t>Repotenciación 2.0 del Parque Eólico Serra da Panda</t>
  </si>
  <si>
    <t>15061</t>
  </si>
  <si>
    <t>Ortigueira</t>
  </si>
  <si>
    <t>IBERDROLA RENOVABLES GALICIA SA</t>
  </si>
  <si>
    <t>Modificación sustancial del parque eólico en funcionamiento Serra da Panda, cuya vida útil está llegando a su fin, que consiste en la retirada de 19 aerogeneradores de 0,66 MW y la incorporación de tres de 4,3 MW, manteniendo únicamente las posiciones 23, 24, 25, 29 y 30.</t>
  </si>
  <si>
    <t>PR-REPOTEN-2023-000040</t>
  </si>
  <si>
    <t xml:space="preserve">Resolución def:
Inversión 42.556.635 
Ayuda a conceder 11.000.000 </t>
  </si>
  <si>
    <t>Repotenciación del Parque Eólico Muras</t>
  </si>
  <si>
    <t>27033</t>
  </si>
  <si>
    <t>Muras</t>
  </si>
  <si>
    <t>Lugo</t>
  </si>
  <si>
    <t>La infraestructura del parque eólico existente Muras 48.84 MW consta de setenta y cuatro (74) aerogeneradores G47-0,66 MW HH 45 m, de 0,66 MW de potencia unitaria, localizados en los términos municipales de Muras y Ourol, lo que supone una potencia total instalada de 48,84 MW.
Se pretende desmantelar el parque existente para instalar once (11) aerogeneradores Vestas V1117-4.3 HH 84 m, de 4,3 MW de potencia unitaria, lo que supondrá una potencia instalada total de 47,3 MW.</t>
  </si>
  <si>
    <t>PR-REPOTEN-2023-000029</t>
  </si>
  <si>
    <t>Fábrica de ensamblaje de electrolizadores de gran potencia para producción de hidrogeno verde</t>
  </si>
  <si>
    <t>15036</t>
  </si>
  <si>
    <t>Ferrol</t>
  </si>
  <si>
    <t>NAVANTIA S.A., S.M.E.</t>
  </si>
  <si>
    <t>FALTA</t>
  </si>
  <si>
    <t> https://www.youtube.com/watch?v=rHxU-zTeGo0</t>
  </si>
  <si>
    <t>Navantia Seanergies quiere tener un papel relevante en el despliegue del hidrógeno verde a nivel nacional y la fábrica de turbinas es una apuesta por el desarrollo de capacidades industriales nacionales en esta tecnología.
 Todo ello con el propósito de contribuir a la generación y distribución de hidrógeno verde, el combustible del futuro.</t>
  </si>
  <si>
    <t> Fabricación y ensamblaje de electrolizadores y de los componentes esenciales asociados a los mismos</t>
  </si>
  <si>
    <t>PR-RENOVAL-2024-000032</t>
  </si>
  <si>
    <t xml:space="preserve">Acondicionamiento de nave para instalación de empresa de fabricación de estructuras metálicas y tuberías </t>
  </si>
  <si>
    <t>Los Barrios</t>
  </si>
  <si>
    <t>11022</t>
  </si>
  <si>
    <t>Línea de la Concepción, La</t>
  </si>
  <si>
    <t>Cádiz</t>
  </si>
  <si>
    <t>Andalucía</t>
  </si>
  <si>
    <t>EXPANSIÓN MONTAJES Y LOGÍSTICA DE EUROPA, S.L.</t>
  </si>
  <si>
    <t>Se propone la creación de una empresa en Villanueva del Rey, en la comarca del Valle del Guadiato, dedicada a la distribución de productos alimentarios precocinados con alto potencial. La iniciativa busca diversificar la actividad económica local y mejorar la oferta alimentaria mediante productos de calidad a precios accesibles.
La empresa atenderá la demanda de productos alimentarios de calidad en un contexto de aumento de precios de materias primas. Se ofrecerán productos con garantías alimentarias, diferenciándose por su calidad media-alta y precios razonables.
Se comenzará con una gama de productos precocinados, incluyendo 5-6 novedades que se espera que sean las más exitosas a mediano plazo.</t>
  </si>
  <si>
    <t>2023-P161</t>
  </si>
  <si>
    <t xml:space="preserve">Ampliación del hotel y mejora de sus servicios diferenciales </t>
  </si>
  <si>
    <t>BOAT HAUS-MEDITERRANEAN EXPERIENCE, S.L.</t>
  </si>
  <si>
    <t>Fuente: promotor</t>
  </si>
  <si>
    <t>2023-P140.png</t>
  </si>
  <si>
    <t>https://andaluciainformacion.es/provincia-de-cadiz/1721381/los-proyectos-de-transicion-justa-de-la-linea-mantendran-29-empleos-y-crearan-cinco-mas/</t>
  </si>
  <si>
    <t xml:space="preserve">El proyecto busca posicionar a BOAT HAUS como un espacio único que conecta a los huéspedes con la naturaleza y el bienestar, promoviendo un estilo de vida saludable. Se pretende regenerar el ecosistema del hotel y su entorno, ampliar la capacidad de hospedaje mediante la adquisición de casas flotantes sostenibles, mejorar la atención al cliente y ofrecer experiencias de calidad a los huéspedes. BOAT HAUS es el único hotel flotante en España, atrayendo a turistas de diversas nacionalidades. La inversión permitirá aumentar la oferta y la duración de las estancias, beneficiando tanto al hotel como al municipio de La Línea de la Concepción y a la provincia de Cádiz. Se enfoca en el ecoturismo, atendiendo a la creciente demanda de experiencias sostenibles y en contacto con la naturaleza.
El proyecto consta de la ampliación del hotel y adquisición de casas flotantes sostenibles, algunas con sauna; Mejora del equipamiento de las casas flotantes y construcción de una nueva recepción; Implementación de tecnología digital para optimizar la comunicación con los huéspedes;
Desarrollo de un gastrobar en un barco antiguo y contratación de personal, incluyendo un Super Host para gestionar servicios.
</t>
  </si>
  <si>
    <t>2023-P140</t>
  </si>
  <si>
    <t>Adquisición de equipos de centro de enseñanza especializada en riesgos de trabajos en altura.</t>
  </si>
  <si>
    <t>CENTRO DE FORMACIÓN E INVESTIGACIÓN DE RIESGOS DE TRABAJOS EN ALTURA, S.L.</t>
  </si>
  <si>
    <t>Fuente: Página web de la empresa</t>
  </si>
  <si>
    <t>2023-P135.jpeg</t>
  </si>
  <si>
    <t>Modernizar las instalaciones formativas en La Línea de la Concepción mediante la adquisición de equipos tecnológicos de última generación, con el fin de satisfacer la creciente demanda de cursos especializados en seguridad laboral y prevención de riesgos.
Ampliar la oferta formativa de la empresa con nuevos cursos no disponibles en la zona, convirtiendo a FORMAL en un referente en formación sobre trabajos en altura y riesgos laborales.
Mantener los puestos de trabajo actuales y crear uno nuevo en una región afectada por el desempleo, especialmente tras el cierre de la central térmica.
 La creciente importancia de la prevención de riesgos laborales ha llevado a un cambio en la percepción de la seguridad en el trabajo, pasando de un enfoque legalista a uno proactivo que promueve la salud y bienestar de los trabajadores. Con un incremento significativo en los accidentes laborales, especialmente las caídas desde altura, se hace esencial ofrecer formación especializada para reducir estos riesgos. En 2022, se registraron más de 24,000 accidentes por caídas, subrayando la necesidad de capacitación adecuada para los trabajadores.
 El proyecto permitirá adquirir el equipamiento necesario para mejorar y diversificar su oferta de formación, contribuyendo a la cualificación de trabajadores y a la reducción de accidentes laborales en el sector industrial.</t>
  </si>
  <si>
    <t>2023-P135</t>
  </si>
  <si>
    <t>Ampliación de zona de oficinas y de taller y adquisición de maquinaria</t>
  </si>
  <si>
    <t>11008</t>
  </si>
  <si>
    <t>Barrios, Los</t>
  </si>
  <si>
    <t>MULTILIFT S.L.</t>
  </si>
  <si>
    <t>https://www.diarioarea.com/2024/07/22/el-campo-de-gibraltar-recibira-mas-de-360-000-euros-para-la-creacion-y-mantenimiento-del-empleo/</t>
  </si>
  <si>
    <t>La empresa se dedica a la venta, alquiler y reparación de carretillas elevadoras, siendo el alquiler su principal fuente de ingresos, lo que implica un servicio continuo de mantenimiento preventivo y correctivo en su taller. 
Adquisición de activos como maquinaria, tecnología de la información (TIC), mobiliario y un sistema de videovigilancia.
Acondicionar las oficinas que apoyan el taller y la atención al público.
Crear 2 nuevos puestos de trabajo en las oficinas.
Establecer una nueva zona para el almacenamiento de recambios del taller.
Dotar de infraestructura TIC a los nuevos puestos de oficina.
Sustituir el techo de la nave por paneles sándwich de poliuretano para mejorar el aislamiento y la eficiencia energética.
Promover la compra de carretillas con batería de litio y crear una zona de exposición para estas carretillas eficientes.
Adquirir un equipo regenerador de baterías para extender la vida útil de las baterías de plomo.
Necesidad y Contexto: La empresa ha experimentado un crecimiento constante en actividad y personal, pero sus instalaciones no se han adaptado a este crecimiento. Actualmente, carece de espacio adecuado y eficiencia, lo que dificulta la incorporación de nuevo personal y limita la oferta de carretillas reacondicionadas, un mercado en expansión.</t>
  </si>
  <si>
    <t>2023-P134</t>
  </si>
  <si>
    <t>Renovación de maquinaria de obrador, para mejorar la eficiencia en los procesos de producción y conservación de los productos</t>
  </si>
  <si>
    <t>JOCKEY 1961 S.L.</t>
  </si>
  <si>
    <t>2023-G064.jpeg</t>
  </si>
  <si>
    <t>https://www.europasur.es/campo-de-gibraltar/asansull-jockey-ayudas-gobierno-proyectos_0_2001265103.html</t>
  </si>
  <si>
    <t>El objetivo principal es renovar la maquinaria del obrador para mejorar la eficiencia en los procesos de producción y conservación de productos, así como aumentar la sostenibilidad y la eficiencia energética. También se busca optimizar la gestión de recursos humanos, incrementando la productividad del personal.
La renovación del obrador se centrará en la adquisición de nueva maquinaria que mejore la eficiencia energética y la sostenibilidad. Se introducirá un abatidor y congelación especializada para reducir rápidamente la temperatura de los productos, evitando la proliferación bacteriana y mejorando la calidad y la duración de los mismos. Esto también permitirá una mejor organización del proceso de producción.
La empresa elabora productos artesanales de pastelería y bollería, incluyendo tartas, productos temáticos y otros.
El proceso incluye la elaboración de bases y semielaborados que se conservan en frío, lo que permite una mayor capacidad de producción al poder congelar los productos finales, reservando la decoración para su terminación. Esto contribuye a una mayor eficiencia en la producción.</t>
  </si>
  <si>
    <t>2023-G064</t>
  </si>
  <si>
    <t>Rehabilitación de edificio como centro de día para personas con discapacidad intelectual</t>
  </si>
  <si>
    <t>ASOC PRO-PERSONAS CON NECESIDADES SOCIO-EDUCATIVAS ESPECIALES (ASANSULL)</t>
  </si>
  <si>
    <t>https://www.europasur.es/campo-de-gibraltar/asansull-jockey-ayudas-gobierno-proyectos_0_2001265103.html
https://www.europasur.es/lalinea/asansull-centro-personas-discapacidad-transicion-justa_0_1884412853.html</t>
  </si>
  <si>
    <t>El proyecto contempla una inversión en varias fases para adaptar y reformar el Centro Residencial R2, situado en la calle Granada, en La Línea de la Concepción, con el objetivo de fomentar la vida independiente de personas con discapacidad intelectual.
Fase de Rehabilitación del Edificio:
Se busca mejorar la envolvente del edificio y cumplir con la normativa de bienestar térmico mediante:
-Eliminación y mejora de la cubierta para optimizar la capacidad térmica.
-Sustitución de revestimientos, incluyendo pavimentos y techos, para mejorar el confort.
-Reemplazo de carpinterías de aluminio por PVC para un mejor aislamiento térmico.
-Incorporación de luminarias eficientes y producción de agua caliente sanitaria (ACS) a partir de energía solar renovable.
Fase de Equipamiento y Digitalización:
Incluye la modernización de las instalaciones y la prestación de servicios con:
-Sustitución del ascensor y equipamiento de aseos.
-Acceso a Internet inalámbrico y sistemas de alarma y protección.
-Mobiliario para diversas áreas, incluidos dormitorios y salas comunes.
-Equipamiento tecnológico como ordenadores y servidores.
-Un microbús adaptado para servicios de ocio inclusivo.
Fase de Prestación de Servicios:
Se prevé la creación de 11 puestos de trabajo, 9 relacionados con la vida residencial y 2 con el servicio de ocio inclusivo.
Este proyecto no solo mejorará las condiciones del centro, sino que también facilitará la inclusión y bienestar de sus usuarios.</t>
  </si>
  <si>
    <t>2023-G054</t>
  </si>
  <si>
    <t xml:space="preserve">REINTERPRETANDO EL PARQUE PRINCESA SOFIA. El parque recuperará su valor ambiental alojando la flora y fauna autóctona. Inporará novedades como la Isla Bioclimática. Será lugar de celebracón de  actividades sociales y culturales. </t>
  </si>
  <si>
    <t>AYUNTAMIENTO DE LA LÍNEA DE LA CONCEPCION</t>
  </si>
  <si>
    <t>2022-C240.jpeg</t>
  </si>
  <si>
    <t>https://www.europasur.es/lalinea/proyecto-rehabilitacion-parque-princesa-sofia_0_1846316776.html</t>
  </si>
  <si>
    <t>Rehabilitación del actual Parque Princesa Sofía situado al Sur de la localidad de La Línea de La Concepción, Cádiz, encargado por parte del Promotor a la sociedad DSGREEN TRANSITION SL, con CIF: B02796910.
El objetivo de este proyecto es la mejora de la situación actual del Parque Princesa Sofía, así como la creación de nuevas instalaciones en el mismo.
El Parque Princesa Sofía es un parque urbano de 15 hectáreas de extensión que fue creado en 1969, a fin de potenciar la imagen de la ciudad de cara a Gibraltar. Supuso junto con otros equipamientos urbanos previos, una concentración de los edificios públicos y servicios en la franja sur de la ciudad, frontera con Gibraltar.
Se trataba en su día de un parque único en Andalucía y con el tiempo se fue deteriorando debido a su gran extensión y a la falta de medios para su mantenimiento.</t>
  </si>
  <si>
    <t xml:space="preserve">Reinterpretando el parque princesa sofia. </t>
  </si>
  <si>
    <t>2022-C240</t>
  </si>
  <si>
    <t xml:space="preserve">LA LÍNEA DEFENSIVA DEL LITORAL DE LEVANTE. Nuevo foco turístico: Fuerte de Santa Bárbara y la Torre Nueva con recorridos peatonales y ciclistas y equipamiento urbano sostenible </t>
  </si>
  <si>
    <t>Fuente: Promotor</t>
  </si>
  <si>
    <t>2022-C235.png</t>
  </si>
  <si>
    <t>https://www.europasur.es/lalinea/rehabilitacion-fuerte-santa-barbara-torre-nueva_0_1845716751.html
https://www.portaldecadiz.com/provinciacadiz/91301-el-ayuntamiento-de-la-linea-anuncia-la-revitalizacion-del-fuerte-de-santa-barbara-y-torre-nueva</t>
  </si>
  <si>
    <t>El proyecto busca acondicionar las ruinas existentes para convertirlas en un lugar de interés histórico mediante un centro de interpretación. La intervención se basa en los planos originales de 1730 y es mínima, respetando los restos actuales. Las principales acciones incluyen: 
- Finalizar el vallado perimetral del recinto: Existe un vallado iniciado en parte del perímetro que es necesario completar.
- Limpiar y acondicional el foso: Se procederá a la limpieza de los fosos de basura y elementos vegetables.
- Restaurar los glacis: Estos se realizaran con los restos intactos que existen en el recinto. 
- Pavimentar accesos y la plaza de armas. 
- Reconstruir el cuerpo de guardia, el puente de acceso y el camino cubierto.
- Acondicionar las bóvedas de salida del mar. 
- Construir una caseta de entrada con servicios básicos. 
- Recolocar sillares descolocados.
Estas intervenciones pretenden preservar la integridad histórica y facilitar la comprensión del sitio.</t>
  </si>
  <si>
    <t xml:space="preserve">La línea defensiva del litoral de levante. </t>
  </si>
  <si>
    <t>2022-C235</t>
  </si>
  <si>
    <t>Green H2 Los Barrios, Electrocizador alcalino desitando a uso industrial para sustitución del gas natural en demandas térmicas y para la producción de amoniaco renovable mediante su distribución por hidroducto</t>
  </si>
  <si>
    <t>EDP CLIENTES SAU</t>
  </si>
  <si>
    <t>https://www.diariodesevilla.es/economia/edp-supera-tramitacion-ambiental-proyecto-hidrogeno-los-barrios_0_2002290260.html
https://www.europasur.es/los_barrios/edp-produccion-hidrogeno-verde-2026_0_1885611822.html</t>
  </si>
  <si>
    <t>Green H2 Los Barrios, Electrolizador alcalino destinado a uso industrial para sustitución del gas natural en demandas térmicas y para la producción de amoniaco renovable mediante su distribución por hidroducto</t>
  </si>
  <si>
    <t>PR-H2PION-C2-2023-000130</t>
  </si>
  <si>
    <t>El objeto del proyecto Green H2 Los Barrios, fase 1, consiste en la producción centralizada de hidrógeno verde con capacidad 5MW de electrólisis cuyo suministro de electricidad proviene de plantas de energía renovables (eólica terrestre y solar) en el emplazamiento de la Central Térmica de Los Barrios perteneciente al grupo EDP, así como su distribución a la acería ACERINOX en la proximidad de la Central.</t>
  </si>
  <si>
    <t>https://espana.edp.com/es/noticias/edp-presenta-los-avances-del-valle-del-hidrogeno-verde-del-campo-de-gibraltar
https://hidrogeno-verde.es/edp-green-h2-los-barrios/</t>
  </si>
  <si>
    <t>PR-H2PION-2022-000189</t>
  </si>
  <si>
    <t>H2 PIONEROS</t>
  </si>
  <si>
    <t>Ayudas a proyectos singulares y pioneros de producción y consumo de hidrógeno renovable</t>
  </si>
  <si>
    <t>Resolución definitiva Coste Subvencionable (€) 30.155.689,73 € Ayuda Propuesta Concesión (€) 12.711.965,99 € 
https://sede.idae.gob.es/sites/default/files/2024-02/Resolucion_proyectos_H2pioneros.pdf</t>
  </si>
  <si>
    <t>Implantación de 17,5MW de hidrogeno renovable en el Parque Energético de San Roque</t>
  </si>
  <si>
    <t>11033</t>
  </si>
  <si>
    <t>San Roque</t>
  </si>
  <si>
    <t>COMPAÑÍA ESPAÑOLA DE PETROLEOS, S.A. (CEPSA)</t>
  </si>
  <si>
    <t>https://www.europasur.es/campo-de-gibraltar/Gobierno-concede-millones-proyectos-hidrogeno-verde-comarca_0_1780622699.html
https://www.energias-renovables.com/hidrogeno/el-parque-energetico-san-roque-de-cepsa-20221220</t>
  </si>
  <si>
    <t>PR-H2PION-2022-000129</t>
  </si>
  <si>
    <t>Investigación industrial orientada a la formulación de nuevos aceros inoxidables con propiedades avanzadas para su aplicación en entornos de hidrógeno presurizado - HYADES</t>
  </si>
  <si>
    <t>ACERINOX EUROPA, S.A.</t>
  </si>
  <si>
    <t>https://www.acerinox.com/es/innovacion/subvenciones/HYADES/</t>
  </si>
  <si>
    <t>Investigación industrial orientada a la formulación de nuevos aceros inoxidables con propiedades avanzadas para su aplicación en entornos de hidrógeno presurizado.</t>
  </si>
  <si>
    <t>PR-H2CVAL4-C1-2022-0109</t>
  </si>
  <si>
    <t>Investigación industrial orientada a fomentar la utilización de hidrógeno renovable como combustible en los hornos de tratamiento térmico de los aceros inoxidables - FORNAX</t>
  </si>
  <si>
    <t>https://titania.aero/titania-se-abre-camino-en-el-sector-siderurgico-con-el-proyecto-fornax
https://www.acerinox.com/es/innovacion/subvenciones/FORNAX/</t>
  </si>
  <si>
    <t>Investigación industrial orientada a fomentar la utilización de hidrógeno renovable como combustible en los hornos de tratamiento térmico de los aceros inoxidables.</t>
  </si>
  <si>
    <t>PR-H2CVAL4-C1-2022-0108</t>
  </si>
  <si>
    <t>Energías renovables</t>
  </si>
  <si>
    <t>El Proyecto Green Los Barrios proporcionará H2 renovable generado a la aceria y planta química ubicadas en las inmediciones de la central de producción</t>
  </si>
  <si>
    <t xml:space="preserve"> Green Los Barrios H" proporcionará H2 </t>
  </si>
  <si>
    <t>ES 47"Green H2 Los Barrios"</t>
  </si>
  <si>
    <t>IPCEI-Hy2Use</t>
  </si>
  <si>
    <t>Proyectos de Interés Común Europeo</t>
  </si>
  <si>
    <t>2 empleos asociados a la ayuda</t>
  </si>
  <si>
    <t>Nuevo consultorio Médico PAC</t>
  </si>
  <si>
    <t>La Robla</t>
  </si>
  <si>
    <t>24134</t>
  </si>
  <si>
    <t>Robla, La</t>
  </si>
  <si>
    <t>Ayuntamiento de La Robla</t>
  </si>
  <si>
    <t>Construcción nuevo consultorio médico en la robla. proyecto municipal que busca mejorar la prestación del servicio sanitario y garantizar la cobertura de las urgencias, 24 horas, 365 días, prestación necesaria para frenar la despoblación.</t>
  </si>
  <si>
    <t>Nuevo consultorio médico pac</t>
  </si>
  <si>
    <t>ELCT-2020-00024-E</t>
  </si>
  <si>
    <t>Restauración de espacios afectados por la actividad minera en León y Palencia</t>
  </si>
  <si>
    <t>24098</t>
  </si>
  <si>
    <t>Matallana de Torío</t>
  </si>
  <si>
    <t>Ayuntamiento de Matallana del Torío</t>
  </si>
  <si>
    <t xml:space="preserve"> Restauración ambiental 
- Escombrera Orzonaga: ubicada en el término municipal de Matallana de Torío (LEÓN): - Recuperación ambiental y paisajística integrando en el medio y asegurando la estabilidad de los terrenos afectados. - Mejora de las infraestructuras locales mediante la puesta en valor de residuos mineros. - Potenciar el uso recreacional no intensivo del entorno rural. 
</t>
  </si>
  <si>
    <t>Restauración de espacios afectados por la actividad minera en León y Palencia.</t>
  </si>
  <si>
    <t>CYL-2021-0010</t>
  </si>
  <si>
    <t>Plan de Optimización y diversificación energética Casas de Cultura de Olleros  de Sabero y  de Sabero</t>
  </si>
  <si>
    <t>24137</t>
  </si>
  <si>
    <t>Sabero</t>
  </si>
  <si>
    <t>Ayuntamiento de Sabero</t>
  </si>
  <si>
    <t>https://www.pap.hacienda.gob.es/bdnstrans/GE/es/convocatorias/636384       https://subvenciones.quieroalgo.com/acuerdo-jcyl-por-el-que-se-autoriza-la-concesion-directa-de-una-subvencion-al-ayuntamiento-de-sabero-para-el-proyecto-denominado-plan-de-optimizacion-y-diversificacion-energetica-casas-de/#google_vignette</t>
  </si>
  <si>
    <t>La inversión más importante, 75.989,34 de ejecución material, se llevará a cabo en la casa de cultura de olleros de sabero. el edificio alberga un amplio salón de actos, una zona para exposiciones en la planta alta, consultorio médico, bar social y un local sin habilitar. las obras consistirán en la mejora de la envolvente del edificio mediante el aislamiento de cubierta y la sustitución de carpinterías exteriores. para ello se deberá levantar la cubrición actual de teja de hormigón y se colocará panel aislante de poliestireno extruido sobre el forjado de la cubierta, colocando posteriormente teja cerámica mixta sobre rastreles. además, se sustituirán las carpinterías exteriores del edificio que actualmente son de aluminio y vidrio simple por carpinterías de pvc con vidrio doble aislante.
caldera de condensación
también se sustituirán las antiguas y deterioradas calderas actuales de gasóleo por una única de condensación, también de gasóleo, pero con un rendimiento al máximo y emisiones reducidas. se instalarán válvulas termotatizables y cabezales termostáticos en los radiadores para un mejor control de la temperatura y un mayor ahorro energético.</t>
  </si>
  <si>
    <t>Plan de optimización y diversificación energética casas de cultura de olleros  de sabero y  de sabero</t>
  </si>
  <si>
    <t>CYL-2021-0005</t>
  </si>
  <si>
    <t>Urbanización Sector S-17 Polígono Industrial de La Robla</t>
  </si>
  <si>
    <t>https://www.leonoticias.com/comarcas/junta-financia-poligono-empresarial-robla-tres-millones-20231207130142-nt.html</t>
  </si>
  <si>
    <t>El objetivo de esta subvención es desarrollar la primera fase del desarrollo urbanístico del sector s-17, denominado 'el crispín', siendo las actuaciones previstas la adquisición de 100.000 metros cuadrados de terreno; la construcción y conexión del vial de acceso desde la carretera le-4514; la construcción de dos rotondas y un puente sobre el río bernesga para el acceso al polígono; y la construcción del primer tramo del vial principal, una vez cruzado el puente y ya dentro del sector industrial para asegurar el acceso a las 14 parcelas previstas.</t>
  </si>
  <si>
    <t>Urbanización sector s-17 polígono industrial de la robla</t>
  </si>
  <si>
    <t>CYL-2021-0004</t>
  </si>
  <si>
    <t>Ampliación de vigencia + Ejecución Somacyl</t>
  </si>
  <si>
    <t>Depuración en localidades de Espacio Natural en Vegacervera</t>
  </si>
  <si>
    <t>24194</t>
  </si>
  <si>
    <t>Vegacervera</t>
  </si>
  <si>
    <t>Ayuntamiento de Vegacervera</t>
  </si>
  <si>
    <t>https://www.leonoticias.com/comarcas/junta-impulsa-depuracion-20220114140056-nt.html</t>
  </si>
  <si>
    <t>El proyecto tiene por finalidad la ejecución de las infraestructuras que permitan la depuración de las aguas residuales dentro del espacio natural de vegacervera, formado por los municipios de vegacervera, cármenes, valdepiélago (localidad de correcillas) y matallana de torío.el proyecto propone la solución más adecuada en atención a criterios de minimizar el impacto ambiental en la zona, y de garantizar el buen funcionamiento de las instalaciones mediante sistemas simples, seguros y de bajo coste de explotación.</t>
  </si>
  <si>
    <t>Depuración en localidades de espacio natural en vegacervera</t>
  </si>
  <si>
    <t>CYL-2021-0002</t>
  </si>
  <si>
    <t>Eficiencia energética/Ahorro de energía</t>
  </si>
  <si>
    <t>Plan de optimización energética para Institutos de enseñanza secundaria.</t>
  </si>
  <si>
    <t>Plan de optimización energética para Institutos de enseñanza secundaria. Actuaciones en el Instituto de Enseñanza Secundaria Ramiro II de La Robla</t>
  </si>
  <si>
    <t>CYL-2020-0008</t>
  </si>
  <si>
    <t>24056</t>
  </si>
  <si>
    <t>Cistierna</t>
  </si>
  <si>
    <t>Ayuntamiento de Cistierna</t>
  </si>
  <si>
    <t>Optimización energética del centro de día para personas mayores de Cistierna (León)</t>
  </si>
  <si>
    <t>Conjunto de actuaciones de optimización, diversificación y eficiencia energética en edificaciones públicas (tales como: centros de educación infantil, piscinas cubiertas, bibliotecas y casas de cultura, escuelas de música, polideportivos, hogares de pensionistas, correos, casas consistoriales, campings, consultorios médicos y otros centros públicos municipales, de 18 municipios mineros)</t>
  </si>
  <si>
    <t xml:space="preserve">Actuaciones de optimización, diversificación y eficiencia energética en edificaciones públicas </t>
  </si>
  <si>
    <t>CYL-2020-0006</t>
  </si>
  <si>
    <t>24114</t>
  </si>
  <si>
    <t>Pola de Gordón, La</t>
  </si>
  <si>
    <t>SA HULLERA VASCO LEONESA</t>
  </si>
  <si>
    <t>76956873T</t>
  </si>
  <si>
    <t>76945752B</t>
  </si>
  <si>
    <t>71442509R</t>
  </si>
  <si>
    <t>71425007W</t>
  </si>
  <si>
    <t>71424759F</t>
  </si>
  <si>
    <t>71424758Y</t>
  </si>
  <si>
    <t>71424071D</t>
  </si>
  <si>
    <t>71421346K</t>
  </si>
  <si>
    <t>71418851X</t>
  </si>
  <si>
    <t>71417700D</t>
  </si>
  <si>
    <t>71417353F</t>
  </si>
  <si>
    <t>71417328M</t>
  </si>
  <si>
    <t>71416678E</t>
  </si>
  <si>
    <t>71416674H</t>
  </si>
  <si>
    <t>71416641P</t>
  </si>
  <si>
    <t>71416637G</t>
  </si>
  <si>
    <t>71416635W</t>
  </si>
  <si>
    <t>32881362X</t>
  </si>
  <si>
    <t>32873585F</t>
  </si>
  <si>
    <t>Empresa de multiaventura con rutas guiadas con buggies.</t>
  </si>
  <si>
    <t>ALTO BERNESGA 4X4 SL</t>
  </si>
  <si>
    <t>https://www.facebook.com/p/Alto-Bernesga-4x4-61552900980697/</t>
  </si>
  <si>
    <t>2023-P211</t>
  </si>
  <si>
    <t>Creación de un campamento juvenil con actividades de ocio y tiempo libre</t>
  </si>
  <si>
    <t>24901</t>
  </si>
  <si>
    <t>Villamanín</t>
  </si>
  <si>
    <t>ARCO FORMACIÓN, ANIMACIÓN Y JUVENTUD SL</t>
  </si>
  <si>
    <t>El proyecto de la creación de un camping en la localidad de villamanín
surge por la ampliación que la empresa quiere hacer de su negocio y
por aumentar la presencia en la zona.
desde la empresa, se lleva tiempo realizando actividades de ocio y
tiempo libre como campamentos de verano y de invierno, convivencias
escolares, viajes de estudios, aulas de la naturaleza, semanas
blancas, etc, así como la gestión del albergue juvenil de villamanín,
pero se ve la necesidad de ofrecer más plazas de alojamiento para
absorber la gran demanda que hay de alojamiento que tenemos y que
también presenta la zona, ya que la cercanía a la estación de esquí de
valgrande-pajares, la multitud de rutas de senderismo y btt, los
recursos paisajísticos y naturales, el camino de santiago de san
salvador, la zona “plan alfa” de león, etc. que hay en villamanín y sus
alrededores, hacen que sea un lugar ideal para crear este camping.</t>
  </si>
  <si>
    <t>Creación de un campamento Juvenil con actividades de ocio y tiempo libre</t>
  </si>
  <si>
    <t>2023-P198</t>
  </si>
  <si>
    <t xml:space="preserve">Rehabilitación y explotación de un camping </t>
  </si>
  <si>
    <t>RODRIGO SÁNCHEZ SANTIAGO</t>
  </si>
  <si>
    <t>https://www.leonoticias.com/mineria/proyectos-miteco-financia-empleo-zonas-mineras-20240718121354-nt.html</t>
  </si>
  <si>
    <t>El proyecto consiste en la rehabilitación y gestión de un camping en la
localidad de cubillas de arbás.
la junta vecinal de cubillas de arbás construye el camping en el año
2010. sin embargo, el camping nunca llegó a iniciar su actividad.
las inclemencias climatológicas unidas a la falta de mantenimiento
debido a la desocupación de las instalaciones, y al vandalismo, han
provocado una serie de daños importantes en las estructuras de los
dos edificios disponibles, tejados, paredes, suelos, fontanería,
instalación eléctrica, etc. los daños son también serios en las
parcelas de acampada y en las instalaciones eléctricas de la
urbanización (viales interiores y zonas de accesos).
la junta vecinal firma un contrato con rodrigo sánchez santiago para
la puesta en marcha del camping y gestión durante 10 años.
el contrato obliga a rodrigo sánchez a asumir el coste de los bienes,</t>
  </si>
  <si>
    <t>2023-P187</t>
  </si>
  <si>
    <t>Ampliación de la capacidad productiva</t>
  </si>
  <si>
    <t>TECOI CORTE S.L.</t>
  </si>
  <si>
    <t>El presente proyecto de inversión está dirigido a la ampliación de la
capacidad productiva a través de la incorporación de una nueva
máquina de plegado de última tecnología y equipamiento para el
transporte interno de materiales (puente grúa), que permitirán
solventar problemas en cuanto al nivel de eficiencia y productividad
del proceso productivo, así como impulsar el cumplimiento de los
objetivos de crecimiento y consolidación definidos en la política
estratégica de tecoi</t>
  </si>
  <si>
    <t>2023-P064</t>
  </si>
  <si>
    <t xml:space="preserve">Construcción de un hotel rural  </t>
  </si>
  <si>
    <t>RETORNO RURAL S.L.</t>
  </si>
  <si>
    <t>El proyecto propuesto es la creación de un hotel rural en sabero,
que ofrezca alojamiento con servicios complementarios y actividades
de turismo y ocio para los turistas que visitan la zona, así como otras
socioculturales más enfocadas a la población local. esta variedad de
servicios permite crear una experiencia muy completa para los
turistas, ofreciendo un gran valor añadido, a la vez que trata de
dinamizar social y económicamente una región gravemente afectada
por la despoblación, pero con un gran potencial para crear empleo y
fijar población a través de la actividad turística. de esta manera, el
turismo se convierte en una alternativa viable y sostenible de
desarrollo económico y social.
se puede concluir que es una gran oportunidad de negocio, viable y
rentable económicamente, con un impacto muy positivo en la región, y
que encaja con los objetivos de la unión europea para el desarrollo</t>
  </si>
  <si>
    <t>2023-P044</t>
  </si>
  <si>
    <t xml:space="preserve">REHABILITACIÓN Y MEJORA DE LAS INSTALACIONES DEPORTIVAS DE LA ROBLA (BLOQUE D). Renovacion de esta popular instalación deportiva sede de escuelas deportivas de varios municipios. Referente para clubes deportivos de varias disciplinas de la zona     </t>
  </si>
  <si>
    <t>https://mpt.gob.es/gl/delegaciones_gobierno/delegaciones/castillaleon/proyectos-ci/Informaci-n-P-blica/CONTRATACI-N/Hist-rico/02-2024/19-02-2024_Leon_01.html</t>
  </si>
  <si>
    <t xml:space="preserve">Renovacion de esta popular instalación deportiva sede de escuelas deportivas de varios municipios. referente para clubes deportivos de varias disciplinas de la zona     </t>
  </si>
  <si>
    <t xml:space="preserve">Rehabilitación y mejora de las instalaciones deportivas de la robla </t>
  </si>
  <si>
    <t>2022-C264</t>
  </si>
  <si>
    <t xml:space="preserve">REHABILITACION DE VIVIENDAS PARA ALQUILER SOCIAL EN VILLAMANIN DE LA TERCIA. Viviendas para alquiler social para atraer trabajadores. Pensadas para familias, nómadas digitales o de jóvenes rurales que deseen emanciparse, ganaderos y trabajadores de la temporada turística.  </t>
  </si>
  <si>
    <t>AYUNTAMIENTO DE VILLAMANÍN</t>
  </si>
  <si>
    <t>https://contratos.gobierto.es/licitaciones/4417914</t>
  </si>
  <si>
    <t>El presente proyecto tiene como objeto la rehabilitación de viviendas, propiedad del ayuntamiento de villamanín que actualmente se encuentran desocupadas, para destinarlas a un uso de alquiler social. pensadas para familias, nómadas digitales o de jóvenes rurales que deseen emanciparse, ganaderos y trabajadores de la temporada turística.</t>
  </si>
  <si>
    <t xml:space="preserve">Rehabilitacion de viviendas para alquiler social en villamanin de la tercia. </t>
  </si>
  <si>
    <t>2022-C227</t>
  </si>
  <si>
    <t>RECUPERACIÓN SOCIAL Y AMBIENTAL DE EQUIPAMIENTOS DEPORTIVOS Y SOCIOCULTURALES EN CIÑERA. Recuperación de las instalaciones deportivas que incorporarán rocódromo y  área de acampada. El antiguo cine albergará  un museo geológico y centro sociocultural</t>
  </si>
  <si>
    <t>AYUNTAMIENTO DE LA POLA DE GORDON</t>
  </si>
  <si>
    <t>https://www.diariodeleon.es/leon/provincia/231109/75419/pola-recuperara-patrimonio-cultural-deportivo-abandonado-hullera.html</t>
  </si>
  <si>
    <t>Proyecto para la recuperación de las infraestructuras de las antiguas instalaciones deportivas de la empresa hullera vasco-leonesa, dándoles un carácter social y sociocultural, para su uso por los vecinos del municipio. recuperación de las instalaciones deportivas que incorporarán rocódromo y  área de acampada. el antiguo cine albergará  un museo geológico y centro sociocultural</t>
  </si>
  <si>
    <t xml:space="preserve"> Recuperación de las instalaciones deportivas con rocódromo y  área de acampada.</t>
  </si>
  <si>
    <t>2022-C115</t>
  </si>
  <si>
    <t>REHABILITACION ESTACIÓN FERROVIARIA DE LA POLA DE GORDON PARA ALBERGUE DE LOS CAMINOS A SANTIAGO. Albergue de peregrinos del Camino de Santiago en su ruta a Oviedo que diversificará la oferta turística del municipio, declarado de la Reserva de la Biosfera  (UNESCO 2005)</t>
  </si>
  <si>
    <t>2022-C108.jpg</t>
  </si>
  <si>
    <t>https://planderecuperacion.gob.es/como-acceder-a-los-fondos/convocatorias/PLC/14601573/rehabilitacion-de-la-estacion-de-ferrocarril-de-la-pola-de-gordon-para-uso-de-albergue-de-peregrinos-de-los-caminos-a-santiago-en-la-pola-de-gordon-leon</t>
  </si>
  <si>
    <t>Adecuar el edificio en su totalidad, junto con el entorno de tal forma que se impida la ruina física del inmueble dotándole de contenidos adecuados a las necesidades de la localidad dentro del marco de la estrategia municipal de promoción turística como mecanismo innovador para la atracción de población dentro del ámbito de la reserva de la biosfera "alto bernesga". para ello se proyecta la habilitación de los espacios ocupados por la edificación dotándolo de la accesibilidad y de los contenidos necesarios para su uso, para que dé servicio a usuarios entre otros del camino de san salvador en su ruta a oviedo.</t>
  </si>
  <si>
    <t xml:space="preserve">Rehabilitacion estación ferroviaria de la pola de gordon para albergue de los caminos a santiago. </t>
  </si>
  <si>
    <t>2022-C108</t>
  </si>
  <si>
    <t>REHABILITACIÓN Y REFORMA DEL CENTRO DE EMPRESAS DE LA ROBLA (BLOQUE B). Mejora de las instalciones y de los espacios de espacios para este edificio que sirve de lugar de trabajo para distintas entidades, empresas y asociaciones.</t>
  </si>
  <si>
    <t>https://www.diariodeleon.es/leon/provincia/montana-central/240307/1514020/robla-saca-licitacion-nuevo-coworking-500-000.html</t>
  </si>
  <si>
    <t>Mejora de las instalciones y de los espacios de espacios para este edificio que sirve de lugar de trabajo para distintas entidades, empresas y asociaciones.</t>
  </si>
  <si>
    <t>Rehabilitación y reforma del centro de empresas de La Robla</t>
  </si>
  <si>
    <t>2022-C075</t>
  </si>
  <si>
    <t>Creación de un centro de tratamiento de los trastornos de la conducta alimentaria</t>
  </si>
  <si>
    <t>CENTRO TCA ALTO BERNESGA, SL.</t>
  </si>
  <si>
    <t xml:space="preserve">Proyecto para la asistencia en centros residenciales para personas con enfermedad mental ofreciendo alojamiento, comida, soporte protector, supervisión y asesoramiento, así como atención sanitaria. 
</t>
  </si>
  <si>
    <t>2021-M199</t>
  </si>
  <si>
    <t>Clínica de podología</t>
  </si>
  <si>
    <t>REBECA ANDRES VILLAGRA</t>
  </si>
  <si>
    <t xml:space="preserve">Proyecto para puesta en marcha de una clínica de podología dirigida por personal cualificado. medicina especializada en prevenir, diagnosticar y tratar por medios conservadores y quirúrgicos enfermedades del pie.
</t>
  </si>
  <si>
    <t>2021-M195</t>
  </si>
  <si>
    <t>El empleo comprometido es 1,5, y el creado 1,38</t>
  </si>
  <si>
    <t>Dirty Moustache Bikes</t>
  </si>
  <si>
    <t>VICTOR JAVIER GARCIA GONZALEZ</t>
  </si>
  <si>
    <t>https://dirtymoustachebikes.com/</t>
  </si>
  <si>
    <t>Proyecto para el alquiler de bicicletas de montaña desde tres vertientes: 
• visita a lugares turísticos del entorno.
• uso deportivo.
• iniciación. 
los perfiles de cliente a los que van dirigidas estas propuestas son: familias, colegios, campamentos, empresas… para todos ellos se incluye un servicio de acompañamiento y guía.</t>
  </si>
  <si>
    <t>Dirty moustache bikes</t>
  </si>
  <si>
    <t>2021-M154</t>
  </si>
  <si>
    <t>Construcción y equipamiento de laboratorio I+D y fabricación de productos dermatológicos sanitarios y veterinarios</t>
  </si>
  <si>
    <t>OZOLABS I MAS D</t>
  </si>
  <si>
    <t>https://www.leonoticias.com/comarcas/gobierno-impulsa-sendos-20211228192816-nt.html</t>
  </si>
  <si>
    <t xml:space="preserve">Construcción de un laboratorio de 280 m2 con 3 salas blancas de producción y 1 sala blanca de acondicionamiento primario, la instalación contará con el equipamiento necesario para realizar la investigación, formulación y pequeñas producciones de varias líneas de productos innovadores.
</t>
  </si>
  <si>
    <t>Construcción y equipamiento de laboratorio i+d y fabricación de productos dermatológicos sanitarios y veterinarios</t>
  </si>
  <si>
    <t>2021-M083</t>
  </si>
  <si>
    <t>Rehabilitación de inmueble para adecuarlo como hotel rural</t>
  </si>
  <si>
    <t>RINCON MINERO S.L</t>
  </si>
  <si>
    <t>2021-M074</t>
  </si>
  <si>
    <t>Se corrige el empleo comprometido que es 1. Finalmente renuncia a la ayuda</t>
  </si>
  <si>
    <t>Pequeña casa de alquiler integro en Coladilla (León)</t>
  </si>
  <si>
    <t>TERESA YAÑEZ LLAMAS</t>
  </si>
  <si>
    <t>2021-M062</t>
  </si>
  <si>
    <t>Rehabilitación de inmueble para adecuarlo como albergue turístico "El Huyero"</t>
  </si>
  <si>
    <t>EL HUYERO RURAL S.L</t>
  </si>
  <si>
    <t>2021-M060</t>
  </si>
  <si>
    <t>Creación nuevo gimnasio y centro de nutrición</t>
  </si>
  <si>
    <t>VICENTE BADIOLA GONZALEZ</t>
  </si>
  <si>
    <t>2018-M065</t>
  </si>
  <si>
    <t>Creación servicio de reparación, venta y alquiler de bicicletas y bicicletas eléctricas.</t>
  </si>
  <si>
    <t>MARIA CARMEN NOSTI DEL POZO</t>
  </si>
  <si>
    <t>chrome-extension://efaidnbmnnnibpcajpcglclefindmkaj/https://www.transicionjusta.gob.es/Documents/el_instituto/Convenios_transicion_justa/common/Castilla%20y%20Le%C3%B3n/CTJ%20Monta%C3%B1a%20Central%20Leonesa%20-%20La%20Robla_abril2023.pdf</t>
  </si>
  <si>
    <t xml:space="preserve">Proyecto basado en la creación de un servicio especializado en el alquiler de bicis eléctricas gama media alta y accesorios: cascos, gps, alforjas, etc. los clientes a quienes va dirigido son: </t>
  </si>
  <si>
    <t>2018-M023</t>
  </si>
  <si>
    <t>Mejora y ampliación de una linea de envasado de legumbres</t>
  </si>
  <si>
    <t>SELECCIÓN DE PRODUCTOS LEONESES S.A.</t>
  </si>
  <si>
    <t>2018-M013</t>
  </si>
  <si>
    <t>11078873A</t>
  </si>
  <si>
    <t>11073469G</t>
  </si>
  <si>
    <t>11072370D</t>
  </si>
  <si>
    <t>11062088P</t>
  </si>
  <si>
    <t>10072780E</t>
  </si>
  <si>
    <t>09811260N</t>
  </si>
  <si>
    <t>09811007N</t>
  </si>
  <si>
    <t>09810760H</t>
  </si>
  <si>
    <t>09810513R</t>
  </si>
  <si>
    <t>09810318J</t>
  </si>
  <si>
    <t>09808331G</t>
  </si>
  <si>
    <t>09807491S</t>
  </si>
  <si>
    <t>09807483F</t>
  </si>
  <si>
    <t>09806549Q</t>
  </si>
  <si>
    <t>09806074R</t>
  </si>
  <si>
    <t>09806045H</t>
  </si>
  <si>
    <t>09805989L</t>
  </si>
  <si>
    <t>09805164B</t>
  </si>
  <si>
    <t>09804417T</t>
  </si>
  <si>
    <t>09804116K</t>
  </si>
  <si>
    <t>09803358E</t>
  </si>
  <si>
    <t>09802739R</t>
  </si>
  <si>
    <t>09802733H</t>
  </si>
  <si>
    <t>09802198N</t>
  </si>
  <si>
    <t>09801842R</t>
  </si>
  <si>
    <t>09801378C</t>
  </si>
  <si>
    <t>09801314W</t>
  </si>
  <si>
    <t>09800740A</t>
  </si>
  <si>
    <t>09800450N</t>
  </si>
  <si>
    <t>09800447D</t>
  </si>
  <si>
    <t>09799684M</t>
  </si>
  <si>
    <t>09798468P</t>
  </si>
  <si>
    <t>09798175Z</t>
  </si>
  <si>
    <t>09797332E</t>
  </si>
  <si>
    <t>09796140A</t>
  </si>
  <si>
    <t>09795990Z</t>
  </si>
  <si>
    <t>09795289A</t>
  </si>
  <si>
    <t>09793884R</t>
  </si>
  <si>
    <t>09789109X</t>
  </si>
  <si>
    <t>09762202J</t>
  </si>
  <si>
    <t>09731966E</t>
  </si>
  <si>
    <t>BARRIOS. RENOVACION TECNOLOGICA DE MINICENTRAL HIDROELECTRICA</t>
  </si>
  <si>
    <t>24012</t>
  </si>
  <si>
    <t>Barrios de Luna, Los</t>
  </si>
  <si>
    <t>REDONDO HERMANOS S.L.</t>
  </si>
  <si>
    <t>https://www.chduero.es/embalse-de-barrios-de-luna</t>
  </si>
  <si>
    <t>Renovacion tecnologica de minicentral hidroelectrica Barrios de Luna</t>
  </si>
  <si>
    <t>Minicentral hidroelectrica barrios de luna</t>
  </si>
  <si>
    <t>PR-REPOTEN-2023-000317</t>
  </si>
  <si>
    <t>CENTRAL HIDROELECTRICA VEGA DE CABALLEROS</t>
  </si>
  <si>
    <t>CENTRAL HIDROELECTRICA VEGA DE CABALLEROS SL</t>
  </si>
  <si>
    <t>https://empresite.eleconomista.es/CENTRAL-HIDROELECTRICA-VEGA-CABALLEROS.html</t>
  </si>
  <si>
    <t>Esta empresa tiene como propósito la explotacion del negocio de produccion, venta y utilizacion de energia electrica a traves de la central hidroelectrica situada en el rio luna, provincia de leon, en el termino de vega de caballeros, registro de aguas d y fue creada el día 17/01/2003.</t>
  </si>
  <si>
    <t>Central hidroelectrica vega de caballeros</t>
  </si>
  <si>
    <t>PR-REPOTEN-2023-000303</t>
  </si>
  <si>
    <t>PROYECTO DE RENOVACIÓN TECNOLÓGICA Y MEDIOAMBIENTAL DE LA MINICENTRAL HIDROELÉCTRICA DE VEGACERVERA , EN EL RÍO TORÍO , T T.MM. DE VEGACERVERA Y MATALLANA DE TORÍO LEÓN</t>
  </si>
  <si>
    <t>MINICENTRALES HIDROELÉCTRICAS DE GALICIA S.L</t>
  </si>
  <si>
    <t>chrome-extension://efaidnbmnnnibpcajpcglclefindmkaj/https://sede.idae.gob.es/sites/default/files/2024-02/REPOCIRCULAR__PRP_del_OI_FIRMADO.pdf</t>
  </si>
  <si>
    <t>Proyecto de renovación tecnológica y medioambiental de la minicentral hidroeléctrica de vegacervera , en el río torío , t t.mm. de vegacervera y matallana de torío león</t>
  </si>
  <si>
    <t>PR-REPOTEN-2023-000206</t>
  </si>
  <si>
    <t>Renovación tecnológica y medioambiental de la central hidroeléctrica de "Peña Corada"</t>
  </si>
  <si>
    <t>HIDRO ENERGIA XANA SL</t>
  </si>
  <si>
    <t>chrome-extension://efaidnbmnnnibpcajpcglclefindmkaj/https://sede.idae.gob.es/sites/default/files/documentos/2023/REPOCIRCULAR/REPOCIRCULAR_Prop_Resol_Definitiva_Adjudicacion_v00_FIRMADO.pdf</t>
  </si>
  <si>
    <t>Renovación tecnológica y medioambiental de la central hidroeléctrica de "peña corada"</t>
  </si>
  <si>
    <t>PR-REPOTEN-2023-000095</t>
  </si>
  <si>
    <t>ACTUACIONES DE RENOVACIÓN Y MEJORA EN LA MINICENTRAL HIDROELÉCTRICA  ARROYO LOS POZOS, VILLAMANÍN (LEÓN)</t>
  </si>
  <si>
    <t>ARROYO LOS POZOS, SL</t>
  </si>
  <si>
    <t>chrome-extension://efaidnbmnnnibpcajpcglclefindmkaj/https://taxusmedioambiente.com/wp-content/uploads/2024/10/Taxus_Memoria_2023.pdf      chrome-extension://efaidnbmnnnibpcajpcglclefindmkaj/https://sede.idae.gob.es/sites/default/files/documentos/2023/REPOCIRCULAR/REPOCIRCULAR_Prop_Resol_Definitiva_Adjudicacion_v00_FIRMADO.pdf</t>
  </si>
  <si>
    <t>Actuaciones de renovación y mejora en la minicentral hidroeléctrica  arroyo los pozos, villamanín (león)</t>
  </si>
  <si>
    <t>PR-REPOTEN-2023-000093</t>
  </si>
  <si>
    <t>Energía</t>
  </si>
  <si>
    <t>Valles Leonés del Hidrógeno Verde</t>
  </si>
  <si>
    <t>DESARROLLO RENOVABLE MAHOGANY SLU</t>
  </si>
  <si>
    <t>https://reolum.com/35-kilometros-de-gasoducto-uniran-las-dos-plantas-gemelas-de-hidrogeno-en-villadangos-y-la-robla-que-suman-712-millones-de-inversion/</t>
  </si>
  <si>
    <t>El uso principal del Hidrógeno renovable generado en el proyecto será la producción de e-Metanol verde. Para ello, contemplará la construcción y operación de dos plantas similares para producción de Hidrógeno verde, se instalarán dos Electrolizadores (PEM).  El eje principal de las instalaciones es La Robla, que se complementan con las que se situarán en Villadangos.</t>
  </si>
  <si>
    <t>Valle leonés del hidrógeno verde</t>
  </si>
  <si>
    <t>PR-H2CLUSTER-2024-000069</t>
  </si>
  <si>
    <t>H2CLUSTER</t>
  </si>
  <si>
    <t>Valles de Hidrógeno</t>
  </si>
  <si>
    <t>20 empleos asociados a la ayuda</t>
  </si>
  <si>
    <t>No justificación</t>
  </si>
  <si>
    <t>Reforma y ampliación de edificio existente para su transformación en centro de mayores</t>
  </si>
  <si>
    <t>Guardo-Velilla</t>
  </si>
  <si>
    <t>34214</t>
  </si>
  <si>
    <t>Villalba de Guardo</t>
  </si>
  <si>
    <t>Ayuntamiento de Villalba de Guardo</t>
  </si>
  <si>
    <t>ELCT-2020-00077-E</t>
  </si>
  <si>
    <t>Ampliación de vigencia y de importe</t>
  </si>
  <si>
    <t>Emisario y EDAR en Santibáñez de la Peña</t>
  </si>
  <si>
    <t>34171</t>
  </si>
  <si>
    <t>Santibáñez de la Peña</t>
  </si>
  <si>
    <t>Ayuntamiento de Santibáñez de la Peña</t>
  </si>
  <si>
    <t>https://www.diariodevalderrueda.es/texto-diario/mostrar/5061936/junta-mejorara-ampliara-edar-santibanez-pena-inversion-690000-euros    file:///C:/Users/va.grados/Downloads/TED202200015_(1)20211229_CYL-2021-0008_Convenio_FIRMADO%20(1).pdf</t>
  </si>
  <si>
    <t>Realización de diversas actuaciones destinadas a la ampliación y mejora de las distintas estaciones de depuración de aguas residuales ubicadas en el Barrio de la Estación, Barrio Alto y Barrio Bajo de Santibáñez de la Peña, así como las estaciones de las localidades de Las Heras de la Peña, Pino de Viduerna, Velilla de la Peña, Villalbeto de la Peña y Villaverde de la Peña, pertenecientes al término municipal de Santibáñez de la Peña. Las actuaciones en todas las estaciones depuradoras consistirán en la construcción de una arqueta de entrada con aliviadero y reja de desbaste, la instalación de un tratamiento primario formado por un sistema de decantación-digestión, y un tratamiento secundario formado por contactores biológicos rotativos y un decantador secundario. Además, se construirá una arqueta a la salida del tanque para finalmente verter al cauce el efluente depurado.</t>
  </si>
  <si>
    <t>Emisario y edar en santibáñez de la peña</t>
  </si>
  <si>
    <t>CYL-2021-0008</t>
  </si>
  <si>
    <t>Emisario y EDAR en Castrejón de la Peña</t>
  </si>
  <si>
    <t>34049</t>
  </si>
  <si>
    <t>Castrejón de la Peña</t>
  </si>
  <si>
    <t>Ayuntamiento de Castrejón de la Peña</t>
  </si>
  <si>
    <t>https://www.elbierzodigital.com/depuradoras-folgoso-boeza-tedejo-2022/</t>
  </si>
  <si>
    <t>Tiene por objeto el correcto tratamiento de las aguas residuales de las actuales instalaciones que se vierten a los cauces naturales de los cascos urbanos de los núcleos de población de boedo de castrejón, cantoral de la peña, cubillo de castrejón, loma de castrejón, pisón de castrejón, recueva de la peña, roscales de la peña, traspeña de la peña y villanueva de la peña, pertenecientes al ámbito territorial del municipio de castrejón de la peña.</t>
  </si>
  <si>
    <t>CYL-2021-0007</t>
  </si>
  <si>
    <t>Depuración en Espacio Natural en la montaña palentina</t>
  </si>
  <si>
    <t>34904;34199</t>
  </si>
  <si>
    <t>Pernía, La;Velilla del Río Carrión</t>
  </si>
  <si>
    <t>Ayuntamiento de Cervera de Pisuerga, La Pernía y Velilla del Río Carrión.</t>
  </si>
  <si>
    <t>https://comunicacion.jcyl.es/web/jcyl/Comunicacion/es/Plantilla100Detalle/1281372051501/NotaPrensa/1285206672392/Comunicación</t>
  </si>
  <si>
    <t>Depuración en espacio natural en la montaña palentina en los municipios de cervera de pisuerga, la pernía y velilla del río carrión</t>
  </si>
  <si>
    <t>Depuración en espacio natural en la montaña palentina</t>
  </si>
  <si>
    <t>CYL-2021-0001</t>
  </si>
  <si>
    <t>34080</t>
  </si>
  <si>
    <t>Guardo</t>
  </si>
  <si>
    <t xml:space="preserve">Ayuntamiento de Guardo </t>
  </si>
  <si>
    <t>Plan de optimización energética para Institutos de enseñanza secundaria. Actuaciones en el Instituto de Enseñanza Secundaria Guardo en Guardo.</t>
  </si>
  <si>
    <t>34027</t>
  </si>
  <si>
    <t>Barruelo de Santullán</t>
  </si>
  <si>
    <t>AYUNTAMIENTO DE BARRUELO DE SANTULLÁN</t>
  </si>
  <si>
    <t>Mejora de la envolvente térmica del edificio en el centro de día para personas mayores en Barruelo de Santullán</t>
  </si>
  <si>
    <t>Ayuntamiento de Guardo</t>
  </si>
  <si>
    <t>Mejora de la envolvente térmica del edificio en el centro de día para personas mayores</t>
  </si>
  <si>
    <t>34056</t>
  </si>
  <si>
    <t>Cervera de Pisuerga</t>
  </si>
  <si>
    <t>Ayuntamiento de Cervera de Pisuerga</t>
  </si>
  <si>
    <t>34199</t>
  </si>
  <si>
    <t>Velilla del Río Carrión</t>
  </si>
  <si>
    <t>AYUNTAMIENTO DE VELILLA DEL RÍO CARRIÓN</t>
  </si>
  <si>
    <t>Obras finalizadas. 
Fecha de finalización: 05/11/2024</t>
  </si>
  <si>
    <t>Finalizada</t>
  </si>
  <si>
    <t>CyL 7.1- Restauración Ambiental de espacios mineros en el T.M. de Velilla del Río Carrión (Valdehaya-Besande) Palencia</t>
  </si>
  <si>
    <t>Velilla del río Carrión</t>
  </si>
  <si>
    <t>Consejería de Fomento y Medio Ambiente</t>
  </si>
  <si>
    <t>https://medioambiente.jcyl.es/web/jcyl/MedioAmbiente/es/Plantilla100Detalle/1285147668357/1/1285271530454/Texto
https://www.diariopalentino.es/noticia/z49ca2f05-050f-c74a-890be953306cdc4d/202212/9m-para-restaurar-84-hectareas-de-terrenos-mineros</t>
  </si>
  <si>
    <t>Actuaciones de recuperación de suelos y zonas afectadas por la minería en Valilla del Río Carrión</t>
  </si>
  <si>
    <t>CYL 7.1</t>
  </si>
  <si>
    <t>PRTR - C4</t>
  </si>
  <si>
    <t>RESTAURACIÓN C4 - PRTR</t>
  </si>
  <si>
    <t>Obras finalizadas. 
Fecha de finalización: 6/12/2024</t>
  </si>
  <si>
    <t>CyL 20- Restauracion Ambiental de espacios mineros en el T.M. de La Pernia. Areños (Mina El Cardil) Palencia</t>
  </si>
  <si>
    <t>34904</t>
  </si>
  <si>
    <t>Pernía, La</t>
  </si>
  <si>
    <t>Actuaciones de recuperación de suelos y zonas afectadas por la minería en La Pernía</t>
  </si>
  <si>
    <t>CYL 20</t>
  </si>
  <si>
    <t>Obras finalizadas. 
Fecha de finalización: 3/04/2024</t>
  </si>
  <si>
    <t>CyL 19- Restauración Ambiental de espacios mineros en el T.M. de La Pernia. Santa María de Redondo (Mina Montebismo) Palencia</t>
  </si>
  <si>
    <t>CYL 19</t>
  </si>
  <si>
    <t>Obras finalizadas. 
Fecha de finalización: 17/01/2024</t>
  </si>
  <si>
    <t>CyL 18- Restauración Ambiental de espacios mineros en el T.M. de Barruelo de Santullán (Mina Peragido) Palencia</t>
  </si>
  <si>
    <t>Actuaciones de recuperación de suelos y zonas afectadas por la minería en Barruelo de Santullán</t>
  </si>
  <si>
    <t>CYL 18</t>
  </si>
  <si>
    <t>Obras finalizadas. 
Fecha de finalización: 3/10/2024</t>
  </si>
  <si>
    <t>CyL 17- Restauración Ambiental de espacios mineros en el T.M. de Barruelo de Santullán (Escombreras Barruelo) Palencia</t>
  </si>
  <si>
    <t>CYL 17</t>
  </si>
  <si>
    <t>Obras finalizadas. 
Fecha de finalización: 14/05/2024</t>
  </si>
  <si>
    <t>CyL 16- Restauración Ambiental de espacios mineros en el T.M. de Santibañez de la Peña.Villaverde de la Peña (Mina Requejada) Palencia</t>
  </si>
  <si>
    <t>Actuaciones de recuperación de suelos y zonas afectadas por la minería en Santibáñez de la Peña</t>
  </si>
  <si>
    <t>CYL 16</t>
  </si>
  <si>
    <t>71930522T</t>
  </si>
  <si>
    <t>71415767P</t>
  </si>
  <si>
    <t>Rehabilitación del antiguo mercado de abastos y centro de día de personas mayores</t>
  </si>
  <si>
    <t>https://www.diariopalentino.es/noticia/zc7e095cf-4f03-4dbc-94ed4c6ca8e266f8/202505/el-miteco-eleva-a-definitivos-los-19me-para-cervera</t>
  </si>
  <si>
    <t>Rehabilitación del antiguo mercado de abastos y centro de día de personas mayores en Cervera de Pisuerga</t>
  </si>
  <si>
    <t>Rehabilitaciçón antiguo maercado de Abastos</t>
  </si>
  <si>
    <t>2024-C178</t>
  </si>
  <si>
    <t>Turistico</t>
  </si>
  <si>
    <t>Rehabilitación Casa del Toro de Resoba</t>
  </si>
  <si>
    <t>Rehabilitación Casa del Toro de Resoba en Cervera de Pisuerga para albergue</t>
  </si>
  <si>
    <t>2024-C170</t>
  </si>
  <si>
    <t>Modernización y digitalización de residencia socio-sanitaria de mayores</t>
  </si>
  <si>
    <t>GUARDO PROYECTO 2000 S.L.</t>
  </si>
  <si>
    <t>chrome-extension://efaidnbmnnnibpcajpcglclefindmkaj/https://www.transicionjusta.gob.es/Documents/el_instituto/Convenios_transicion_justa/common/MINMIS_TJ/Resolucion_concesion%20def_MINIMIS%202023%20TJ__con%20anexos%20Fda.pdf</t>
  </si>
  <si>
    <t>Digitalización del servicio y aceleración de la adaptación del servicio a las nuevas estartegias de calidad establecidad por la gerencia de serivicios sociales para los cuidados de larga de duración: mejora arquitectónica y ambiental, atención libre de sujeciones y mejora de procesos</t>
  </si>
  <si>
    <t>2023-P143</t>
  </si>
  <si>
    <t>MODERNIZACION Y EFICIENCIA EN LOS SISTEMAS DE CONTROL Y PESAJE EN LAS PLANTAS DE BENEFICIO</t>
  </si>
  <si>
    <t>MINERALES DEL BREZO SL</t>
  </si>
  <si>
    <t>http://mineralesdelbrezo.es/
https://www.transicionjusta.gob.es/content/dam/itj/files-1/Documents/reactivacion_comarcas/common/MINERIA/MINIMIS_Mineria/Resoluci%C3%B3n%20concesi%C3%B3n%20definitiva%20MINIMIS%202023_firmada.pdf</t>
  </si>
  <si>
    <t>Modernizacion y eficiencia en los sistemas de control y pesaje en las plantas de beneficio de Santibáñez de la Peña</t>
  </si>
  <si>
    <t>Automatización del sistema de molienda en planta de caliza</t>
  </si>
  <si>
    <t>2023-M075</t>
  </si>
  <si>
    <t>DIGITALIZACIÓN Y ADECUACIÓN DEL CENTRO AL NUEVO MODELOS ASISTENCIAL</t>
  </si>
  <si>
    <t>https://sociosanitarioguardo.com/
https://www.transicionjusta.gob.es/content/dam/itj/files-1/Documents/reactivacion_comarcas/common/MINERIA/MINIMIS_Mineria/Resoluci%C3%B3n%20concesi%C3%B3n%20definitiva%20MINIMIS%202023_firmada.pdf</t>
  </si>
  <si>
    <t>Reforma de 2 unidades de convivencia y modernización de sistemas tecnológicos</t>
  </si>
  <si>
    <t>Digitalización y adecuación a la estrategia de cuidados de larga duración en la residencia y centro de día de Guardo</t>
  </si>
  <si>
    <t>2023-M021</t>
  </si>
  <si>
    <t>NUEVO PARQUE URBANO. Nuevo parque urbano con instalaciones para el ocio. Sistema de recuperación de aguas pluviales, de optimización del riego e iluminación 100% renovable</t>
  </si>
  <si>
    <t>Actualmente, el municipio cuenta con una piscina descubierta en desuso, posiblemente por la climatología de la zona. se propone crear una nueva zona verde, un parque.
existe una demanda de este tipo de actuación que se justifica por la relación entre las necesidades sociales y de esparcimiento de las personas, con la escasez de dichas infraestructuras en su entorno, ya que en el municipio no existe una zona verde (salvo 2 plazas que carecen de vegetación y equipamiento).
esta actuación significará un factor adicional en la permanencia de la población en el territorio y la atracción de ciudadanos de otros municipios, ya que supondrá un atractivo para usuarios de todas las edades al incluir zonas de parque infantil, parque para adultos, parque de calistenia, solárium y zona de picnic y barbacoa. además, se eliminan las barreras arquitectónicas. la actuación contempla:
- un espacio para barbacoas y picnic.
- un parque infantil
- un parque de calistenia
- un parque para personas mayores (con máquinas adaptadas)
- una zona de solárium y recorridos entre zonas verdes con elementos de sombra y mobiliario.
- se elimina la vegetación y arbolado en mal estado y se realiza una nueva plantación de césped y arbolado autóctono y/o adaptado.
- además, se dota de un sistema de riego con sensores de lluvia para optimizar el consumo de recursos hídricos, además de una instalación de depósito para almacenar aguas pluviales y usarlas posteriormente para el riego. también se adapta al parque de alumbrado, ya que el uso actual carece de alumbrado, con farolas solares con batería integrada (para que el total de energía consumida por la iluminación sea 100% renovable) y sensores de presencia (para optimizar el consumo cuando haya menor tránsito).</t>
  </si>
  <si>
    <t xml:space="preserve">Nuevo parque urbano. </t>
  </si>
  <si>
    <t>2022-C178</t>
  </si>
  <si>
    <t xml:space="preserve">REHABILITACIÓN INTEGRAL DE EDIFICIO DE ANTIGUA ESCUELA DE ARTES Y OFICIOS. Creación de viviendas en régimen de alquiler que atraigan población de los municipios vecinos con industrias galleteras. Aula homologada para certificados de profesionalidad. Espacio para coworking  y vida asociativa, gimnasio adaptado y salas para exposiciones </t>
  </si>
  <si>
    <t>2022-C146.jpg</t>
  </si>
  <si>
    <t>https://planderecuperacion.gob.es/como-acceder-a-los-fondos/convocatorias/PLC/15878931/obra-de-rehabilitacion-integral-de-edificio-de-antigua-escuela-de-artes-y-oficios</t>
  </si>
  <si>
    <t xml:space="preserve">Creación de viviendas en régimen de alquiler que atraigan población de los municipios vecinos con industrias galleteras. aula homologada para certificados de profesionalidad. espacio para coworking  y vida asociativa, gimnasio adaptado y salas para exposiciones </t>
  </si>
  <si>
    <t xml:space="preserve">Rehabilitación integral de edificio de antigua escuela de artes y oficios. </t>
  </si>
  <si>
    <t>2022-C146</t>
  </si>
  <si>
    <t>REHABILITACIÓN ENERGÉTICA DE HOTEL. Arquitectura ecológica y sostenible para adaptarlo a las condiciones del entorno natural de la Montaña Palentina y fomente el ecoturismo en los parques naturales próximos</t>
  </si>
  <si>
    <t xml:space="preserve">Rehabilitación energética de hotel. </t>
  </si>
  <si>
    <t>2022-C104</t>
  </si>
  <si>
    <t>REHABILITACIÓN DE EDIFICIO PARA ESPACIO DE CONECTIVIDAD TERRITORIAL "LA MANSIÓN". Espacio para el emprendimiento para emprendedores y PYMES con salón de actos y  coworking para garantizar la conectividad a los ciudadanos. Mediateca con fondo audiovisual y multimedia.</t>
  </si>
  <si>
    <t xml:space="preserve">Rehabilitación de edificio para espacio de conectividad territorial "la mansión". </t>
  </si>
  <si>
    <t>2022-C079</t>
  </si>
  <si>
    <t>Adquisición de bañadora de chocolate y tunel de frio para desarrollo de nuevos productos con chocolate blanco</t>
  </si>
  <si>
    <t>PRODUCTOS VIRGEN DEL BREZO SAU</t>
  </si>
  <si>
    <t>Bañadora de chocolate y tunel  de frio para desarrollo de nuevos productos con chocolate blanco</t>
  </si>
  <si>
    <t>2021-M164</t>
  </si>
  <si>
    <t>Modernizacion de maquina bañadora de chocolate con tunel de frio.</t>
  </si>
  <si>
    <t>PASTAS Y HOJALDRES UKO S.L.</t>
  </si>
  <si>
    <t xml:space="preserve">Se requiere modernizacion de maquina bañadora de chocolate con tunel de frio.
el actual se encuentra al final de su vida util ademas de empezar a crearnos un cuello de botella en nuestra produccion. es decir, con el tunel actual no damos abasto en periodos de alta produccion,
por ultimo, el equipo actual nos esta empezando a dar problemas en piezas que son caras y dificiles de conseguir, por lo que la adquisicion de una nueva maquina es de vital importancia para nuestra pequeña empresa
</t>
  </si>
  <si>
    <t>2021-M033</t>
  </si>
  <si>
    <t>Proyecto de economía circular para planta de valorización de NFVU</t>
  </si>
  <si>
    <t>MINA URBANA NORTE S.L.</t>
  </si>
  <si>
    <t>2021-0108.jpg</t>
  </si>
  <si>
    <t>https://www.diariopalentino.es/noticia/z75657bb1-0000-2792-4bbe15f356bd3567/202106/proyectan-en-guardo-una-planta-de-valorizacion-de-neumaticos</t>
  </si>
  <si>
    <t>La compañía mina norte urbana proyecta una planta de  valorización de neumáticos en el polígono industrial de campondón de guardo con una inversión superior a los 30 millones de euros, que se traducirían en la creación de 40 puestos de trabajo directo. 
el complejo fabril empleará para conseguirlo un proceso de despolimerización, una tecnología punta en el sector que consiste en un tratamiento térmico sin presencia de oxígeno, esto es, no hay una incineración ni trituración, lo que ahorra del orden de 50.000 toneladas de co2 anuales sobre el proceso tradicional. 
de este modo se recuperan los materiales originales,  caucho y negro de carbón (enormemente empleado en la industria del siglo xxi) principalmente, además de acero (que con este proceso mantiene la máxima calidad) y telas. de este proceso se obtiene también un bioaceite que puede servir como base para la producción de plásticos o como base para biocombustible</t>
  </si>
  <si>
    <t>Proyecto de economía circular para planta de valorización de nfvu</t>
  </si>
  <si>
    <t>2021-0108</t>
  </si>
  <si>
    <t>El informe explica que, desde el punto de vista medioambiental, este proyecto sería muy dañino para el Parque Natural en que se encuentra. Para que el proyecto sea viable económicamente -con 16 puestos de trabajo fijos-, el proyecto tiene que no respetar el caudal ecológico del manantial. El informe explica que esto puede ser dañino al medio-largo plazo porque dañaría el paisaje y posibles oportunidades económicas a futuro.</t>
  </si>
  <si>
    <t xml:space="preserve">Re-apertura e introducción de mejoras tecnológicas en planta de envasado de agua mineral natural </t>
  </si>
  <si>
    <t>SANDORA IBERIA, S.L.</t>
  </si>
  <si>
    <t>2018-0046.jpg</t>
  </si>
  <si>
    <t>chrome-extension://efaidnbmnnnibpcajpcglclefindmkaj/viewer.html?pdfurl=https%3A%2F%2Fwww.transicionjusta.gob.es%2FDocuments%2Fel_instituto%2FConvenios_transicion_justa%2Fcommon%2FCastilla%2520y%2520Le%25C3%25B3n%2FCTJGuardoVelilla_abril2023.pdf&amp;tabId=1373273191&amp;clen=3437315&amp;chunk=true</t>
  </si>
  <si>
    <t>Ampliación e introducción de mejoras tecnológicas en una planta de envasado de agua mineral natural. se pretende envasar en varios formatos (0,33 l; 0,5 l; 1 l; 1,5 l). el agua procederá de manantiales de la montaña palentina.</t>
  </si>
  <si>
    <t>2018-0046</t>
  </si>
  <si>
    <t xml:space="preserve">Nueva planta de producción de pellets de madera </t>
  </si>
  <si>
    <t>PELLETS GUARDO, S.L.</t>
  </si>
  <si>
    <t>2018-0009</t>
  </si>
  <si>
    <t>12770382T</t>
  </si>
  <si>
    <t>12768364Y</t>
  </si>
  <si>
    <t>12756338D</t>
  </si>
  <si>
    <t>Nueva central depuradora reversible con aprovechamiento de aguas de drenaje de minas abandonadas.</t>
  </si>
  <si>
    <t>Sociedad participada parcialmente por ERBI (APROX. 30 %)</t>
  </si>
  <si>
    <t>Central Depuradora Reversible Velilla del Río Carrión</t>
  </si>
  <si>
    <t>C D R CARRION, SL</t>
  </si>
  <si>
    <t>https://www.diariopalentino.es/noticia/z5ba316a8-0811-57a8-1e6c9c1c981a9ffa/202407/velilla-reactiva-el-proyecto-de-la-central-reversible-con-114m
https://cdrvelilla.eu/</t>
  </si>
  <si>
    <t>Central Depuradora Reversible Río Carrión. Capacidad de Almacenamiento : 839 MWh
Potencia de turbinación: (2x 71,91 MW) : 143,82 MW.</t>
  </si>
  <si>
    <t>Central Depuradora Reversible Río Carrión</t>
  </si>
  <si>
    <t>PR-BORALMAC-2023-000022</t>
  </si>
  <si>
    <t>BORALMAC</t>
  </si>
  <si>
    <t>Proyectos innovadores de almacenamiento mediante bombeo reversible</t>
  </si>
  <si>
    <t>Planta de biogás en Guardo</t>
  </si>
  <si>
    <t>Guardo Green Gass SL (VERDALIA)</t>
  </si>
  <si>
    <t>https://www.diariopalentino.es/noticia/zf04acdca-bc2c-34cf-bc5b4126c25b6dad/202307/guardo-proyecta-una-planta-de-biogas-con-30-empleados</t>
  </si>
  <si>
    <t>Planta de biogás en el municipio de guardo. potencia de entre 3 y 4 mwt. la planta prevé producir 56 gwh/año (200.000 t de biogás aproximadamente). se abastecerá principalmente de los purines que generan las granjas de cerdos cercanas a guardo</t>
  </si>
  <si>
    <t>Planta de biogás en guardo</t>
  </si>
  <si>
    <t>PR-BIOGAS-2022-000380</t>
  </si>
  <si>
    <t>10 empleos asociados a la ayuda</t>
  </si>
  <si>
    <t>Readaptación de de instalaciones municipales para un centro de estancia diurna de mayores y personas con discapacidad física</t>
  </si>
  <si>
    <t>Guadiato</t>
  </si>
  <si>
    <t>14009</t>
  </si>
  <si>
    <t>Belmez</t>
  </si>
  <si>
    <t>Córdoba</t>
  </si>
  <si>
    <t>Ayuntamiento de Belmez</t>
  </si>
  <si>
    <t>Fotografía aportada por el ayuntamiento</t>
  </si>
  <si>
    <t>ELCT-2020-00070-E.jpeg</t>
  </si>
  <si>
    <t>Un proyecto complementario para acondicionamiento de acometidas y equipamiento de mobiliario del complejo, actuaciones, que, a fecha de hoy, se encuentran finalizadas, cumpliendo todos los requisitos solicitados por la normativa vigente cuando se obtuvo la autorización previa de creación de unidad de estancia diurna.
El establecimiento, es sólo uno de los servicios necesarios, para poder permitir que personas mayores puedan seguir en su residencia habitual, de forma que para completar la asistencia, habrán de crearse actividades complementarias. 
Se realizará el servicio de estancia Diurna de personas Mayores y Disminuidos Físicos, inexistente en el municipio.</t>
  </si>
  <si>
    <t>ELCT-2020-00070-E</t>
  </si>
  <si>
    <t>14052</t>
  </si>
  <si>
    <t>Peñarroya-Pueblonuevo</t>
  </si>
  <si>
    <t>ENCASUR - PEÑARROYA</t>
  </si>
  <si>
    <t>30206294A</t>
  </si>
  <si>
    <t>30204097Z</t>
  </si>
  <si>
    <t>30203207K</t>
  </si>
  <si>
    <t>Servicios</t>
  </si>
  <si>
    <t>PROYECTO BÁSICO Y DE EJECUCIÓN DE REFORMA DE LA PLAZA DE LA CONSTITUCIÓN Y ADECUACIÓN DE DOTACIONES MUNICIPALES DE VILLAHARTA</t>
  </si>
  <si>
    <t>14068</t>
  </si>
  <si>
    <t>Villaharta</t>
  </si>
  <si>
    <t>Ayuntamiento de Villaharta</t>
  </si>
  <si>
    <t>Mejora de la accesiibilidad y reforma de la Plaza de la Constitución</t>
  </si>
  <si>
    <t>Proyecto básico y de ejecución de reforma de la Plaza de la Constitución y adecuación de las dotaciones municipales de  Villaharta</t>
  </si>
  <si>
    <t>2024-C176</t>
  </si>
  <si>
    <t>PROYECTO EJECUCIÓN DE REHABILITACIÓN ENERGÉTICA DEL CENTRO COMARCAL DE INNOVACIÓN, EMPRENDIMIENTO Y DIGITALIZACIÓN</t>
  </si>
  <si>
    <t>Mancomunidad del Valle del Guadiato</t>
  </si>
  <si>
    <t>Rehabilitación del Centro de Innovación, Emprendimiento y Digitalización para hacerlo energeticamente más eficiente</t>
  </si>
  <si>
    <t>Proyecto de rehabilitación energética del Centro Comarcal de Innovación, Emprendimiento y Digitalización</t>
  </si>
  <si>
    <t>2024-C172</t>
  </si>
  <si>
    <t>Creación de un club de vuelo con rehabilitación de hangar y zona de ocio</t>
  </si>
  <si>
    <t>14029</t>
  </si>
  <si>
    <t>Fuente Obejuna</t>
  </si>
  <si>
    <t>ELA AVIACIÓN, S.L.</t>
  </si>
  <si>
    <t>https://www.diariocordoba.com/cordoba/2024/07/18/aerodromo-fuente-obejuna-contara-club-105817720.html</t>
  </si>
  <si>
    <t xml:space="preserve"> ELA Aviación busca expandirse mediante la creación de un club de vuelo que sirva como punto de encuentro para clientes y una escuela de vuelo para formar nuevos pilotos. También planea establecer un centro de formación profesional en autogiros y mecánica, ofreciendo cursos oficiales que permitan a los estudiantes convertirse en mecánicos de sus aeronaves y formar parte de una bolsa de empleo.  La empresa está en constante evolución, invirtiendo en investigación y desarrollo para innovar en sus modelos. Busca diversificar su negocio, acompañando a los clientes en su proceso de aprendizaje en aviación y fomentando una sinergia con el sector turístico local.
 ELA Aviación gestiona el campo de vuelo de Fuente Obejuna y planea mejorar las instalaciones, actualmente anticuadas, para ser habilitados como escuela de vuelo por AESA. Las obras incluirán la mejora de un bar para socios, habitaciones para descanso y la instalación de un surtidor de combustible.
El proyecto abarca la creación del club de vuelo, la reforma del hangar y la zona de ocio, así como la instalación del surtidor de combustible. Además, se realizarán eventos aeronáuticos para posicionarse como un destino turístico destacado a nivel nacional e internacional.</t>
  </si>
  <si>
    <t>2023-P166</t>
  </si>
  <si>
    <t xml:space="preserve">Instalación de una planta de loncheado de productos curados y envasado de carnes </t>
  </si>
  <si>
    <t>AGROPECUARIA IBÉRICOS DEL GUADIATO S.L.</t>
  </si>
  <si>
    <t xml:space="preserve"> Agropecuaria Ibéricos del Guadiato S.L. planea crear un proyecto de almacén frigorífico y planta de procesamiento de productos cárnicos en una nave industrial recientemente adquirida en Córdoba. El objetivo es profundizar en la línea comercial de productos cárnicos mediante la loncheado, envasado de carnes y almacenamiento de jamones.
Este proyecto busca transformar productos cárnicos derivados del cerdo ibérico y promover la comercialización de estos productos locales, generando valor añadido para la cabaña ganadera de la comarca. La empresa trabajará en colaboración con ganaderos locales para cerrar el ciclo productivo del ganado, asegurando así un impacto positivo en la economía local y en la utilización de recursos infrautilizados.
 Incluirá inversiones en obras civiles para adaptar la nave industrial a las actividades propuestas, así como la adquisición de maquinaria y equipamiento necesario. Aunque la empresa ya dispone de algunos activos, no se solicitará subvención para este equipamiento.
 La empresa gestionará la compra de cerdos ibéricos de ganaderos del Alto Guadiato para su transformación. Los cerdos serán llevados al matadero y, posteriormente, las canales de carne y productos semicurados se trasladarán a las nuevas instalaciones para continuar con el proceso productivo.</t>
  </si>
  <si>
    <t>2023-P155</t>
  </si>
  <si>
    <t>Creación de un aula formativa agraria comarcal</t>
  </si>
  <si>
    <t>SOLUCIONES Y GESTIONES AGROGANADERAS GUADIATO SL</t>
  </si>
  <si>
    <t>Consolidar la actividad empresarial mediante la creación del Aula Formativa Agraria Comarcal en el Valle del Guadiato, respondiendo a la fuerte necesidad de formación profesional en la región.
Abordar la falta de personal capacitado en agricultura y ganadería tras el cierre de las minas, promoviendo la formación continua para nuevos y actuales trabajadores del sector.
Rehabilitar un local para establecer un centro de formación que ofrezca cursos acreditados y homologados, facilitando la capacitación del personal para mejorar la integración en el sector agroganadero.
Ampliación de las instalaciones con la construcción de un aula de formación, aseos y un despacho.
Trabajos de rehabilitación y construcción, incluyendo desmontado de estructuras, reparación de muros, instalación eléctrica, y adecuación de baños.
Proyectos de dirección de obra, seguridad y gestión de residuos.
Formación especializada en agricultura y ganadería, asesoramiento sobre la PAC, y cursos online para quienes no pueden asistir presencialmente.
Se atenderán las necesidades formativas de toda la población, con énfasis en la inclusión del género femenino en el sector.
Establecimiento de un empleo indefinido para una mujer, así como mantenimiento de otros puestos de trabajo.
El centro operará con horarios flexibles y ofrecerá información a través de su página web y línea telefónica sobre los cursos disponibles.</t>
  </si>
  <si>
    <t>2023-P136</t>
  </si>
  <si>
    <t>Reforma de una casa para_x000D_ su explotación como alojamiento rural de categoría básica</t>
  </si>
  <si>
    <t>MARÍA DEL CARMEN CASTILLEJO DURÁN</t>
  </si>
  <si>
    <t>El objetivo principal es adaptar y equipar una casa en Ojuelos Altos, Córdoba, para convertirla en una Casa Rural de Categoría Básica con 6 plazas. Este proyecto busca diversificar la economía rural en la comarca del Alto Guadiato, donde hay una alta tasa de desempleo y escaso tejido empresarial, fomentando el turismo rural y generando riqueza a través del consumo de productos y servicios locales. La promotora, sin experiencia empresarial previa, iniciará esta actividad para paliar su situación de desempleo, aprovechando su conocimiento y experiencia en el sector. Ofrecerá alojamiento turísitco
Este proyecto busca no solo ofrecer alojamiento, sino también crear una experiencia única en un entorno natural y sostenible.</t>
  </si>
  <si>
    <t>2023-P059</t>
  </si>
  <si>
    <t>Casa Rural de Categoría Básica</t>
  </si>
  <si>
    <t>JUANA SÁNCHEZ MORENO</t>
  </si>
  <si>
    <t>La propuesta busca transformar una casa en la localidad de Ojuelos Altos en una Casa Rural de Categoría Básica con capacidad para 10 personas, cumpliendo con las normativas del turismo rural en Andalucía. Este proyecto incluye obras de adecuación y adquisición de equipamiento, con el fin de ofrecer un servicio de alojamiento de calidad y fomentar el turismo en una región caracterizada por altos índices de desempleo y una economía dependiente de la agricultura y ganadería.
El proyecto pretende generar beneficios económicos en la comunidad a través del turismo, promoviendo el consumo de productos y servicios locales. La promotora no solo gestionará el alojamiento, sino que también ofrecerá actividades complementarias, como asesoramiento sobre atracciones turísticas, turismo empresarial, relajación con clases de yoga, y acceso a un huerto agrícola. Además, el espacio contará con una sala polivalente para eventos y una zona de aparcamiento, lo que posiciona la casa rural como una experiencia única de turismo en un entorno natural y respetuoso con el medio ambiente.</t>
  </si>
  <si>
    <t>Casa rural de categoría básica</t>
  </si>
  <si>
    <t>2023-P058</t>
  </si>
  <si>
    <t>Instalación de clínica de fisioterapia</t>
  </si>
  <si>
    <t>FELIPE TRIVIÑO GARCÍA</t>
  </si>
  <si>
    <t>Con el objetivo de mejorar y ampliar los servicios de fisioterapia mediante la adecuación de un nuevo local en Avenida de la Constitución, 7, Belmez (Córdoba), para suplir las limitaciones del centro actual. El nuevo centro ofrece mejor accesibilidad, mayor espacio y facilidad de aparcamiento, optimizando así la atención al cliente y permitiendo una mejor distribución de áreas para recepción, tratamiento, y almacenamiento.
 Es un espacio amplio con mostrador para citas y gestión administrativa. Con dos salas diferencias; una para terapia manual con camilla, ecógrafo, y diatermia, y otra para terapia activa equipada con material de ejercicios (mancuernas, pelotas,etc). También cuenta con un espacio para material consumible, historias clínicos y documentación, además de vestuario y trastero para limpieza. Con este local, se ampliará la oferta a servicios como magnetoterapia en el centro y presoterapia, mejorando la calidad y la eficiencia de las terapias ofrecidas.</t>
  </si>
  <si>
    <t>2023-P054</t>
  </si>
  <si>
    <t xml:space="preserve">Diversificación y ampliación de empresa de fabricación de artículos de cuero y marroquinería </t>
  </si>
  <si>
    <t>IDEA TEMPO SL</t>
  </si>
  <si>
    <t>Crear una nueva línea de negocio en la empresa para fabricar artículos de cuero, especialmente cajas y embalajes para joyería de alta gama, gracias a un contrato con Swisskubick SA. La empresa requiere ampliar su capacidad para cubrir este nuevo servicio.
 Idea Tempo SL obtuvo este proyecto tras demostrar su experiencia en trabajos para la industria internacional de la joyería. La nueva sede central para esta producción se establecerá en Fuente Obejuna, impulsando el desarrollo local.
Adquisición de maquinaria de precisión para la fabricación de productos de cuero, incluyendo prensas, cortadoras láser y grabadoras, además de computadoras para gestionar el taller y el área de diseño.
Se mantendrán empleos fijos y, con la ayuda solicitada, se crearán dos nuevos puestos. La falta de financiamiento impediría cumplir el contrato, limitando el impacto económico en la región.</t>
  </si>
  <si>
    <t>2023-P052</t>
  </si>
  <si>
    <t>Aumento de la capacidad productiva de fábrica de componentes para refrigeración, climatización y aire acondicionado</t>
  </si>
  <si>
    <t>14026</t>
  </si>
  <si>
    <t>Espiel</t>
  </si>
  <si>
    <t>SOLAR ELEMENT, SL</t>
  </si>
  <si>
    <t>El objetivo es aumentar la capacidad de producción y mejorar la calidad de los productos mediante la tecnología de curvado de tubos desde bobina con mandril, ampliando así la base de clientes.
La empresa busca crecer mediante la incorporación de maquinaria avanzada.
 El proyecto incluye la compra de una Estación de Curvado Orbital de tubería de cobre o aluminio desde bobina, que integra la Curvadora Orbital modelo LEVITATE 128E, la conformadora MACH 5, una taladradora y utillajes.
Circuitos de tubería de cobre o aluminio para sistemas de refrigeración, climatización y aire acondicionado.
La tubería en bobina se coloca en la estación, y los planos digitales se procesan para producir automáticamente los circuitos necesarios.</t>
  </si>
  <si>
    <t>2023-P046</t>
  </si>
  <si>
    <t>Adquisición de maquinaria para mejora de la calidad y aumentar el período de caducidad de los productos</t>
  </si>
  <si>
    <t>14073</t>
  </si>
  <si>
    <t>Villaviciosa de Córdoba</t>
  </si>
  <si>
    <t>PRODUCTOS DE LA CAZA Y EL CERDO IBERICO EL CANITO SL</t>
  </si>
  <si>
    <t>La empresa se dedica a la fabricación y venta de productos cárnicos y productos de la caza con técnicas artesanales.
 Adquisición de maquinaria y equipos informáticos para modernización de industria cárnica. 
 Es necesario para la modernización de la maquinaria y compra de maquinaria nueva necesaria para el buen funcionamiento de la empresa.
Adquisición de maquinaria y equipos informáticos necesario para presar adecuadamente el servicio.</t>
  </si>
  <si>
    <t>2023-P033</t>
  </si>
  <si>
    <t>Nueva línea industrial de tostado y envasado de pistacho ecológico</t>
  </si>
  <si>
    <t>ISIDRO CASTILLEJO MONTERO</t>
  </si>
  <si>
    <t>Expansión de la actividad empresarial mediante una nueva línea industrial de tostado y envasado de pistacho ecológico en una nave del Polígono Industrial El Blanquillo, en Fuente Obejuna, con el fin de vender el producto directamente al consumidor final.
 La nave contará con adecuaciones civiles (saneamiento, climatización, fontanería y energía fotovoltaica) y equipos especializados (báscula, envasadora, secadero, tostadero, enfriador y mezclador de aditivos) para asegurar el proceso productivo.
Productos: Pistachos ecológicos tostados y envasados en presentaciones de 250 g a 1 kg.
Proceso técnico: Incluye la siembra, cosecha, pelado, secado, y un proceso final de tostado y envasado en la nave. La empresa contempla también crear su propia marca y un portal web para ventas online.
Producción prevista: Inicialmente, se estima producir 10,000 kg el primer año, aumentando a 15,000 kg el segundo y 18,000 kg el tercer año.</t>
  </si>
  <si>
    <t>2023-P029</t>
  </si>
  <si>
    <t>Adecuación de local y adquisición de equipo para clínica veterinaria.</t>
  </si>
  <si>
    <t>CENTRO VETERINARIO ESPIEL CB</t>
  </si>
  <si>
    <t>Obra local y adquisición de equipo para modernización clínica veterinaria. Es necesario para la modernización de los equipos y debido al traslado a una nueva ubicación propiedad de la empresa
 Obra civil de adecuación de local a clínica veterinaria y compra de equipo necesario para prestar adecuadamente el servicio.</t>
  </si>
  <si>
    <t>2023-P028</t>
  </si>
  <si>
    <t>Ampliación de nave en industria de fabricación de autogiros y creación de un espacio como museo y exposición</t>
  </si>
  <si>
    <t>2023-G111.jpg</t>
  </si>
  <si>
    <t>https://www.eldiadecordoba.es/provincia/siete-proyectos-empresariales-invertiran-36_0_2001119704.html</t>
  </si>
  <si>
    <t>El objetivo principal es ampliar la fábrica para satisfacer el aumento de pedidos del nuevo modelo REVO y otros modelos existentes. Se planea abrir un museo y realizar visitas turísticas para promover la fabricación de aeronaves, similar al turismo en bodegas de vino. Esto generará empleo y contribuirá a la economía local en una zona afectada por el cierre de una central térmica.
La empresa ha invertido en I+D para liderar en el desarrollo y ventas de autogiros. La ampliación es esencial para mantener el crecimiento y la creación de empleo en la localidad, donde todos los trabajadores son de la zona.
El proyecto incluye la construcción en terrenos de la empresa para aumentar la capacidad de producción y reubicar oficinas para habilitar un museo. Se mejorará la disposición de departamentos y se adaptará el espacio para un mejor ambiente de trabajo.
ELA AVIACIÓN produce cuatro modelos de autogiros y ofrece reparaciones. Se desarrollará el nuevo modelo REVO, buscando abrir un museo dedicado a la aviación, con la esperanza de fomentar un nuevo tipo de turismo en la comarca y promover la educación en este campo.
La empresa es el único fabricante español de autogiros certificados. La empresa ha superado competidores internacionales, lanzando modelos innovadores que destacan en velocidad y eficiencia.
La ampliación de la fábrica se realizará en terrenos libres, y el museo se establecerá en la actual zona de oficinas, reubicando estas a la planta alta.
ELA AVIACIÓN es una empresa comprometida con la localidad, comprando materia prima local y fomentando el turismo mediante visitas a la fábrica. La empresa ofrece prácticas a estudiantes de la zona, promoviendo la empleabilidad local y contribuyendo al desarrollo económico de la comarca.</t>
  </si>
  <si>
    <t>2023-G111</t>
  </si>
  <si>
    <t xml:space="preserve">Transformación de una antigua Hacienda agroganadera en un complejo_x000D_ turístico rural </t>
  </si>
  <si>
    <t>AGRICOLA KEPLER SL</t>
  </si>
  <si>
    <t xml:space="preserve">El proyecto busca crear un complejo turístico rural con 20 habitaciones para 52 personas en el valle del Guadiato, donde no existe oferta similar. Esto generará empleo sostenible y promoverá la economía local, así como el medioambiente y la cultura de la zona.
 La transformación de la Hacienda Navacastillo en un complejo turístico es necesaria para su mantenimiento y rentabilidad, además de complementar la actividad agrícola y ganadera existente.
 La Hacienda será convertida en un complejo turístico que incluye zonas ajardinadas, piscinas, salones, y una bodega. Se ofrecerán servicios de alojamiento, actividades recreativas como senderismo, paseos en kayak, y celebraciones de eventos. La ubicación permite disfrutar de la naturaleza y actividades al aire libre. Se ofrecerán servicios de alojamiento, actividades de senderismo, paseos en kayak, interpretación de actividades agrícolas y ganaderas, celebraciones de eventos, y venta de productos locales.
</t>
  </si>
  <si>
    <t>2023-G107</t>
  </si>
  <si>
    <t>Ampliación de fábrica de embutidos con línea de deshuesado y loncheado de producto curado</t>
  </si>
  <si>
    <t>LOS CASTAÑOS DE JABUGO SL</t>
  </si>
  <si>
    <t>El proyecto busca transformar productos en versiones más accesibles, centrándose en la producción de productos loncheados y deshuesados. Se establecerán dos líneas de fabricación: una para deshuesado y otra para loncheado, que incluirá productos curados, cocidos y lácteos, todo con procesos sostenibles.
Las principales vías de comercialización serán grandes superficies en España y en el extranjero, así como grandes distribuidores como Oreca. También se creará un departamento de I+D, colaborando con la Facultad de Veterinaria de la Universidad de Córdoba para el desarrollo de nuevos productos y prácticas para estudiantes.
El proyecto busca garantizar la accesibilidad de los productos a un amplio espectro de consumidores.
El proyecto incluye la compra de terrenos en Espiel, seleccionados por su ubicación estratégica y buena comunicación. Se invertirá en el equipo técnico necesario para las líneas de moldeado, envasado y loncheado.
El envasado dependerá de la demanda del mercado, e incluirá tratamiento de alimentos, deshuesado, loncheado, envasado al vacío y etiquetado, todo adaptado a las necesidades del cliente y las exigencias del mercado. Los servicios ofrecidos serán personalizados para asegurar la calidad y cumplimiento normativo.</t>
  </si>
  <si>
    <t>2023-G104</t>
  </si>
  <si>
    <t xml:space="preserve">Ampliación de la planta productiva </t>
  </si>
  <si>
    <t>RECAM LASER, SL</t>
  </si>
  <si>
    <t xml:space="preserve">El principal objetivo del proyecto es ampliar la planta productiva de RECAM LÀSER en Espiel, Córdoba, para aumentar la capacidad de producción y satisfacer la creciente demanda del mercado. Se busca mejorar la eficiencia operativa, identificando áreas de mejora en los procesos, eliminando cuellos de botella y optimizando el uso de recursos. La ampliación permitirá reducir los tiempos de entrega de productos, mejorando la satisfacción del cliente y fortaleciendo la competitividad de la empresa. Además, se implementarán políticas sostenibles para reducir emisiones de CO2 y consumo eléctrico, promoviendo la economía circular y la reutilización de residuos.
La ampliación de la planta se justifica por el crecimiento de RECAM LÀSER y su entrada en nuevos mercados, lo que requiere adaptarse a las necesidades de nuevos clientes y mejorar la capacidad de producción.
El proceso técnico de obtención de los productos se basa en el uso del láser como herramienta de corte inicial de la chapa, seguido de varias etapas que incluyen el doblado, soldadura, montaje y acabados superficiales finales. </t>
  </si>
  <si>
    <t>2023-G092</t>
  </si>
  <si>
    <t>Reconversión del hotel en un centro clínico de salud y bienestar</t>
  </si>
  <si>
    <t>BALNEARIO AGUAS DE VILLAHARTA SL</t>
  </si>
  <si>
    <t>2023-G038.jpg</t>
  </si>
  <si>
    <t>https://aguasdevillaharta.com/</t>
  </si>
  <si>
    <t>Ampliación del hotel,de los servicios prestados por el balnerario y dotación de nuevos servicios clínicos y sanitarios.</t>
  </si>
  <si>
    <t>Ampliación Hotel-Balneario Aguas de Villaharta</t>
  </si>
  <si>
    <t>2023-G038</t>
  </si>
  <si>
    <t>Nueva planta de fabricación de pellets de paja</t>
  </si>
  <si>
    <t>HERMANOS MOLINILLO GUERRA CB</t>
  </si>
  <si>
    <t xml:space="preserve"> La empresa busca avanzar en la prestación de servicios agrícolas mediante la creación de una planta de producción de pellets de paja. Este proyecto transformará la paja, un subproducto agrícola actualmente utilizado principalmente para la alimentación animal, en pellets que podrán ser utilizados en calderas industriales y estufas domésticas, contribuyendo así a la sostenibilidad y a la diversificación de usos.
La empresa, reconocida por su producción de pacas de paja (17 millones de kg), tiene la intención de mejorar el aprovechamiento de este recurso. La nueva planta permitirá abordar problemas de abastecimiento en la industria ganadera y ofrecer alternativas energéticas en un contexto de alta crisis energética, beneficiando tanto a la economía local como a los sectores ganaderos y domésticos.
Se proyecta la construcción de una nave de 1.500 m² en el Paraje Cerro Buenavista, Fuente Obejuna (Córdoba). La nave se ajusta a las normativas de construcción vigentes y se sitúa en una parcela de 91,263 m², que incluye áreas para cultivo. La estructura constará de una edificación metálica diseñada para optimizar la producción de pellets, con una altura máxima de 9 metros y un diseño que permitirá la iluminación natural mediante paneles de policarbonato. </t>
  </si>
  <si>
    <t>2023-G023</t>
  </si>
  <si>
    <t>Nueva instalación para la  fabricación y envasado de productos derivados de las almendras</t>
  </si>
  <si>
    <t>QUINTO NUT, S.L.</t>
  </si>
  <si>
    <t>https://www.diariocordoba.com/cordoba/2024/07/01/gobierno-adjudica-900-000-euros-104732705.html
https://www.eldiadecordoba.es/provincia/siete-proyectos-empresariales-invertiran-36_0_2001119704.html</t>
  </si>
  <si>
    <t>El proyecto tiene como objetivo implementar una línea industrial de fabricación y envasado de productos derivados de las almendras y otros frutos secos, utilizando tecnología de última generación para satisfacer las preferencias de los consumidores que buscan salud y placer. Los objetivos específicos incluyen optimizar la eficiencia y calidad del proceso, introducir un producto diferenciador en el mercado y generar empleo.
La empresa Quinto Nut, inicialmente dedicada a la comercialización de almendras, decidió eliminar intermediarios e invertir en una fábrica para transformar y vender almendras a mejor precio. Sin embargo, tras asociarse con una empresa experta en descascarado de almendras, abandonaron ese proyecto para centrarse en la producción de aceites esenciales, proteínas, pasta y frutos secos tostados.
El proyecto incluye la construcción de instalaciones, la implementación de equipos y varias líneas de producción (selección, pasteurización, tostado, molienda, extracción de proteínas y aceites esenciales), junto con un enfoque en la sostenibilidad y el cuidado ambiental. La planta también procesará almendras para producir aceites esenciales y harinas desgrasadas ricas en proteínas, garantizando altos estándares de calidad.</t>
  </si>
  <si>
    <t>2023-G003</t>
  </si>
  <si>
    <t xml:space="preserve">PROYECTO TÉCNICO DE REHABILITACIÓN Y ADECUACIÓN DE LA NAVE INDUSTRIAL DE MATERIALES A VIVERO DE EMPRESAS. Nueva infraestructura tecnológicamente equipada que evite la fuga de talento y de actividad a poblaciones mayores. Dará a las mujeres la oportunidad de autoempleo y emprendimiento sin tener que desplazarse  </t>
  </si>
  <si>
    <t>Ayuntamiento de Villaviciosa de Córdoba</t>
  </si>
  <si>
    <t>https://www.diariocordoba.com/cordoba/2023/04/05/vivero-empresarial-villaviciosa-1-7-85616349.html
https://www.eldiadecordoba.es/provincia/proyectos-pueblos-alto-guadiato-transicion-justa_0_1765024295.html</t>
  </si>
  <si>
    <t>Se proyecta la rehabilitación y adecuación de la nave industrial de materiales a vivero de empresas para dar respuesta a la demanda del municipio de Villaviciosa de Córdoba y las zonas de los alrededores de este tipo de instalación. La zona necesita de un nuevo espacio que revitalice el desarrollo profesional y económico del municipio, y evite la despoblación que está produciéndose en el último siglo en estas localidades.
Ello nos lleva a plantear una intervención integral del edificio, adecuando y dotando a la nave actual de los espacios necesarios para poder desarrollar en plenitud de condiciones la nueva actividad.</t>
  </si>
  <si>
    <t xml:space="preserve">Proyecto técnico de rehabilitación y adecuación de la nave industrial de materiales a vivero de empresas. </t>
  </si>
  <si>
    <t>2022-C211</t>
  </si>
  <si>
    <t xml:space="preserve">PROYECTO DE REHABILITACIÓN ENERGÉTICA Y REFORMA DEL EDIFICIO DE USOS MÚLTIPLES. Espacio de usos múltiples, enfocado al desarrollo de la cultura local y a disposición de varios proyectos empresariales y turísticos de la zona. Rehabilitación energética  avanzada </t>
  </si>
  <si>
    <t>14071</t>
  </si>
  <si>
    <t>Villanueva del Rey</t>
  </si>
  <si>
    <t>AYUNTAMIENTO DE VILLANUEVA DEL REY</t>
  </si>
  <si>
    <t>Proyecto de rehabilitación energética y reforma del edificio de usos múltiples</t>
  </si>
  <si>
    <t>2022-C210</t>
  </si>
  <si>
    <t>PROYECTO TÉCNICO DE REHABILITACIÓN Y REFORMA DEL CENTRO DÍA. Adecuación y rehabilitación el edificio para Mejorar las condiciones de seguridad y accesibilidad y adecuación de una nueva planta</t>
  </si>
  <si>
    <t>https://www.diariocordoba.com/cordoba/2023/04/05/vivero-empresarial-villaviciosa-1-7-85616349.html</t>
  </si>
  <si>
    <t>Se proyecta la adecuación y rehabilitación del actual centro de día de Villaviciosa de Córdoba como mejora de las condiciones de la edificación actual, así como para la adecuación del mismo a un nuevo uso en su planta de semisótano, considerando la correspondiente adaptación a la normativa vigente recogida tanto en el Real Decreto 2177/1996 de 4 de octubre, por el que se aprueba la norma básica de la edificación NBECPI/ 96 de condiciones de protección contra incendios en los edificios, Decreto 72/1.992 por el que se aprueban las normas técnicas para accesibilidad y eliminación de barreras arquitectónicas, urbanísticas y en el transporte en Andalucía, etc.</t>
  </si>
  <si>
    <t xml:space="preserve">Rehabilitación y reforma del centro día. </t>
  </si>
  <si>
    <t>2022-C201</t>
  </si>
  <si>
    <t>ADECUACIÓN DE ESPACIO MINERO PARA LA CREACIÓN DE PARQUE PERIURBANO Y CENTRO DE INTERPRETACIÓN EN BELMEZ. De escombrera minera a parque periurbano con centro de interpretación del antiguo pozo minero de Mina Aurora. Será también centro de coordinación de actividades turísicas naturales, culturales y deportivas</t>
  </si>
  <si>
    <t>AYUNTAMIENTO DE BELMEZ</t>
  </si>
  <si>
    <t xml:space="preserve">Se proyecta la adecuación y renaturalización del terreno de actuación para dar respuesta a las necesidades planteadas al nuevo uso que se le da : Parque Periurbano y Centro de Interpretación (haciendo las veces de Centro de turismo activo). 
Dada su proximidad al municipio, y sus características se pretende recuperar la escombrera y todo el conjunto para la creación de un gran espacio verde (Parque Periurbano) convirtiendo lo que a día de hoy es una zona contaminada en un pulmón verde que mejore la calidad de vida del ciudadano, poniendo en valor las huellas históricas que han marcado la comarca. 
Esto lleva a plantear una propuesta de intervención que afecta además de al terreno de actuación, a la nave actualmente en desuso. Para este caso, se propone la adecuación de dicha nave para albergar el nuevo uso. </t>
  </si>
  <si>
    <t xml:space="preserve">Adecuación de espacio minero para la creación de parque periurbano y centro de interpretación en Belmez. </t>
  </si>
  <si>
    <t>2022-C197</t>
  </si>
  <si>
    <t>PROYECTO TÉCNICO DE REHABILITACIÓN Y REFORMA DEL ANTIGUO CONSULTORIO DE VILLAVICIOSA DE CÓRDOBA PARA CONVERTIRLO EN UN CENTRO DE INNOVACIÓN TECNOLÓGICO Y DE FORMACIÓN</t>
  </si>
  <si>
    <t>Rehabilitación del antiguo consultorio para convertirlo en un Centro de Innovación Tecnologco y de Fromación</t>
  </si>
  <si>
    <t>Rehabilitación y reforma del antiguo consultorio</t>
  </si>
  <si>
    <t>2022-C196</t>
  </si>
  <si>
    <t>Infra PRTR I _ Remanente de gasto</t>
  </si>
  <si>
    <t>PROYECTO TECNICO DE ADECUACIÓN Y AMPLIACIÓN DE RESIDENCIA DE MAYORES EXISTENTE A NORMATIVA VIGENTE. Residencia para personas mayores que generará ofertas de empleo para diferentes perfiles, movilizará la participación de pymes y contribuirá a la dinamización de la actividad económica del municipio</t>
  </si>
  <si>
    <t>14032</t>
  </si>
  <si>
    <t>Granjuela, La</t>
  </si>
  <si>
    <t>AYUNTAMIENTO DE LA GRANJUELA</t>
  </si>
  <si>
    <t>Adecuación y ampliación de residencia de mayores</t>
  </si>
  <si>
    <t>2022-C195</t>
  </si>
  <si>
    <t xml:space="preserve">PROYECTO REHABILITACIÓN DE EDIFICACIÓN PARA CENTRO DE INTERPRETACIÓN Y TECNIFICACIÓN DEL ALMENDRO. Centro de interpretación y tecnificación del almendro con zona para actividades programadas y un espacio digital para aumentar el atractivo del vistantes. También se creara un centro de tecnificación, aprendizaje y formación.   </t>
  </si>
  <si>
    <t>https://www.eldiadecordoba.es/provincia/proyectos-pueblos-alto-guadiato-transicion-justa_0_1765024295.html</t>
  </si>
  <si>
    <t xml:space="preserve">La intervención consiste en recuperar una edificación histórica para la ubicación de un Centro de Interpretación y Tecnificación del Almendro. 
Los objetivos generales son: 
- Crear, dotar de contenido y desarrollar el Centro de Interpretación y Tecnificación del Almendro, como un proyecto dinamizador territorial, social, cultural y económico de una zona degradada, equipando un edificio histórico del municipio que actualmente se encuentra en desuso. Creando un espacio físico, como centro de referencia de la actividad, punto de encuentro, lugar de realización de actividades, etc. Un espacio virtual, la realidad tecnológica hace que se puedan hacer trabajos y tener relaciones con todo el mundo y un espacio turístico y experimental in situ, apoyado por las plantaciones realizadas en el municipio. 
- Puesta en marcha del Centro de Tecnificación, Aprendizaje y formación (no reglado) de personas que, por un lado, trabajen en las explotaciones existentes en el municipio y, por otro, de personas que quieras conocer y aprender el manejo de éstas explotaciones de otras geografías. </t>
  </si>
  <si>
    <t xml:space="preserve">Proyecto rehabilitación de edificación para centro de interpretación y tecnificación del almendro. </t>
  </si>
  <si>
    <t>2022-C194</t>
  </si>
  <si>
    <t>REHABILITACIÓN Y REFORMA DEL HOTEL MUNICIPAL PARA CENTRO SOCIAL-SANITARIO. Centro socio-sanitario y nueva sede de las oficinas de la seguridad social local. Cuenta con piscina climatizada, zona de huertos, salas de rehabilitación y fisioterapia.</t>
  </si>
  <si>
    <t>AYUNTAMIENTO DE PEÑARROYA-PUEBLONUEVO</t>
  </si>
  <si>
    <t>2022-C193.jpg</t>
  </si>
  <si>
    <t>https://www.diariocordoba.com/cordoba/2023/04/05/vivero-empresarial-villaviciosa-1-7-85616349.html
https://www.eldiadecordoba.es/provincia/hotel-penarroya-pueblonuevo-centro-mayores-piscina_0_1765024610.html</t>
  </si>
  <si>
    <t xml:space="preserve">Rehabilitación del complejo hotelero municipal "Las Minas", así como la reforma de los edificios para la adecuación y adaptación al nuevo uso de centro socio-sanitario. Dicho centro alberga un centro de día para personas con alzhéimer y las nuevas oficinas de la seguridad social local. Este centro especializado cuenta con piscina climatizada, zona de huertos, salas de rehabilitación y fisioterapia. </t>
  </si>
  <si>
    <t xml:space="preserve">Rehabilitación y reforma del hotel municipal para centro social-sanitario. </t>
  </si>
  <si>
    <t>2022-C193</t>
  </si>
  <si>
    <t>REHABILITACIÓN DE ANTIGUO SILO PARA CENTRO DE VISITANTES. Infraestructura cultural que reúna el patrimonio histórico y cultural que actúe como dinamizador del municipio generador de oportunidades para las PYMES locales</t>
  </si>
  <si>
    <t>Rehabilitación de antiguo silo para centro de visitantes</t>
  </si>
  <si>
    <t>2022-C188</t>
  </si>
  <si>
    <t>REFORMA INTEGRAL DE LA ANTIGUA ALMAZARA DE ACEITE PARA MUSEO MUNICIPAL. Museo municipal con sala sobre la producción de aceite con tienda de productos tradicionales de la zona.</t>
  </si>
  <si>
    <t>14064</t>
  </si>
  <si>
    <t>Valsequillo</t>
  </si>
  <si>
    <t>AYUNTAMIENTO DE VALSEQUILLO</t>
  </si>
  <si>
    <t xml:space="preserve">Reforma integral de la antigua almazara de aceite para museo municipal. </t>
  </si>
  <si>
    <t>2022-C171</t>
  </si>
  <si>
    <t xml:space="preserve">REHABILITACIÓN DE LA ANTIGUA MOLINA COMO CENTRO DE INNOVACIÓN E INVESTAGACIÓN AGROALIMENTARIA. Centro de servicios para actividades agrícolas y gastronómicas comarcales. El objetivo es promover la convivencia entre empresarios para generar sinergias de negocio y crecimiento </t>
  </si>
  <si>
    <t>14011</t>
  </si>
  <si>
    <t>Blázquez, Los</t>
  </si>
  <si>
    <t>AYUNTAMIENTO DE LOS BLÁZQUEZ</t>
  </si>
  <si>
    <t>https://psoecordoba.com/crespin-aplaude-el-empuje-economico-que-los-fondos-europeos-daran-a-villanueva-del-rey-y-los-blazquez/
https://www.diariocordoba.com/cordoba/2023/04/05/vivero-empresarial-villaviciosa-1-7-85616349.html
https://www.eldiadecordoba.es/provincia/proyectos-pueblos-alto-guadiato-transicion-justa_0_1765024295.html</t>
  </si>
  <si>
    <t xml:space="preserve">La propuesta del Ayto. de Los Blázquez se basa en la creación de un espacio multifuncional que acoge, amplifica y diversifica la oferta empresarial del sector agroalimentario y gastronómico comarcal. Las líneas directoras del proyecto son la bioeconomía circular y las estrategias farm to fork. ambas son directrices de la UE (F2F el 20 de mayo de 2020) y forman parte del pacto verde europeo 2050.
Basado en lo anterior, la idea es crear un contenedor de servicios que conecte todos los campos afines al sector agroalimentario y gastronómico para ponerlos en convivencia, con el objeto de generar sinergias, negocio y crecimiento. Se diseña por tanto un edificio que cuenta con espacio de encuentro, formación, venta, degustación y cultivo, un lugar de encuentro bajo el nombre de centro de innovación e investigación agroalimentaria. 
El edificio seleccionado es la antigua molina/almazara de la localidad, un edificio de alto valor arquitectónico y emblema del patrimonio. </t>
  </si>
  <si>
    <t>Rehabilitación de la antigua molina como centro de innovación e investigación agroalimentaria.</t>
  </si>
  <si>
    <t>2022-C073</t>
  </si>
  <si>
    <t xml:space="preserve">REHABILITACIÓN Y REFORMA DEL CEPER VALLE DEL GUADIATO PARA RESIDENCIA DE MAYORES. La nueva residencia contará con un área verde alrededor con huertos urbanos y jardines para actividades </t>
  </si>
  <si>
    <t>AYUNTAMIENTO DE FUENTE OBEJUNA</t>
  </si>
  <si>
    <t xml:space="preserve">Se proyecta la reforma y rehabilitación del edificio que compone el antiguo colegio municipal de Fuente Obejuna situado en la plaza San Sebastián, para su adaptación a residencia de mayores. 
La intervención afecta a las dos plantas del edificio actual, quitando tabiques interiores y adecuándolos al programa de necesidades y conservando y respetando la estructura actual del mismo. Además, se propone una reestructuración del espacio exterior para el aprovechamiento de las actividades que se realizan en la residencia. </t>
  </si>
  <si>
    <t xml:space="preserve">Rehabilitación y reforma del CEPER Valle del Guadiato para residencia de mayores. </t>
  </si>
  <si>
    <t>2022-C033</t>
  </si>
  <si>
    <t>Resolución definitiva: Coste subvencionable 1.936.119,69 € Ayuda propuesta concesión 1.150.055,10 € 
https://sede.idae.gob.es/sites/default/files/2024-02/CEI_PILOTOS_04_ResolucionDefinitiva_Adjudicacion_SEE.pdf</t>
  </si>
  <si>
    <t>Proyecto piloto singular de Comundad Energética en el Valle del Guadiato</t>
  </si>
  <si>
    <t>14073;14071;14047;14068</t>
  </si>
  <si>
    <t>Villaviciosa de Córdoba;Villanueva del Rey;Obejo;Villaharta</t>
  </si>
  <si>
    <t>COMUNIDAD ENERGÉTICA GUADIATO 2ª, S. COOP. AND.	.  AYUNTAMIENTO DE VILLAVICIOSA DE CÓRDOBA</t>
  </si>
  <si>
    <t>https://www.cordobahoy.es/articulo/provincia/faecta-federacion-andaluza-cooperativas-trabajo-consumo-servicios-alcaldes-alcaldesas-guadiato-reunen-dar-pistoletazo-final-puesta-marcha-comunidades-energeticas-cooperativas-guadiato-1-2/20240222124026152749.html</t>
  </si>
  <si>
    <t>Proyecto piloto singular de Comunidad Energética en el Valle del Guadiato</t>
  </si>
  <si>
    <t>PR-PILOTO-04-2023-000110</t>
  </si>
  <si>
    <t>CE IMPLEMENTA 4</t>
  </si>
  <si>
    <t>Programa de ayudas de CE Pilotos menor 1M euros - Tercera Convocatoria y Programa de ayudas de CE Pilotos mayor 1M euros - Cuarta Convocatoria</t>
  </si>
  <si>
    <t>Resolución definitiva: Coste subvencionable 1.936.116,00 € Ayuda propuesta Concesión 1.150.053,00 € 
https://sede.idae.gob.es/sites/default/files/2024-02/CEI_PILOTOS_04_ResolucionDefinitiva_Adjudicacion_SEE.pdf</t>
  </si>
  <si>
    <t>14009;14052;14029;14011;14064;14032</t>
  </si>
  <si>
    <t>Belmez;Peñarroya-Pueblonuevo;Fuente Obejuna;Blázquez, Los;Valsequillo;Granjuela, La</t>
  </si>
  <si>
    <t>COMUNIDAD ENERGÉTICA GUADIATO 1ª, S.Coop. AYUNTAMIENTO DE LOS BLÁZQUEZ</t>
  </si>
  <si>
    <t>https://infoguadiato.com/nace-la-comunidad-energetica-cooperativa-guadiato-1-impulsando-la-energia-sostenible-en-nuestra-comarca/</t>
  </si>
  <si>
    <t>PR-PILOTO-04-2023-000089</t>
  </si>
  <si>
    <t>1 empleos asociados a la ayuda</t>
  </si>
  <si>
    <t>Adaptación de La Casa Palacio de Bueño en Casa de las Artes, para fomento de actividades sociales y culturales</t>
  </si>
  <si>
    <t>Caudal-Aboño</t>
  </si>
  <si>
    <t>33057</t>
  </si>
  <si>
    <t>Ribera de Arriba</t>
  </si>
  <si>
    <t>Ayuntamiento de Ribera de Arriba</t>
  </si>
  <si>
    <t>Este proyecto forma parte del plan para convertir el palacio del siglo XVIII, una casona de 3 plantas rodeada de dos fincas, en un espacio social y de cultura. El grueso de los trabajos se concentraron en rehabilitar el palacio, conocido también como la casa de los Prieto. En el inmueble principal se habilitaron tres salas polivalentes, tres espacios adaptables a distintos aforos con paneles movibles, una salita de conferencias, un corredor con posibilidad de celebraciones al aire libre, guardarropa, aseos, ascensor, almacén, desván y garaje. Se aprovecharon también  un edificio auxiliar y la finca del inmueble, de unos 4.800 metros cuadrados, para habilitar un aparcamiento y una zona para organizar actos al aire libre.</t>
  </si>
  <si>
    <t>ELCT-2020-00080-E</t>
  </si>
  <si>
    <t>Carbón
En ejecución
En abril de 2025 llevaban más del 50% concluido</t>
  </si>
  <si>
    <t>Restauración Ambiental del Cielo Abierto "Coto Quirós" (Quirós)</t>
  </si>
  <si>
    <t>33053</t>
  </si>
  <si>
    <t>Quirós</t>
  </si>
  <si>
    <t>Consejeía de Transición Ecológica, Industria y Desarrollo económico</t>
  </si>
  <si>
    <t>https://actualidad.asturias.es/-/el-principado-recupera-el-espacio-de-la-antigua-mina-coto-quir%C3%B3s-en-la-reserva-de-la-biosfera-de-las-ubi%C3%B1as-la-mesa</t>
  </si>
  <si>
    <t>Recuperará ambientalmente el espacio de la antigua mina de carbón a cielo abierto Coto Quirós, en la Reserva de la Biosfera de Las Ubiñas-La Mesa,
Buena parte del terreno donde se ubicó la mina aún carece de cubierta vegetal en muchas zonas. Para el desarrollo de la actuación se utilizarán técnicas de bioingeniería para la revegetación de taludes, la remodelación de escombreras y la aportación de tierra vegetal para la generación de suelo. También se realizarán labores de adecuación de los accesos y restauración de antiguos caminos, que habían sido ocupados por la actividad minera. Esas mejoras facilitarán la accesibilidad a las brañas de altura, que son un recurso agroganadero y turístico fundamental para el desarrollo sostenible de la zona.
Una vez finalicen los trabajos de reconfiguración de los terrenos y canalización de aguas de escorrentía, se realizará una plantación con arbolado autóctono para integrar paisajísticamente todo el entorno. De este modo, el Ayuntamiento de Quirós podrá implementar actividades compatibles con la figura de protección ambiental y que revitalicen socioeconómicamente la zona.</t>
  </si>
  <si>
    <t>CONP/2023/8389</t>
  </si>
  <si>
    <t>Carbón.
En ejecución
En abril de 2025 llevaban más del 50% concluido</t>
  </si>
  <si>
    <t>Restauración Ambiental de la Escombrera "Espinos" (Mieres)</t>
  </si>
  <si>
    <t>33037</t>
  </si>
  <si>
    <t>Mieres</t>
  </si>
  <si>
    <t xml:space="preserve">https://actualidad.asturias.es/-/2023_04_04-dg-industria-reuni%C3%B3n-restauraci%C3%B3n-pozo-espinos-mieres  
https://actualidad.asturias.es/-/la-remodelaci%C3%B3n-de-la-escombrera-del-pozo-espinos-en-mieres-finalizar%C3%A1-en-junio-de-2025 </t>
  </si>
  <si>
    <t>La escombrera ocupa una superficie de 4.368 metros cuadrados y en ella se prevén realizar las siguientes actuaciones:
- Restauración y rehabilitación ambiental: modelación topográfica y estabilización de los terrenos y recuperación del sistema hidrológico afectado y calidad de las aguas.
-Revegetación autóctona e integración en el paisaje.
El antiguo Pozo Espinos está incluido en el catálogo de instalaciones mineras abandonadas y según el Instituto Geológico y Minero de España (IGME) son necesarias las actuaciones identificadas.</t>
  </si>
  <si>
    <t>CONP/2023/3899</t>
  </si>
  <si>
    <t xml:space="preserve"> se han creado 42 nuevos empleos directos, y según el estudio de la Cámara de Comercio de Oviedo en Marzo del 2023 el total de directos e indirectos asciende a 224 empleos asociados a la estación, empresas de la zona, hostelería y turismo.  Pueden crearse 182 indirectos</t>
  </si>
  <si>
    <t>Reconstrucción de la EEIMVP como motor económico del Valle de Lena (reconstrucción de la estación invernal de Valgrande-Pajares, iniciativa a la que se destinará un presupuesto inicial de 10 millones de euros que permitirán abordar el grueso de las inversiones y la incorporación de sistemas de eficiencia energética a la estación.)</t>
  </si>
  <si>
    <t>33033</t>
  </si>
  <si>
    <t>Lena</t>
  </si>
  <si>
    <t>Ayuntamiento de Lena</t>
  </si>
  <si>
    <t>Se tarta de un proyecto enfocado a la reconstrucción de la EEIMVP como motor económico del Valle de Lena (reconstrucción de la estación invernal de Valgrande-Pajares, iniciativa a la que se destinará un presupuesto inicial de 10 millones de euros que permitirán abordar el grueso de las inversiones y la incorporación de sistemas de eficiencia energética a la estación.)         El objetivo fundamental de este proyecto es la desestacionalización de Pajares mediante la renovación de sus servicios para modernizarla y adecuarla a programas y actividades turísticas, lúdicas y deportivas, más allá del calendario de la temporada de esquí.
Las actuaciones estaban orientadas a que el equipamiento pueda ofrecer todo tipo de servicios a largo del año. Así, en la primera fase se ejecutó un nuevo sistema de transporte por cable para la estación, que incluye la instalación del telecabina Cuitu Negru y el acortamiento del telesilla Brañillín, así como el desmontaje de los telesquíes La Hoya y Arroyo y de los telesillas Hoya de Cuitu Negru y Les Patines. En este mismo período se adaptó un telecabina inclusivo y adaptado para el disfrute de debutantes, peatones y personas usuarias, tanto en invierno como fuera de temporada.
La estación de esquí de Valgrande-Pajares fue una de las tres primeras abiertas en España y la primera de la cordillera cantábrica. Desde su inauguración ha sido un motor económico para el valle de Lena, donde ha generado empleo y un importante movimiento empresarial y económico.</t>
  </si>
  <si>
    <t>Desestacionalización y Reconstrucción de la EEIMVP como motor económico del valle de Lena. Fase 1</t>
  </si>
  <si>
    <t>AST-2021-0005</t>
  </si>
  <si>
    <t>Mejora eficiencia energética y reducción de emisiones transporte público</t>
  </si>
  <si>
    <t>Ayuntamiento de Mieres</t>
  </si>
  <si>
    <t>AST-2021-0004.jpg</t>
  </si>
  <si>
    <t>https://www.mieres.es/ftj/mejora-eficiencia-energetica-y-reduccion-de-emisiones-en-transporte-publico/</t>
  </si>
  <si>
    <t>El proyecto consistió en el suministro de dos autobuses urbanos rígidos de 12 m, accesibles y de propulsión híbrida mediante motores de combustión diésel y eléctricos, con el objeto de obtener una mejora funcional y de la eficiencia energética y medioambiental del transporte público colectivo urbano de viajeros del servicio municipal.</t>
  </si>
  <si>
    <t>Mejora eficiencia energética y reducción de emisiones transporte público (Mieres)</t>
  </si>
  <si>
    <t>AST-2021-0004</t>
  </si>
  <si>
    <t>Mejora eficiencia energética red de alumbrado público</t>
  </si>
  <si>
    <t>AST-2021-0003.jpg</t>
  </si>
  <si>
    <t>https://www.mieres.es/ftj/mejora-eficiencia-red-alumbrado-publico-mieres/</t>
  </si>
  <si>
    <t>El proyecto consiste  en la realización de mejoras de la eficiencia energética del alumbrado público del centro del casco urbano de Mieres y su entorno, incluyendo puntos de luz, sus cuadros de mando y sus instalaciones asociadas.</t>
  </si>
  <si>
    <t>Mejora eficiencia energética red de alumbrado público (Mieres)</t>
  </si>
  <si>
    <t>AST-2021-0003</t>
  </si>
  <si>
    <t xml:space="preserve"> Entre los 2 proyectos de saneamiento, tendrán 2 depuradoras más y se estima que necesitarán 1 persona más en el mantenimiento / Empleo en cosntrucción 2 personas 4 meses</t>
  </si>
  <si>
    <t>Mejora la mejora de las redes actuales, de la calidad de las aguas receptoras de los vertidos y la mejora de las riberas, al eliminar todos los vertidos directos sin tratamiento previo.</t>
  </si>
  <si>
    <t>Ayuntamiento de Quirós</t>
  </si>
  <si>
    <t>https://sede.asturias.es/bopa/2022/04/26/2022-02783.pdf</t>
  </si>
  <si>
    <t xml:space="preserve">El objetivo del proyecto era la mejora de las redes actuales, de la calidad de las aguas receptoras de los vertidos y la mejora de las riberas, al eliminar todos los vertidos directos sin tratamiento previo. Para ello se ejecutó un colector de saneamiento para recogida de las aguas residuales domésticas originadas en el barrio del Felgueru de Bárzana y su incorporación al colector interceptor principal, lo que permite tu tratamiento en la EDAR. Incluye la conexión a la instalación a la red general del barrio de Las Ubiñas, que entonces vertía directamente al río a través de una tajea  encauzamiento de aguas fluviales </t>
  </si>
  <si>
    <t>Actuación de mejora y renovación de las redes de saneamiento y depuración de varios núcleos de población (Quirós)</t>
  </si>
  <si>
    <t>AST-2020-0061</t>
  </si>
  <si>
    <t>Mejora de los accesos al Monte Monsacro Creación de infraestructuras, que mejoren el estado actual del monte, y permitan el disfrute del mismo.</t>
  </si>
  <si>
    <t>33038</t>
  </si>
  <si>
    <t>Morcín</t>
  </si>
  <si>
    <t>Ayuntamiento de Morcín</t>
  </si>
  <si>
    <t xml:space="preserve">Mejora de los accesos al Monte Monsacro </t>
  </si>
  <si>
    <t>AST-2020-0059</t>
  </si>
  <si>
    <t>Obras necesarias para la mejora del rendimiento energético de la envolvente de fachada de los edificios de titularidad privada que lo soliciten y cumplan con unas condiciones a determinar</t>
  </si>
  <si>
    <t>https://www.mieres.es/ftj/mejora-de-envolvente-termica-de-fachadas/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2024-02314&amp;p_r_p_dispositionDate=21%2F03%2F2024&amp;_pa_sede_bopa_web_portlet_SedeBopaDispositionWeb_isTextDateSearch=false</t>
  </si>
  <si>
    <t xml:space="preserve"> El proyecto consiste en mejorar la eficiencia energética de distintos edificios municipales (dos colegios y una escuela de adultos) que, por su antigüedad y características, requieren el desarrollo de importantes obras que permitan mejorar el rendimiento energético de la envolvente térmica de sus fachadas, contribuyendo así al ahorro de energía. </t>
  </si>
  <si>
    <t>Mejora de envolvente térmica de fachadas-Mieres</t>
  </si>
  <si>
    <t>AST-2020-0058</t>
  </si>
  <si>
    <t>Ampliación de vigencia+Incremento importe</t>
  </si>
  <si>
    <t>Construcción y acondicionamiento de infraestructuras deportivas (nuevas pistas de tenis al aire libre, pista de petanca, la pista de futbito)</t>
  </si>
  <si>
    <t>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-10545&amp;p_r_p_dispositionDate=17%2F12%2F2021&amp;_pa_sede_bopa_web_portlet_SedeBopaDispositionWeb_isTextDateSearch=false</t>
  </si>
  <si>
    <t>El proyecto consiste en la construcción de dos pistas de tenis de tierra batida, la realización de dos losas de hormigón para facilitar la instalación sobre ellas de sendas pistas de pádel en un futuro, la construcción de una caseta para almacenaje, así como de las instalaciones de abastecimiento de agua, saneamiento e iluminación correspondientes .</t>
  </si>
  <si>
    <t>Escombrera de Riquela. Fase III de la ciudad del Tenis y acondicionamiento del resto de instalaciones deportivas</t>
  </si>
  <si>
    <t>AST-2020-0057</t>
  </si>
  <si>
    <t>Renovación de la iluminación en las instalaciones deportivas y mejora del sisteña de calefacción</t>
  </si>
  <si>
    <t>https://www.mieres.es/ftj/mejora-de-la-eficiencia-energetica-del-conjunto-deportivo-de-vega-de-arriba-piscina-climatizada-gimnasio-e-instalaciones-complementarias/</t>
  </si>
  <si>
    <t>Las instalaciones deportivas de Vega de Arriba, ubicadas en la calle Sócrates Quintana, están formadas por un edificio de tres plantas, con una superficie construida total de aproximadamente 1.877,62 m2; una ocupación de 130 personas, y un funcionamiento completo durante todo el año                                                                                                                                                                                                                                                                                                                                                                                       El proyecto consiste en la mejora de la eficiencia y diversificación energética y su repercusión en coste energético y de mantenimiento, tanto en el apartado de las instalaciones térmicas, instalaciones eléctricas e instalaciones de iluminación como la implantación de energías renovables, así como actuaciones en materia de climatización y producción de ACS .</t>
  </si>
  <si>
    <t>Mejora de la eficiencia energética del conjunto deportivo de Vega de Arriba: Piscina climatizada, gimnasio e instalaciones complementarias</t>
  </si>
  <si>
    <t>AST-2020-0056</t>
  </si>
  <si>
    <t>Renovación de la iluminación en las instalaciones deportivas y la renovación de las salas de calderas (mediante la sustitución de calderas de gasóleo por calderas de gas natural de alta eficiencia).</t>
  </si>
  <si>
    <t>https://www.mieres.es/ftj/mejora-de-la-eficiencia-energetica-del-sistema-de-alumbrado-y-envolvente-de-la-biblioteca-de-ujo-y-local-de-asociaciones/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-10535&amp;p_r_p_dispositionDate=17%2F12%2F2021&amp;_pa_sede_bopa_web_portlet_SedeBopaDispositionWeb_isTextDateSearch=false</t>
  </si>
  <si>
    <t>El proyecto consiste en la sustitución del sistema de iluminación de los complejos deportivos, por uno más eficiente que proporcione un ahorro de emisiones de CO2 a la atmósfera. Para ello se ejecutó un sistema de iluminación eficiente, mediante lámparas y luminarias de tecnología LED, que permite tener niveles de iluminación óptimos con el menor impacto medioambiental. Asimismo, se llevaron a cabo reformas de la sala de calderas que daban servicio de calefacción y ACS. Se rehabilitaron las a salas de calderas, adaptándolas al uso de gas natural como en Turón, o simplemente renovando los equipos más obsoletos.</t>
  </si>
  <si>
    <t>Mejora de la eficiencia energética del sistema de alumbrado y envolvente de los polideportivos municipales: Santa Cruz, Ujo, Mieres Sur, Visiola, Rioturbio, Figaredo y Turón</t>
  </si>
  <si>
    <t>AST-2020-0055</t>
  </si>
  <si>
    <t xml:space="preserve">Rehabilitación energética de la envolvente, la instalación de calefacción y la instalación de energía fotovoltaica </t>
  </si>
  <si>
    <t>AST-2020-0054.jpg</t>
  </si>
  <si>
    <t xml:space="preserve">BOPA: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-10542&amp;p_r_p_dispositionDate=17%2F12%2F2021&amp;_pa_sede_bopa_web_portlet_SedeBopaDispositionWeb_isTextDateSearch=false                           </t>
  </si>
  <si>
    <t>El proyecto conisitió en la mejira, modernización y creación de un espacio más cómodo en la biblioteca de Ujo. Los trabajos incluyeron la rehabilitación energética de la envolvente, instalación de calefacción a través de un sistema de aerotermia de baja temperatura, instalación de energía fotovoltaica en la cubierta sur y una rampa de acceso para garantizar la accesibilidad universal.</t>
  </si>
  <si>
    <t>Mejora de la eficiencia energética del sistema de alumbrado y envolvente de la biblioteca de Ujo y local de asociaciones</t>
  </si>
  <si>
    <t>AST-2020-0054</t>
  </si>
  <si>
    <t>Consiste en una serie de actuaciones que tienen por objeto la mejora del aislamiento y la mejora de la producción de energía de la Casa Consistorial-Mieres</t>
  </si>
  <si>
    <t>AST-2020-0053.jpg</t>
  </si>
  <si>
    <t>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-10541&amp;p_r_p_dispositionDate=17%2F12%2F2021&amp;_pa_sede_bopa_web_portlet_SedeBopaDispositionWeb_isTextDateSearch=false                       https://www.lne.es/cuencas/2023/06/13/casa-consistorial-mieres-gastara-energia-88635734.html                                           https://www.mieres.es/ftj/mejora-de-eficiencia-energetica-casa-consistorial/</t>
  </si>
  <si>
    <t xml:space="preserve"> El objetivo del proyecro fue el ahorro de energía y garantizar unas buenas condiciones tanto para la plantilla como para las personas que acuden a diario al Ayuntamiento de Mieres a realizar sus trámites En primer lugar se sutituyeron las ventanas y balconeras de las tres plantas principales, respetando íntegramente las formas y aspecto de las anteriores evitando cualquier alteración en el aspecto general del edificio consistorial. También se instalaron válvulas termostáticas para una mayor eficiencia energética de la actual instalación de calefacción. (BOPA)</t>
  </si>
  <si>
    <t>Obras de mejora de eficiencia energética de la Casa Consistorial Mieres</t>
  </si>
  <si>
    <t>AST-2020-0053</t>
  </si>
  <si>
    <t>Consiste en la instalación de una nueva caldera de condensación de gasóleo para producción de calefacción y ACS y una mejora del sistema de aislamiento. Además, se instalarán contadores de energía y de gasóleo para controlar la producción y los consumos de gasóleo.</t>
  </si>
  <si>
    <t>AST-2020-0052.jpg</t>
  </si>
  <si>
    <t>https://www.mieres.es/ftj/mejora-de-eficiencia-energetica-del-centro-ocupacional-de-cardeo/                                     https://www.elcomercio.es/asturias/cuencas/finaliza-mejora-centro-ocupacional-cardeo-20230327013529-nt.html</t>
  </si>
  <si>
    <t>El objeto del proyecto consiste en la realización de las obras necesarias para mejorar la eficiencia energética del edificio que constituye el Centro Ocupacional de Cardeo en Mieres, que permita su calificación energética. Se instala una nueva caldera de condensación, de gasóleo, para producción de calefacción y ACS, con una mejora global de la sala, en cuanto a eficiencia, aislamiento y control de la instalación. Se instala contadores de energía y de gasóleo para controlar la producción y los consumos de gasóleo. Se prevé la sustitución de los elementos translúcidos. Se cambiaron elementos en la fachada y cubierta  con el objetivo de conservar la iluminación natural y, al mismo tiempo, evitar pérdidas térmicas. Las obras de fachada se completan con el sellado perimetral de la carpintería de aluminio.</t>
  </si>
  <si>
    <t>Mejora de eficiencia energética del Centro Ocupacional de Cardeo</t>
  </si>
  <si>
    <t>AST-2020-0052</t>
  </si>
  <si>
    <t>Consiste en una serie de obras tales como la reposición del pavimento de los accesos a los núcleos de Los Tableros y Sovilla, la ejecución de una cuneta a lo largo de ambos accesos, el soterramiento de la red de alumbrado y la sustitución de los puntos de luz por otros de diseño más moderno y de mejor eficiencia energética, la señalización horizontal y vertical y la ejecución de un tramo de red de abastecimiento en el núcleo de Los Tableros</t>
  </si>
  <si>
    <t>AST-2020-0051.jpg</t>
  </si>
  <si>
    <t>https://www.mieres.es/ftj/mejora-senalizacion-acondicionamiento-poligono-sovilla/</t>
  </si>
  <si>
    <t xml:space="preserve">Es un proyecto orientado a la mejora del acceso e infraestrucutras en los núcleos de Los Tobleros y Sovilla. Se llevaro a cabo uan serie de obras tales como la reposición del pavimento de los accesos a los núcleos de Los Tableros y Sovilla, la ejecución de una cuneta a lo largo de ambos accesos, el soterramiento de la red de alumbrado y la sustitución de los puntos de luz por otros de diseño más moderno y de mejor eficiencia energética, la señalización horizontal y vertical y la ejecución de un tramo de red de abastecimiento en el núcleo de Los Tableros. </t>
  </si>
  <si>
    <t>Mejora de la señalización y acondicionamiento del acceso sur al Polígono de Sovilla</t>
  </si>
  <si>
    <t>AST-2020-0051</t>
  </si>
  <si>
    <t xml:space="preserve">comprende una serie de actuaciones de urbanización para mejorar el acceso, la señalización, seguridad y la eficiencia energética del Polígono de Vega de Arriba </t>
  </si>
  <si>
    <t>AST-2020-0050.jpg</t>
  </si>
  <si>
    <t>https://www.mieres.es/ftj/obras-de-mejora-de-la-eficiencia-energetica-y-accesibilidad-en-el-poligono-vega-de-arriba-fase-iv/</t>
  </si>
  <si>
    <t>El proyecto comprende una serie de actuaciones de urbanización para mejorar el acceso, la señalización, seguridad y la eficiencia energética del Polígono de Vega de Arriba. Se llevaron a cabo distintas actuaciones en el polígono de Vega de Arriba en lo relativo a la mejora de la eficiencia energética en las instalaciones de alumbrado público, incorporándolas al sistema de control Smart city del concejo, la mejora de la accesibilidad y seguridad del peatón, la mejora de los viales del polígono y su señalización y la señalización identificativa de cada una de las parcelas. Las actuaciones están orientadas a la mejora de la competitividad y la consolidación de las empresas de esta zona empresarial del Concejo de Mieres, dotando de mayor valor al parque industrial y adaptando las infraestructuras y servicios de este a las necesidades concretas de sus usuarios.</t>
  </si>
  <si>
    <t>Obras de mejora de la eficiencia energética y accesibilidad en el polígono Vega de Arriba, fase IV</t>
  </si>
  <si>
    <t>AST-2020-0050</t>
  </si>
  <si>
    <t xml:space="preserve">Consiste en una serie de actuaciones que incluye entre otro la mejora de la eficiencia energética de la instalación de alumbrado y la mejora de la accesibilidad y la seguridad </t>
  </si>
  <si>
    <t>AST-2020-0049.jpg</t>
  </si>
  <si>
    <t>https://www.mieres.es/ftj/mejora-de-la-eficiencia-energetica-accesibilidad-poligono-fabrica-mieres/           BOPA: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2022-02119&amp;p_r_p_dispositionDate=31%2F03%2F2022&amp;_pa_sede_bopa_web_portlet_SedeBopaDispositionWeb_isTextDateSearch=false                                                                                     Corrección TÍtulo: https://sede.asturias.es/ast/bopa-disposiciones?p_p_id=pa_sede_bopa_web_portlet_SedeBopaDispositionWeb&amp;p_p_lifecycle=0&amp;p_p_state=normal&amp;p_p_mode=view&amp;_pa_sede_bopa_web_portlet_SedeBopaDispositionWeb_mvcRenderCommandName=%2Fdisposition%2Fdetail&amp;p_r_p_dispositionText=Obras+de+sustituci%C3%B3n+de+la+red+de+aguas%2C+mejora+de+la+eficiencia+energ%C3%A9tica+y+accesibilidad+en+el+Pol%C3%ADgono+de+la+F%C3%A1brica&amp;p_r_p_dispositionReference=2022-02189&amp;p_r_p_dispositionDate=01%2F04%2F2022&amp;_pa_sede_bopa_web_portlet_SedeBopaDispositionWeb_isTextDateSearch=false</t>
  </si>
  <si>
    <t xml:space="preserve">Se trata de un proyecto enfocado en la mejora de las infraestructuras del Polígono de la Fábrica. Se llevaron a cabo distintas actuaciones relacionadas con la mejora de la eficiencia energética y la mejora de la accesibilidad y seguridad en el polígono:
•	Eficiencia energética: Mejora de la eficiencia energética en las instalaciones de alumbrado público, incorporándolas al sistema de control Smart city del concejo.
•	Seguridad y accesibilidad:  la mejora de la accesibilidad y seguridad del peatón, mejora de la seguridad mediante la instalación de cámaras de videovigilancia, mejora de los viales del polígono y su señalización, la actualización del directorio de empresas y la señalización identificativa de cada una de las parcelas. </t>
  </si>
  <si>
    <t>Obras de mejora de eficiencia energética y accesibilidad en el polígono de La Fábrica de Mieres</t>
  </si>
  <si>
    <t>AST-2020-0049</t>
  </si>
  <si>
    <t xml:space="preserve">Consiste en una serie de actuaciones que se llevarán a cabo en el polígono de Baiña, situado entre las aldeas de Baiña y Loredo: sustitución de las luminarias existentes por luminarias LED y la instalación de un nuevo sistema de telegestión punto a punto, colocación de soportes luminosos para pasos de peatones e instalación de letreros luminosos, limpieza y restauración de los carteles que se encuentran en la entrada del polígono </t>
  </si>
  <si>
    <t>AST-2020-0048.jpg</t>
  </si>
  <si>
    <t>https://www.mieres.es/ftj/obras-de-mejora-de-la-eficiencia-energetica-accesibilidad-y-medio-ambiente-del-poligono-industrial-de-vega-de-baina/     https://www.mieres.es/wp-content/uploads/2024/10/CERTIFICADO-PLENO-APROBACION-LISTADO-Proyectos.pdf</t>
  </si>
  <si>
    <t>El objetivo del proyecto era la mejora de infraestrucutras en el polígono de  Baíña, situado entre las aldeas de Baiña y Loredo. Se llevaron a cabo una serie de actuaciones relacionadas con la mejora en eficiencia energética, la sustitución de las luminarias existentes por luminarias LED y la instalación de un nuevo sistema de telegestión punto a punto. Además se colocaron soportes luminosos para pasos de peatones, se instalaron  letreros luminosos y se limparon y restauraron los carteles que se encuentran en la entrada del polígono.</t>
  </si>
  <si>
    <t>Obras de mejora de la eficiencia energética, publicidad identitaria, accesibilidad y señalización viaria de Poligonos industriales de Baiña</t>
  </si>
  <si>
    <t>AST-2020-0048</t>
  </si>
  <si>
    <t>Consiste en la prolongación de la red de calefacción para el Casco Urbano de Mieres (Asturias), que proporcionará servicio de calefacción y ACS a varios edificios, siendo el titular de la instalación el Ayuntamiento de Mieres.</t>
  </si>
  <si>
    <t>https://www.mieres.es/ftj/prolongacion-de-la-red-de-calefaccion-por-distrito-para-las-calles-valeriano-miranda-y-numa-guilhou-casco-urbano-de-mieres/</t>
  </si>
  <si>
    <t xml:space="preserve">El proyecto consiste en la prolongación de la red de calefacción para el Casco Urbano de Mieres (Asturias), que proporcionará servicio de calefacción y ACS a varios edificios, siendo el titular de la instalación el Ayuntamiento de Mieres.   Esta red de Calefacción es un sistema geotérmico desarrollado en Mieres, que cumplió diez años este 2024. Mediante este sistema se aprovecha el agua , caliente, que hay que bombear a los pozos que ya no tienen actividad minera por motivos de seguridad. De esta forma, el subsuelo se convierte en una bomba de claro geotérmico que se transforma en energía para climatizar.  La Obra Incluye  el cálculo, diseño y ejecución de la Prolongación de la red de calefacción por distrito para el Casco Urbano de Mieres (Asturias) en las calles Calles Valeriano Miranda y Numa Guilhou.  La red supondrá una infraestructura a la que otros potenciales usuarios públicos y privados puedan conectarse, pudiendo cubrir, de este modo, sus necesidades energéticas de un modo más sostenible. </t>
  </si>
  <si>
    <t>Prolongación de la red de calefacción por distrito para las calles Valeriano Miranda y Numa Guilhou, casco urbano de Mieres</t>
  </si>
  <si>
    <t>AST-2020-0040</t>
  </si>
  <si>
    <t>Eficiencia energética/Ahorro de energía Eficiencia energética/Ahorro de energía</t>
  </si>
  <si>
    <t>PARA INSTITUTOS DE ENSEÑANZA SECUNDARIA</t>
  </si>
  <si>
    <t>BOPA: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2022-02115&amp;p_r_p_dispositionDate=31%2F03%2F2022&amp;_pa_sede_bopa_web_portlet_SedeBopaDispositionWeb_isTextDateSearch=false            corrección: https://sede.asturias.es/ast/bopa-disposiciones?p_p_id=pa_sede_bopa_web_portlet_SedeBopaDispositionWeb&amp;p_p_lifecycle=0&amp;p_p_state=normal&amp;p_p_mode=view&amp;_pa_sede_bopa_web_portlet_SedeBopaDispositionWeb_mvcRenderCommandName=%2Fdisposition%2Fdetail&amp;p_r_p_dispositionText=rural&amp;p_r_p_dispositionReference=2022-02187&amp;p_r_p_dispositionDate=01%2F04%2F2022&amp;_pa_sede_bopa_web_portlet_SedeBopaDispositionWeb_isTextDateSearch=false                                                                                                                                                                                                                                                    https://actualidad.asturias.es/-/el-principado-concluye-la-mejora-de-la-eficiencia-energ%C3%A9tica-en-el-colegio-p%C3%BAblico-horacio-fern%C3%A1ndez-inguanzo-en-morc%C3%ADn-con-una-inversi%C3%B3n-de-300.000-euros</t>
  </si>
  <si>
    <t xml:space="preserve">El proyecto consiste en la mejora energética del Colegio Público CP Horacio Fernández Iguanzo, centro educativo público en el que se imparten clase a escolares de edades comprendidas entre los 4 y 12 años, para reducir sustancialmente la demanda de energía y mejorar el confort de los usuarios. Para ello, se ha actuado sobre la envolvente del edificio, reforzando el aislamiento de la cubierta y de la planta baja del inmueble. También se ha instalado un sistema de aislamiento técnico exterior en la fachada y se han sustituido todas las carpinterías exteriores originales.  </t>
  </si>
  <si>
    <t>Mejora eficiencia energética edificios públicos</t>
  </si>
  <si>
    <t>AST-2020-0038</t>
  </si>
  <si>
    <t>Mejora de la empleabilidad Mejora de la empleabilidad, / empleo en cosntrucción - 8 trabajadores 10 meses</t>
  </si>
  <si>
    <t>Serie de actuaciones para apoyar el desarrollo de la actividad ganadera con la construcción de infraestructuras y adecuación de las existentes</t>
  </si>
  <si>
    <t xml:space="preserve">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2022-08331&amp;p_r_p_dispositionDate=11%2F11%2F2022&amp;_pa_sede_bopa_web_portlet_SedeBopaDispositionWeb_isTextDateSearch=false</t>
  </si>
  <si>
    <t xml:space="preserve"> El proyecto consiste en el acondicionamiento del camino rural que da acceso a los prados de La Mortera y La Siete, situados en el valle formado por el Cordal de Peña Rueda y el Monte Carrizal, muy degradado por la actividad minera. El objetivo era dotar a este acceso de las características constructivas adecuadas para solucionar los problemas  de anchuras, pendientes, firmes y drenajes, para permitir un mejor tránsito rodado y una mejor conservación del mismo, así como de  una explotación más racional de la superficie pastable de los prados a los que se accedería y una mejora de las condiciones de trabajo de los agricultores y ganaderos del Concejo de Quirós.
Las obras incluyeron el acondicionamiento del camino existente de una longitud de 3,8 Km, obras de drenaje longitudinal y transversal, afirmado y pavimentación, la construcción de elementos de sujeción o contención del terreno (escolleras y muros), señalización y balizamiento. Como obra complementaria a la ejecución del camino se planificó el acondicionamiento de un bebedero en el PK 3 + 708. También se incluyó un programa de integración paisajística durante la ejecución del proyecto para las zonas de arboleda afectadas, debido a la necesidad de desmontes y ensanches para la ejecución de la plataforma del acceso proyectado. </t>
  </si>
  <si>
    <t>Mejora del acceso a los prados de La Mortera y La Siete degradados por la actividad minera</t>
  </si>
  <si>
    <t>AST-2020-0037</t>
  </si>
  <si>
    <t>Mejora de la empleabilidad Mejora de la empleabilidad / Empleo en cosntrucción: Personal medio 5 personas. 16 personas a 1,5 meses. Empleo indirecto 5 trabajadores 2 meses</t>
  </si>
  <si>
    <t>Obras de construcción e adaptación de infraestructuras que tiene como objeto mejorar la viabilidad en el acceso al Polígono Industrial de Entrago</t>
  </si>
  <si>
    <t>33072</t>
  </si>
  <si>
    <t>Teverga</t>
  </si>
  <si>
    <t>Ayuntamiento de TEVERGA</t>
  </si>
  <si>
    <t>https://sede.asturias.es/ast/bopa-disposiciones?p_p_id=pa_sede_bopa_web_portlet_SedeBopaDispositionWeb&amp;p_p_lifecycle=0&amp;p_p_state=normal&amp;p_p_mode=view&amp;_pa_sede_bopa_web_portlet_SedeBopaDispositionWeb_mvcRenderCommandName=%2Fdisposition%2Fdetail&amp;p_r_p_dispositionText=Acondicionamiento+de+la+carretera+de+acceso+de+Hedrada+a+Entrago+%28+Acceso+Pol%C3%ADgono+Industrial%29&amp;p_r_p_dispositionReference=2022-02114&amp;p_r_p_dispositionDate=31%2F03%2F2022&amp;_pa_sede_bopa_web_portlet_SedeBopaDispositionWeb_isTextDateSearch=false</t>
  </si>
  <si>
    <t>Se trata de un proyecto enfocado a mejorar la viabilidad en el acceso al Polígono Industrial de Entrago. Se llevó  a cabo el acondicionamiento de la carretera de Entrago a Hedrada en el Concejo de Teverga, a lo largo de una longitud de 5.700 metros, con objeto de mejorar la viabilidad mediante la consolidación del firme y la capa de rodadura de estos accesos. Tambien se ampliaron los drenajes transversales y longitudinales para evitar el posterior deterioro de la carretera.</t>
  </si>
  <si>
    <t>Acondicionamiento de la carretera de acceso de Hedrada a Entrago ( Acceso Polígono Industrial)</t>
  </si>
  <si>
    <t>AST-2020-0036</t>
  </si>
  <si>
    <t>Consiste en la sustitución de luminarias antiguas por luminarias de tecnología LED. También se colocarán nuevas columnas y se sustituirán algunos circuitos de alimentación con nuevos cuadros de mando y cable de alimentación de aluminio (para intentar evitar el robo del cobre). Además, se incorporará tecnología de control a distancia de las luminarias para poder mejorar la eficiencia energética de la red de alumbrado</t>
  </si>
  <si>
    <t xml:space="preserve">Se trata de un proyecto destinado al ahorro energético en Ribera de Arriba. Las obras incluyeron  la sustitución de luminarias antiguas por luminarias de tecnología LED, se colocaron nuevas columnas y la sustitución de algunos circuitos de alimentación con nuevos cuadros de mando y cable de alimentación de aluminio (para intentar evitar el robo del cobre). Además, se ha incorporado tecnología de control a distancia de las luminarias para poder mejorar la eficiencia energética de la red de alumbrado </t>
  </si>
  <si>
    <t>Instalación de sistema de telegestión eficiencia energética en equipos LED. Ampliación y renovación para eficiencia energética de alumbrado público en diversas zonas del concejo (Ribera de Arriba)</t>
  </si>
  <si>
    <t>AST-2020-0034</t>
  </si>
  <si>
    <t>Ampliación de vigencia Empleo en construcción 5 durante 2 meses</t>
  </si>
  <si>
    <t>Recuperación y rehabilitación del entorno y antigua explotación minera del Pozo San Fernando como elemento de dinamización turística</t>
  </si>
  <si>
    <t>33002</t>
  </si>
  <si>
    <t>Aller</t>
  </si>
  <si>
    <t>Ayuntamiento de ALLER</t>
  </si>
  <si>
    <t>AST-2020-0029.jpg</t>
  </si>
  <si>
    <t xml:space="preserve">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-10537&amp;p_r_p_dispositionDate=17%2F12%2F2021&amp;_pa_sed e_bopa_web_portlet_SedeBopaDispositionWeb_isTextDateSearch=false               https://www.turismoasturias.es/-/blogs/las-10-mejores-cosas-que-ver-y-hacer-en-aller                                https://rutadelaplata.com/que-ver/pozo-san-fernando/                        https://www.lne.es/cuencas/2024/02/19/san-fernando-singular-pozo-balanza-98338220.html         </t>
  </si>
  <si>
    <t xml:space="preserve">Aunque la actividad minera en el pozo San Fernando cesó en 1967, a día de hoy se conservan, en un entorno de gran belleza, el castillete de acero roblonado y 15 metros de altura, el edificio de la casa de máquinas y el socavón de San Fernando.  Este pozo cuenta con una notable singularidad, ya que en su momento fue la única explotación de las Cuencas que combinó un pozo vertical y un plano inclinado. Además, al estar situado en un punto intermedio de una senda circular que une El Casar con Orillés, se trata de un espacio de gran valor senderista.                                                                                                                                                                                                                                                                                                                                                                                                                                                                                                                                                                                                                                                                                             Desde el ITJ se financió un proyecto consistente en el acondicionamiento general de la senda turística que discurre desde la localidad de Orilles hasta la explotación minera clausurada, recuperación ambiental del entorno de la misma con habilitación de área recreativa y puesta en valor del castillete como mirador. </t>
  </si>
  <si>
    <t>AST-2020-0029</t>
  </si>
  <si>
    <t>Ampliación de vigencia + incremento de importe empleo en cosntrucción 10 -1 año</t>
  </si>
  <si>
    <t>Plan de modernización en los ciclos del agua y mejora de la calidad de las aguas en la localidad de Bello</t>
  </si>
  <si>
    <t>AST-2020-0016.jpg</t>
  </si>
  <si>
    <t>https://sede.asturias.es/ast/bopa-disposiciones?p_p_id=pa_sede_bopa_web_portlet_SedeBopaDispositionWeb&amp;p_p_lifecycle=0&amp;p_p_state=normal&amp;p_p_mode=view&amp;_pa_sede_bopa_web_portlet_SedeBopaDispositionWeb_mvcRenderCommandName=%2Fdisposition%2Fdetail&amp;p_r_p_dispositionText=base&amp;p_r_p_dispositionReference=2021-10030&amp;p_r_p_dispositionDate=26%2F11%2F2021&amp;_pa_sede_bopa_web_portlet_SedeBopaDispositionWeb_isTextDateSearch=false</t>
  </si>
  <si>
    <t>El proyecto consiste en diverdas obras de renovación integral de los servicios de abastecimiento y saneamiento así cómo la instalación de una estación depuradora de aguas residuales (EDAR) en la cola de la red, en la localidad de Bello. El objetivo principal es proveer de las instalaciones requeridas para que el núcleo de Bello pueda disfrutar de un sistema de distribución de abastecimiento de agua, junto con la adecuación del depósito y renovación de las redes de distribución.  Se pretenden ejecutar diversas actuaciones orientadas a dotar a la localidad de unas redes de  de abastecimiento y saneamiento  nuevas que permitan resolver la situación actual de constantes averías que sufre la red de más de cuarenta años de antigüedad. En este sentido se contempla la ejecución de la obra civil necesaria mediante la apertura de zanjas para proceder a la retirada de de las redes obsoletas y, la instalación de nuevas redes de abastecimiento mediante una nueva instalación de polietileno, así cómo una red de saneamiento dimensionada para la actual carga  domiciliaria e industrial existente. Todo ello contemplará la construcción de arquetas de acometida, incluyendo llaves de corte y piecerío, así como la construcción de pozos de rotura en la red de saneamiento. Finalmente se ejecutarán las obras de  reposición de pavimiento, que se ejecutarán en aglomerado caliente D-12 y hormigón para aquellos caminos cuyo firme original estuviera acabado en este material. La red se completará con la colocación de una estación depuradora EDAR en la cola de la red al objeto de minorar los vertidos que la población evacúa al río que pasa por la localidad.</t>
  </si>
  <si>
    <t>AST-2020-0016</t>
  </si>
  <si>
    <t xml:space="preserve"> Entre los 2 proyectos de saneamiento, tendrán 2 depuradoras más y se estima que necesitarán 1 persona más en el mantenimiento,  Empleo en construcción: Desconocen el empleo porque lo ejecutó la Junta de Saneamiento del Princicpado</t>
  </si>
  <si>
    <t>Mejora del saneamiento de cada uno de los núcleos, ya sea por la inexistencia de infraestructuras o por la mejora de las existentes; Tiene como objetivo de solucionar el problema de residuos y contaminación de aguas que impacta los rios y el turismo</t>
  </si>
  <si>
    <t>https://sede.asturias.es/ast/bopa-disposiciones?p_p_id=pa_sede_bopa_web_portlet_SedeBopaDispositionWeb&amp;p_p_lifecycle=0&amp;p_p_state=normal&amp;p_p_mode=view&amp;_pa_sede_bopa_web_portlet_SedeBopaDispositionWeb_mvcRenderCommandName=%2Fdisposition%2Fdetail&amp;p_r_p_dispositionText=SANEAMIENTO+DE+LAS+AG%C3%9CERAS+Y+LA+F%C3%81BRICA+%28QUIR%C3%93S%29&amp;p_r_p_dispositionReference=2022-02729&amp;p_r_p_dispositionDate=25%2F04%2F2022&amp;_pa_sede_bopa_web_portlet_SedeBopaDispositionWeb_isTextDateSearch=false</t>
  </si>
  <si>
    <t xml:space="preserve">El proyecto prentendía la mejora del saneamiento de cada uno de los núcleos, ya sea por la inexistencia de infraestructuras o por la mejora de las existentes. Tiene como objetivo de solucionar el problema de residuos y contaminación de aguas que impacta los rios y el turismo. Se llevaron a cabo las siguientes actuaciones que se describen a continuación:
1) Saneamiento de las Agüeras (Quirós).
Los núcleos de Cortina, Las Agüeras y Villaorille realizaban vertidos de las aguas fecales al Embalse de Valdemurio, siendo éste un importante recurso turístico donde se desarrollan numerosas actividades de ocio y estos vertidos afectaban negativamente al desarrollo turistico de la zona. Se ejecutaron las redes de saneamiento del núcleo de Las Agüeras y se conectaron las redes de saneamiento, ya existenetes, de los núcleos de Cortina y Villaorille y a la nueva depuradora.
2) Colector de saneamiento en el núcleo de la fábrica y conexión al sistema general del saneamiento y depuración de Bárzana (Quirós).
Se realizaron las obras necesarias para la construcción de un colector de saneamiento para recogida de las aguas residuales domésticas originadas en el núcleo de La Fábrica, en Quirós, y su incorporación al colector interceptor general, lo que permite su tratamiento en la depuradora que está ubicada en La Vega.  </t>
  </si>
  <si>
    <t>Saneamiento de las Agüeras y la Fábrica (Quirós)</t>
  </si>
  <si>
    <t>AST-2020-0013</t>
  </si>
  <si>
    <t>Ampliación de vigencia + cambio de objeto</t>
  </si>
  <si>
    <t>Remediación (descontaminación) de terrenos degradados por la actividad minera</t>
  </si>
  <si>
    <t>33058</t>
  </si>
  <si>
    <t>Riosa</t>
  </si>
  <si>
    <t>Ayuntamiento de Riosa</t>
  </si>
  <si>
    <t>https://sede.asturias.es/ast/bopa-disposiciones?p_p_id=pa_sede_bopa_web_portlet_SedeBopaDispositionWeb&amp;p_p_lifecycle=0&amp;p_p_state=normal&amp;p_p_mode=view&amp;_pa_sede_bopa_web_portlet_SedeBopaDispositionWeb_mvcRenderCommandName=%2Fdisposition%2Fdetail&amp;p_r_p_dispositionText=Descontaminaci%C3%B3n+de+suelo+en+antiguas+minas+de+cobre&amp;p_r_p_dispositionReference=2022-02780&amp;p_r_p_dispositionDate=26%2F04%2F2022&amp;_pa_sede_bopa_web_portlet_SedeBopaDispositionWeb_isTextDateSearch=false          Modificación proyecto: https://sede.asturias.es/ast/bopa-disposiciones?p_p_id=pa_sede_bopa_web_portlet_SedeBopaDispositionWeb&amp;p_p_lifecycle=0&amp;p_p_state=normal&amp;p_p_mode=view&amp;_pa_sede_bopa_web_portlet_SedeBopaDispositionWeb_mvcRenderCommandName=%2Fdisposition%2Fdetail&amp;p_r_p_dispositionText=Descontaminaci%C3%B3n+de+suelo+en+antiguas+minas+de+cobre&amp;p_r_p_dispositionReference=2023-10658&amp;p_r_p_dispositionDate=07%2F12%2F2023&amp;_pa_sede_bopa_web_portlet_SedeBopaDispositionWeb_isTextDateSearch=false</t>
  </si>
  <si>
    <t xml:space="preserve">Contratación de los trabajos de recuperación y descontaminación del emplazamiento minero metalúrgico de Rioseco  (Minas de Texeo) para la recuperación patrimonial y puesta en valor del conjunto histórico-industrial.                                                                               
El proyecto consiste en la descontaminación de los suelos afectados por la explotación minero metalúrgica de Rioseco. El procedimiento elegido para la descontaminación de los suelos se llevará a cabo mediante actuaciones de retención in situ de los materiales con alto contenido en sustancias contaminantes y de fitorremediación mediante especies probadas para la casuística del terreno. También se llevarán a cabo actuaciones para la estabilización de taludes, adecuación de caminos en los terrenos afectados y conservación del patrimonio histórico-industrial de las minas de Rioseco </t>
  </si>
  <si>
    <t>Descontaminación de suelo en antiguas minas de cobre</t>
  </si>
  <si>
    <t>AST-2020-0012</t>
  </si>
  <si>
    <t>Renovación del abastecimiento a Mieres desde la cuenca de Aller (Captación de Ronderos)</t>
  </si>
  <si>
    <t xml:space="preserve"> https://sede.asturias.es/ast/bopa-disposiciones?p_p_id=pa_sede_bopa_web_portlet_SedeBopaDispositionWeb&amp;p_p_lifecycle=0&amp;p_p_state=normal&amp;p_p_mode=view&amp;_pa_sede_bopa_web_portlet_SedeBopaDispositionWeb_mvcRenderCommandName=%2Fdisposition%2Fdetail&amp;_pa_sede_bopa_web_portlet_SedeBopaDispositionWeb_cur=1&amp;p_r_p_dispositionReference=+2022-02728&amp;_pa_sede_bopa_web_portlet_SedeBopaDispositionWeb_delta=20&amp;p_r_p_dispositionDate=25%2F04%2F2022&amp;_pa_sede_bopa_web_portlet_SedeBopaDispositionWeb_isTextDateSearch=true</t>
  </si>
  <si>
    <t>Se trata de un proyecto enfocado en la renovación del abastecimiento de agua al concejo de Mieres desde la cuenca de Aller, la denominada captación de Ronderos. Los tubos originales tienen más de ochenta años  y fueron ejecutados en una época en la que los estándares de calidad y seguridad no existían y se empleaba un sistema de conexión que hoy en día está «obsoleto». El proyecto consistió en el diseño, definición y valoración de las obras necesarias para llevar a cabo la renovación de la conducción de abastecimiento de agua que discurre entre el cine La Llama en Santa Cruz (Mieres), Santa cruz es la zona donde más averías se producían, hacia la Moreda (Aller). Este tramo tiene una longitud de 3.082 metros y discurre bajo la carretera AS-112a con diversas conexiones a los núcleos de población a los que da servicio la mencionada carretera.</t>
  </si>
  <si>
    <t>AST-2020-0011</t>
  </si>
  <si>
    <t>Ampliación de vigencia + Ejecución IDEPA estiman que el 3º año habrá 12 empleos asociados a las nuevas empresas creadas, más 2 empleos asociados al laboratorio de biomecánica deportiva, a lo que se sumarían 2 empleos indirectos.</t>
  </si>
  <si>
    <t>consiste en la construcción y establecimiento de un edificio para vivero de empresas en una parcela propiedad del Ayuntamiento de Gijón en La Camocha; Destinado a empresas de túrismo, ocio, deportem salud y naturaleza;</t>
  </si>
  <si>
    <t>33024</t>
  </si>
  <si>
    <t>Gijón</t>
  </si>
  <si>
    <t>Ayuntamiento de Gijón</t>
  </si>
  <si>
    <t>AST-2020-0010.jpg</t>
  </si>
  <si>
    <t>https://www.europapress.es/asturias/noticia-vivero-empresas-camocha-listo-acoger-verano-empresas-turismo-deporte-activo-20240425145632.html</t>
  </si>
  <si>
    <t xml:space="preserve"> El proyecto consiste en la construcción y establecimiento de un edificio como vivero de empresas de Economía Verde con la calificación de equipamiento. El edificio esta ubicado, en la zona de La Camocha (Gijón), en una parcela de 3.000 m² aproximadamente.  Se trata de un edificio de de 600 metros cuadrados  con espacio para seis oficinas, salas comunes y otros espacios, en un entorno natural. Esta destinado a empresas de actividades turísticas, deporte activo y centro de desarrollo tecnológico.</t>
  </si>
  <si>
    <t>Proyecto de creación y equipamiento de un vivero de empresas de actividades turísticas, deporte activo y centro de desarrollo tecnológico ubicado en el entorno de La Camocha</t>
  </si>
  <si>
    <t>AST-2020-0010</t>
  </si>
  <si>
    <t>MEJORA DE POLÍGONO INDUSTRIAL</t>
  </si>
  <si>
    <t>AST-2020-0005.jpg</t>
  </si>
  <si>
    <t>https://sede.asturias.es/bopa/2022/04/26/2022-02781.pdf</t>
  </si>
  <si>
    <t xml:space="preserve">En 2020, solo había un depósito regulador de agua potable para el concejo de Mieres, situado en La Herradura. Este depósito tiene una capacidad de 12.000 metros cúbicos; no obstante, su capacidad se había visto reducida a 10.000 m³ debido a los lodos acumulados en el fondo. Al disponer de un único vaso, no era posible limpiarlo ni construir una segunda cámara sin interrumpir el suministro. Por ello, era necesario ejecutar un nuevo depósito desde el cual alternar el abastecimiento y así posibilitar el mantenimiento del actual.
Consecuentemente, se ha ejecutado un nuevo depósito de agua potable con planta rectangular, de 9.500 m³ de capacidad y 7 m de lámina de agua, en el mismo lugar, para el abastecimiento de la población de Mieres, complementando al actual depósito regulador.
La actuación incluye el camino de acceso y las conducciones necesarias para su conexión y funcionamiento.  La actuación beneficiará a 23.000 habitantes. </t>
  </si>
  <si>
    <t>Aumento de capacidad del depósito de la Herradura (Mieres)</t>
  </si>
  <si>
    <t>AST-2020-0005</t>
  </si>
  <si>
    <t>PROYECTO DE MEJORA DE LA INSTALACIÓN DE ABASTECIMIENTO DE AGUA E INSTALACIÓN CONTRA INCENDIOS EN EL POLÍGONO INDUSTRIAL FÁBRICA DE MIERES
PROYECTOS DE OBRAS PARA LA MEJORA DE POLIGONOS INDUSTRIALES EN LAS CUENCAS MINERAS. LOTE 3-MIERES: GONZALÍN Y VEGA DE ARRIBA</t>
  </si>
  <si>
    <t>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Proyecto de mejora de la instalación de abastecimiento de agua e instalación contra incendios en el polígono industrial fábrica de Mieres y Lote 3 Mieres: Gonzalín y Vega de Arriba</t>
  </si>
  <si>
    <t>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Mejora de polígonos industriales en las cuencas mineras en Lena</t>
  </si>
  <si>
    <t>Ampliación de vigencia + incremento de importe + Ejecución IDEPA Ficha pendiente. en el polígono de Villayana se crearon 250 empleos asociados a la empresa ElZinc, más los indirectos que se crean por la actividad industrial.</t>
  </si>
  <si>
    <t>Urbanización del área industrial de Villallana</t>
  </si>
  <si>
    <t>El proyecto consiste en la elaboración de documentos técnicos, obtención de permisos y licencias pertinentes y ejecución de las obras de urbanización necesarias para la definitiva conclusión y consolidación del área industrial en el polígono industrial de Villallana (Lena).</t>
  </si>
  <si>
    <t>AST-2020-0001</t>
  </si>
  <si>
    <t>Rehabilitación de edificio municipal para crear un espacio polivalente de uso social y turístico.</t>
  </si>
  <si>
    <t>Rehabilitación de edificio municipal para centro polivalente social y turistico</t>
  </si>
  <si>
    <t>2024-C128</t>
  </si>
  <si>
    <t>Cronstrucción y explotación de 4_x000D_ apartamentos rurales</t>
  </si>
  <si>
    <t>33076</t>
  </si>
  <si>
    <t>Villaviciosa</t>
  </si>
  <si>
    <t>CRISTIAN DEL CASTILLO GONZALEZ</t>
  </si>
  <si>
    <t>Apartamentos turísticos</t>
  </si>
  <si>
    <t>2023-P203</t>
  </si>
  <si>
    <t>Centro de lavado y desinfección de vehículos</t>
  </si>
  <si>
    <t>33020</t>
  </si>
  <si>
    <t>Corvera de Asturias</t>
  </si>
  <si>
    <t>CORVERA SOCIEDAD COOPERATIVA ASTURIANA</t>
  </si>
  <si>
    <t>La Cooperativa de Corvera se constituye a partir de la antigua Hermandad de Labradores del Concejo de Corvera cuando un grupo de ganaderos de la zona deciden retomar la actividad. Su finalidad es dar satisfacción a la demanda de bienes y servicios requeridos por las explotaciones familiares agrarias, y cuyo principal ámbito de actuación abarca el territorio asturiano. Este proyecto busca ampliar los servicios mediante  un centro de lavado y desinfección de vehículos.</t>
  </si>
  <si>
    <t xml:space="preserve">Centro de lavado </t>
  </si>
  <si>
    <t>2023-P190</t>
  </si>
  <si>
    <t xml:space="preserve">Ampliación de capacidad de producción y almacén automatizado </t>
  </si>
  <si>
    <t>PEÑA MADERAS S.A.</t>
  </si>
  <si>
    <t>Peña Maderas es una empresa familiar que desarrolla su actividad en el sector de la madera, dedicándose a la importación, almacenamiento, distribución y primera transformación de maderas y productos relacionados con la misma. Su actividad es nacional, aunque su principal área de influencia se encuentra en Asturias y regiones limítrofes. En la actualidad cuenta con dos centros de trabajo abiertos al público en Gijón y en Llanera (Polígono de Asipo), donde se encuentran las oficinas y el almacén central.
Este proyecto consiste en la ampliación de capacidad de producción y almacén automatizado.</t>
  </si>
  <si>
    <t>2023-P179</t>
  </si>
  <si>
    <t xml:space="preserve">Ampliación de la capacidad productiva mediante la ampliación, adecuación y equipamiento de las instalaciones </t>
  </si>
  <si>
    <t>33035</t>
  </si>
  <si>
    <t>Llanera</t>
  </si>
  <si>
    <t>Peña maderas es una empresa familiar en el sector de la madera, dedicándose a la importación, almacenamiento, distribución y primera transformación de maderas y productos relacionados con la misma.
Este proyecto busca ampliar su capacidad productiva mediante la ampliación, adecuación y equipamiento de las instalaciones.</t>
  </si>
  <si>
    <t>Ampliación de la capacidad productiva en una empresa del sector maderero</t>
  </si>
  <si>
    <t>2023-P178</t>
  </si>
  <si>
    <t>Construcción de un campamento turístico de 1ª categoría</t>
  </si>
  <si>
    <t>SABINO FERNANDEZ MORIS</t>
  </si>
  <si>
    <t>Sabino Fernández Morís, ha presentado un proyecto, firmado por Apilánez y Mortera, que plantea un gran camping en San Feliz, de primera categoría; es decir con categoría tres tiendas y cuatro estrellas verdes. Contará con tres bungalows y con treinta y seis parcelas, con capacidad cada una de ellas para cuatro personas. Todas estarán delimitadas y señalizadas, con toma de luz y agua.
Asimismo, dentro del proyecto se propone construir dos edificios adicionales:  un edificio auxiliar, con duchas, servicios y lavandería; y otro inmueble que se destinaría a recepción, bar-restaurante, tienda y espacio para reuniones.</t>
  </si>
  <si>
    <t>Camping San Feliz</t>
  </si>
  <si>
    <t>2023-P170</t>
  </si>
  <si>
    <t>Nuevo centro de formación en nuevas tecnologías metalmecánicas</t>
  </si>
  <si>
    <t>33014</t>
  </si>
  <si>
    <t>Carreño</t>
  </si>
  <si>
    <t>METALSKILLS SL</t>
  </si>
  <si>
    <t xml:space="preserve"> https://metalskills.es/</t>
  </si>
  <si>
    <t>Este proyecto consiste en la puesta en marcha de un nuevo centro de formación en nuevas tecnologías metalmecánicas</t>
  </si>
  <si>
    <t>Nuevo Centro de Formación</t>
  </si>
  <si>
    <t>2023-P163</t>
  </si>
  <si>
    <t>Construcción de apartamentos turísticos similares a las casas "Hobbit" del "Señor de los anillos".</t>
  </si>
  <si>
    <t>VIESCANATUR C.B.</t>
  </si>
  <si>
    <t xml:space="preserve"> El proyecto consisite en la construcción de cuatro apartementos inspirados en las casas "Hobbit" del "Señor de los anillos" dentro de un complejo más amplio pensado, principalmente para el público familiar. Además de la obra civil dentro del proyecto se se prevén medidas de eficiencia energética, cargadores eléctricos, placas solares, aislamiento, climatización, luces led, amenities…</t>
  </si>
  <si>
    <t>Apartamentos "Hobbit"</t>
  </si>
  <si>
    <t>2023-P141</t>
  </si>
  <si>
    <t>Consultorio veterinario con servicio de diagnóstico y tratamientos veterinarios</t>
  </si>
  <si>
    <t>RAFAEL ALVAREZ MARTINEZ</t>
  </si>
  <si>
    <t>El proyecto consiste en la puesta en marcha de un consultorio veterinario con servicio de diagnóstico y tratamientos veterinarios.</t>
  </si>
  <si>
    <t>Consultorio veterinario</t>
  </si>
  <si>
    <t>2023-P138</t>
  </si>
  <si>
    <t>Construcción y explotación de un completo turístico de apartamentos</t>
  </si>
  <si>
    <t>EL HOGAR DE LELU TURISMO RURAL S.L.</t>
  </si>
  <si>
    <t>https://elhogardelelu.com/</t>
  </si>
  <si>
    <t>Construcción y explotación de un completo turístico de apartamentos en villaviciosa. El proyecto se desarrolla en una parcela de 2.700 m² donde se ubican los dos edificios de nueva construcción que albergan siete apartamentos, las zonas comunes y la piscina. El proyecto además de las obras civiles incluyó la instalación del sistema eléctrico, la adquisición de mobiliario y electrodomésticos...</t>
  </si>
  <si>
    <t>El hogar de Lelu</t>
  </si>
  <si>
    <t>2023-P122</t>
  </si>
  <si>
    <t>Ampliación de la capacidad productiva con la adquisición de maquinaria</t>
  </si>
  <si>
    <t>TECUR METAL S.L.</t>
  </si>
  <si>
    <t>Tecur metal es una empresa dedicada a la fabricación y ensamblaje de conjuntos mecánicos de hasta 1 Tn, incluyendo componentes fabricados en chapa plegada, mecanizado y curvado. Tras varios años en marcha, el negocio está en vías de expansión. Para ello, con este proyecto, buscan ampliar la capacidad productiva con la adquisición de nueva maquinaria.</t>
  </si>
  <si>
    <t>Nueva Maquinaria en una empresa del sector</t>
  </si>
  <si>
    <t>2023-P121</t>
  </si>
  <si>
    <t>Clínica especializada en enfermedades cardiovasculares</t>
  </si>
  <si>
    <t>CLÍNICAS CARDIALIS, S.L.</t>
  </si>
  <si>
    <t>https://cardialis.es/#section-9d847be6460f</t>
  </si>
  <si>
    <t>Este proyecto consiste en la apertura de una clínica enfocada en la rehabilitación y salud cardiovascular. Será un centro que ofrezca atención atención en diversas especialidades cómo cardiología, Neumología, Endocrinología, Nefrología, Angiología y Cirugía Vascular...Las actuaciones a llevar a cabo incluyen la construcción del edificio así cómo la adquisición de la maquinaria y  mobiliario para adecuar el espacio a la actividad.</t>
  </si>
  <si>
    <t>Clínica Cardialis</t>
  </si>
  <si>
    <t>2023-P098</t>
  </si>
  <si>
    <t>Adquisición de maquinaria para modernizar la empresa.</t>
  </si>
  <si>
    <t>EBONITADOS NORTE SL</t>
  </si>
  <si>
    <t>Ebonitados es una emrpesa  dedicada a la fabrica de piezas en caucho, recubrimientos de caucho, repuestos de bombas y perfiles en caucho. Este proyecto consiste en la adquisición de maquinaria para modernizar la empresa.</t>
  </si>
  <si>
    <t>Adqusisición de maquinaria para una empresa en el  sector del caucho-metal.</t>
  </si>
  <si>
    <t>2023-P092</t>
  </si>
  <si>
    <t>Puesta en funcionamiento de centro de lavado profesional.</t>
  </si>
  <si>
    <t>LA REGUERA 2019 S.L.</t>
  </si>
  <si>
    <t xml:space="preserve">La Reguera 2019 se dedica al comercio al por menor de combustible para la automoción en establecimientos especializados. El objetivo de este proyecto es poner en funcionamiento de centro de lavado profesional. </t>
  </si>
  <si>
    <t>Centro de Lavado</t>
  </si>
  <si>
    <t>2023-P090</t>
  </si>
  <si>
    <t>Ampliación de la  capacidad productiva de fábrica de productos congelados de panadería y bollería</t>
  </si>
  <si>
    <t>2010 FORMULAS Y RECETAS S.L</t>
  </si>
  <si>
    <t>2010 Formulas y recetas es una empresa especializada en la fábrica y venta de pan y productos de panadería. 
Este proyecto aspira a ampliar la  capacidad productiva de fábrica de productos congelados de panadería y bollería en Morcín.</t>
  </si>
  <si>
    <t xml:space="preserve"> 2010 Formulas y Recetas: Aumento Producción</t>
  </si>
  <si>
    <t>2023-P088</t>
  </si>
  <si>
    <t xml:space="preserve">Adquisición de maquinaria y equipamiento para implantar una nueva línea productiva </t>
  </si>
  <si>
    <t>KPS EUMAN, S.L.</t>
  </si>
  <si>
    <t>KPS es una empresa dedicada al diseño, fabrica y comercialización de instrumentación de medida portátil para el mercado eléctrico de Baja Tensión.
Este proyecto consiste en la adquisición de maquinaria y equipamiento para implantar una nueva línea productiva.</t>
  </si>
  <si>
    <t>Nueva línea poductiva</t>
  </si>
  <si>
    <t>2023-P067</t>
  </si>
  <si>
    <t>Digitalización y adquisición de maquinaria para automatizar los procesos de producción.</t>
  </si>
  <si>
    <t>INDUSTRIAS METÁLICAS RUIZ S.A.</t>
  </si>
  <si>
    <t>INMER es una compañía especializada en la fabricación de componentes de estampación metálica para la industria de la automoción y otros sectores industriales.
Este proyecto consiste en la digitalización y adquisición de maquinaria para automatizar los procesos de producción.</t>
  </si>
  <si>
    <t>Automatización de la producción</t>
  </si>
  <si>
    <t>2023-P066</t>
  </si>
  <si>
    <t>Construcción de nave para reforzar una de las líneas de negocio estratégicas</t>
  </si>
  <si>
    <t>DISMED, S.A.</t>
  </si>
  <si>
    <t>DISMED S.A, empresa distribuidora de productos de laboratorio y médico- quirúrgicos con más de 35 años de experiencia en el sector. 
Este proyecto consisitió en la construcción de nave para reforzar una de las líneas de negocio estratégicas.</t>
  </si>
  <si>
    <t>Nueva Nave para una empresa distribuidora</t>
  </si>
  <si>
    <t>2023-P049</t>
  </si>
  <si>
    <t>Adquisición de maquinaria para la recuperación de residuos procedentes de sedimentos marinos</t>
  </si>
  <si>
    <t>EXCADE, S.L.</t>
  </si>
  <si>
    <t>Excade S. L. es una empresa dedicada a los movimientos de tierras en Asturias, especializada en excavaciones y demoliciones. 
Este proyecto de inversón consistió en la adquisición de  maquinaria para la recuperación de residuos procedentes de sedimentos marinos</t>
  </si>
  <si>
    <t>Adquisición maquinaria</t>
  </si>
  <si>
    <t>2023-P047</t>
  </si>
  <si>
    <t>Reforma y ampliación de residencia de 3ª edad</t>
  </si>
  <si>
    <t>ALEJANDRO DE LA FUENTE CAÑAL</t>
  </si>
  <si>
    <t xml:space="preserve">Reforma y ampliación de residencia de 3ª edad. </t>
  </si>
  <si>
    <t>Reforma Centro Los Sauces</t>
  </si>
  <si>
    <t>2023-P043</t>
  </si>
  <si>
    <t>Ampliación de la capacidad operativa mediante un nuevo centro de almacenamiento</t>
  </si>
  <si>
    <t>PROPHAREX S.L.</t>
  </si>
  <si>
    <t>Propharex SL es una empresa especializada a la distribución y comercialización de productos de venta en farmacia tales como cosmética, dermocosmética, productos sanitarios, ortopedia, puericultura, óptica, complementos alimenticios e higiene intima , además de ser importadores de Productos sanitarios. Con sede en Asturias, en la actualidad distribuye sus productos a todo el noroeste peninsular y en el resto del territorio nacional y Portugal a través de Partners.
Este proyecto consiste en la ampliación de la capacidad operativa de la sede mediante un nuevo centro de almacenamiento.</t>
  </si>
  <si>
    <t>Nuevo Centro de Almacenamiento</t>
  </si>
  <si>
    <t>2023-P023</t>
  </si>
  <si>
    <t>VEROT S.A.</t>
  </si>
  <si>
    <t>https://www.verot.com/</t>
  </si>
  <si>
    <t>Verot SA es una empresa dedicada a la transformación de chapa mediante diversas metodologías. 
El objetivo de este proyecto es ampliar la capacidad productiva de la empresa.</t>
  </si>
  <si>
    <t>Verot: Ampliación de la capacidad productiva</t>
  </si>
  <si>
    <t>2023-P021</t>
  </si>
  <si>
    <t>Ampliación de la capacidad productiva de empresa de fabricación de cuadros eléctricos para paneles o parques de energías_x000D_ renovables</t>
  </si>
  <si>
    <t>SIERO ELECTRIC PANEL, S.L.</t>
  </si>
  <si>
    <t>En Siero Electric Panel S.L. es una empresa especializada en el montaje de cuadros y armarios eléctricos, ofreciendo soluciones de alta calidad y eficiencia tanto para aplicaciones industriales como residenciales.
Este proyecto aspira a ampliar la capacidad productiva de empresa de fabricación de cuadros eléctricos para paneles o parques de energías renovables.</t>
  </si>
  <si>
    <t>Siero Electric Panel:  Ampliación de la capacidad productiva</t>
  </si>
  <si>
    <t>2023-P020</t>
  </si>
  <si>
    <t>Acondicionamiento del local como clínica oftalmológica</t>
  </si>
  <si>
    <t>ALEJANDRA CHAMOUN OLEA</t>
  </si>
  <si>
    <t>La Dra. Alejandra Chamoun se graduó como médico en la Universidad de Salamanca, y más tarde completo su formación de cuatro años como médico especialista en Oftalmología en el Hospital Universitario Donostia, en San Sebastián. 
El objeto de este proyecto es el acondicionamiento del local en Gijón como clínica oftalmológica</t>
  </si>
  <si>
    <t>Clínica oftalmológica</t>
  </si>
  <si>
    <t>2023-P018</t>
  </si>
  <si>
    <t>Puesta en marcha de un centro de estética</t>
  </si>
  <si>
    <t>TAMARA ALONSO VIJANDE</t>
  </si>
  <si>
    <t>centro: https://abejareina.es/</t>
  </si>
  <si>
    <t>El proyecto consiste en la puesta en marcha de un centro de estética. Las actuaciones incluyen la adecuación del local y adquisición del equipamiento.</t>
  </si>
  <si>
    <t>Abeja Reina: Centro de belleza de Tamara Alonso</t>
  </si>
  <si>
    <t>2023-P017</t>
  </si>
  <si>
    <t>Adquisición de maquinaria para la producción de sidra sin alcohol.</t>
  </si>
  <si>
    <t>LAGARES DE GIJON SL</t>
  </si>
  <si>
    <t>Producción de sidra sin alcohol/Nueva línea de Producción?</t>
  </si>
  <si>
    <t>2023-P008</t>
  </si>
  <si>
    <t>Ampliación de la capacidad productiva del centro de talleres mediante la incorporación de nuevas tecnologías a su sistema productivo</t>
  </si>
  <si>
    <t>TALLERES PLA S.L.</t>
  </si>
  <si>
    <t>Es una empresa dedicada al mecanizado de precisión y reparaciones en general, especializada en la fabricación de piezas seriadas. Fundada en 1986 cuenta con más de 25 años de experiencia y prestigio dentro del sector metalúrgico.
Este proycto aspira a ampliar la capacidad productiva del centro de talleres mediante la incorporación de nuevas tecnologías a su sistema productivo.</t>
  </si>
  <si>
    <t>2023-P007</t>
  </si>
  <si>
    <t>Instalación de una clínica podológica y su equipamiento.</t>
  </si>
  <si>
    <t>JOSE LUIS MARTINEZ GARCIA</t>
  </si>
  <si>
    <t xml:space="preserve"> https://clinicajlmartinez.com/</t>
  </si>
  <si>
    <t>Clínica Podológica José Luis Martínez</t>
  </si>
  <si>
    <t>2023-P002</t>
  </si>
  <si>
    <t>REHABILITACIÓN DE VIVIENDA PARA LA CONSTRUCCIÓN DE APARTAMENTOS RURALES</t>
  </si>
  <si>
    <t>ABEL ALONSO BATALLA</t>
  </si>
  <si>
    <t>Rehabilitación de vivienda para la construcción de apartamentos rurales</t>
  </si>
  <si>
    <t>2023-M100</t>
  </si>
  <si>
    <t>MODERNIZACIÓN Y AMPLIACIÓN DE EQUIPOS E INSTALACIONES Y ACCESO A NUEVAS ÁREAS DE NEGOCIO</t>
  </si>
  <si>
    <t>MAP INDUSTRIAL PROJECTS, S.L.</t>
  </si>
  <si>
    <t>https://mapindustrialprojects.com/</t>
  </si>
  <si>
    <t>Modernización y ampliación de equipos e instalaciones y acceso a nuevas áreas de negocio</t>
  </si>
  <si>
    <t>2023-M081</t>
  </si>
  <si>
    <t>AMPLIACIÓN DE UNIDAD DE NEGOCIO CON ADQUISICION DE MAQUINARIA</t>
  </si>
  <si>
    <t>INSTALACIONES Y REFORMAS JOCABA, SL</t>
  </si>
  <si>
    <t>https://jocaba.com/</t>
  </si>
  <si>
    <t>Ampliación de unidad de negocio con adquisicion de maquinaria</t>
  </si>
  <si>
    <t>2023-M070</t>
  </si>
  <si>
    <t>IMPLANTACIÓN DE UNA NUEVA LÍNEA DE PRODUCTO DE CARÁCTER INNOVADOR</t>
  </si>
  <si>
    <t>ADARO TECNOLOGIA SA</t>
  </si>
  <si>
    <t>https://adaro.es/</t>
  </si>
  <si>
    <t>Implantación de una nueva línea de producto de carácter innovador</t>
  </si>
  <si>
    <t>2023-M066</t>
  </si>
  <si>
    <t>APARTAMENTOS TURISTICOS LA MURAZA</t>
  </si>
  <si>
    <t>MARIA LORENA GARCIA ALONSO</t>
  </si>
  <si>
    <t>Apartamentos turisticos La Muraza</t>
  </si>
  <si>
    <t>2023-M059</t>
  </si>
  <si>
    <t>CONSTRUCCIÓN DE NAVE Y ADQUISICIÓN DE MAQUINARIA</t>
  </si>
  <si>
    <t>DESEL SISTEMAS CONTRA INCENDIOS,S.L.</t>
  </si>
  <si>
    <t>Construcción de nave y adquisición de maquinaria</t>
  </si>
  <si>
    <t>2023-M051</t>
  </si>
  <si>
    <t>INSTALACIÓN DE SISTEMA Y SOLUCIÓN ONPREMISE</t>
  </si>
  <si>
    <t>MEDIA AND LOGISTICS CORPORATION, SL</t>
  </si>
  <si>
    <t>https://grupopico.es/servicios/media-logistic/</t>
  </si>
  <si>
    <t>Instalación de sistema y solución onpremise</t>
  </si>
  <si>
    <t>2023-M048</t>
  </si>
  <si>
    <t>AMPLIACIÓN CARDIALIS: REHABILITACIÓN Y SALUD CARDIOVASCULAR</t>
  </si>
  <si>
    <t>https://cardialis.es/</t>
  </si>
  <si>
    <t>Ampliación Cardialis: rehabilitación y salud cardiovascular</t>
  </si>
  <si>
    <t>2023-M039</t>
  </si>
  <si>
    <t>AMPLIACIÓN DE CAPACIDAD DE LA LÍNEA DE PRODUCTOS METÁLICOS PARA REHABILITACIÓN DE FACHADAS</t>
  </si>
  <si>
    <t>CONSTRUCCIONES GARCIA RAMA SL</t>
  </si>
  <si>
    <t>https://garciarama.com/</t>
  </si>
  <si>
    <t>Ampliación de capacidad de la línea de productos metálicos para rehabilitación de fachadas</t>
  </si>
  <si>
    <t>2023-M024</t>
  </si>
  <si>
    <t>ADQUISICIÓN EQUIPAMIENTO Y SOFTWARE HOSPITAL VETERINARIO MENES SL</t>
  </si>
  <si>
    <t>HOSPITAL VETERINARIO MENES S L</t>
  </si>
  <si>
    <t>https://hvmenes.com/</t>
  </si>
  <si>
    <t>Adquisición equipamiento y software Hospital Veterinario Menes SL</t>
  </si>
  <si>
    <t>2023-M023</t>
  </si>
  <si>
    <t>CONFECCION ORTESIS PLANTARES Y MODERNIZACION GABINETE</t>
  </si>
  <si>
    <t>Confeccion ortesis plantares y modernizacion gabinete</t>
  </si>
  <si>
    <t>2023-M009</t>
  </si>
  <si>
    <t>AMPLIACION Y AUTOMATIZACION DE LAS INSTALACIONES DE RODISA</t>
  </si>
  <si>
    <t>ESTAMPACIONES Y DECOLETAJES RODISA SL</t>
  </si>
  <si>
    <t>http://www.rodisa.es/</t>
  </si>
  <si>
    <t>Aampliacion y automatizacion de las instalaciones de Rodisa</t>
  </si>
  <si>
    <t>Ampliacion y automatizacion de las instalaciones de Rodisa</t>
  </si>
  <si>
    <t>2023-M006</t>
  </si>
  <si>
    <t>INVERSIONES EN MAQUINARIA PARA LA INDUSTRIA METALÚRGICA</t>
  </si>
  <si>
    <t>NORTEMECANICA SA</t>
  </si>
  <si>
    <t>https://www.nortemecanica.es/es/</t>
  </si>
  <si>
    <t>Inversiones en maquinaria para la industria metalúrgica</t>
  </si>
  <si>
    <t>2023-M004</t>
  </si>
  <si>
    <t xml:space="preserve">Construcción de un edificio para centro de mayores en la modalidad de alojamiento </t>
  </si>
  <si>
    <t>PROMOTORA DE VIVIENDAS DE ASTURIAS SL</t>
  </si>
  <si>
    <t>El proyecto consiste en la construcción y puesta en marcha de un centro de mayores en la modalidad de alojamiento para 30 plazas con  con 10 habitaciones dobles y 10 individuales en el centro de Mieres. El edificio, de 985 m2, constará de 5 plantas mas sótano y de áreas comúnes cómo un comedor y una sala multiusos. La residencia se configurará en unidades de convivencia pequeñas con mobiliario y decoración similar al de un hogar.
 La comarca del Caudal es una zona con un alto porcentaje de personas mayores, esta residencia permitirá atender a personas mayores dependientes y autónomas dentro de su entorno social. Se dará atención personalizada en pequeñas unidades de 6 residentes, permitiendo homogenizar la atención en función de las necesidades y características.</t>
  </si>
  <si>
    <t>Centro de atención a mayores en la modalidad de alojamiento.</t>
  </si>
  <si>
    <t>2023-G067</t>
  </si>
  <si>
    <t>Puesta en marcha de una planta para la reutilización de los subproductos generados en el proceso de fabricación del acero</t>
  </si>
  <si>
    <t>RYMOIL,S.A.</t>
  </si>
  <si>
    <t>RENUNCIA PTE ACTUALIZAR ESTADO</t>
  </si>
  <si>
    <t>2023-G058</t>
  </si>
  <si>
    <t xml:space="preserve">Puesta en marcha una fábrica 4.0 de furgonetas camperizadas </t>
  </si>
  <si>
    <t>NORTH CAPE FACTORY S.LU.</t>
  </si>
  <si>
    <t xml:space="preserve"> El objetivo principal del proyecto es poner en marcha una fábrica 4.0 y con metodologías lean de furgonetas camperizadas en Asturias. Se tratará de un centro productivo pensado para el funcionamiento a modo de cadena de producción, y que usará la tecnología para la mejora de los procesos y aumento de la eficiencia de la producción y por lo tanto de la competitividad. El proyecto considera la compra de una parcela industrial en Gijón de 2118m2 y la construcción de unas instalaciones de producción de alrededor de 120m2. El proyecto de inversión también incluye la adquisición de bienes de equipo, trabajos de planificación e ingeniería y la ejecución de un sistema de gestión de la producción.</t>
  </si>
  <si>
    <t>Nueva fábrica 4.0 para la producción en cadena de vehículos camperizados.</t>
  </si>
  <si>
    <t>2023-G019</t>
  </si>
  <si>
    <t>AMPLIACIÓN DE CAPACIDAD PRODUCTIVA CON NUEVA LÍNEA DE IMPRESIÓN OFFSET</t>
  </si>
  <si>
    <t>Cicero Digital, S.L.</t>
  </si>
  <si>
    <t>https://cizerodigital.com/</t>
  </si>
  <si>
    <t>Ampliación de capacidad productiva con nueva línea de impresión offset</t>
  </si>
  <si>
    <t>2023-0065</t>
  </si>
  <si>
    <t>CREACIÓN DE UN NUEVO CENTRO DE TRABAJO</t>
  </si>
  <si>
    <t>TURBINAS GENERADORES VALVULAS Y AUXILIARES, SLU</t>
  </si>
  <si>
    <t>https://www.asacti.es/</t>
  </si>
  <si>
    <t>Creación de un nuevo centro de trabajo</t>
  </si>
  <si>
    <t>2023-0052</t>
  </si>
  <si>
    <t>INCORPORACIÓN DE NUEVAS TECNOLOGÍAS</t>
  </si>
  <si>
    <t>ASAC COMUNICACIONES, SL</t>
  </si>
  <si>
    <t>Incorporación de nuevas tecnologías</t>
  </si>
  <si>
    <t>2023-0050</t>
  </si>
  <si>
    <t>NUEVO CENTRO DE DISEÑO, FABRICACIÓN Y DISTRIBUCIÓN DE MATERIALES MÉDICO-QUIRÚRGICOS</t>
  </si>
  <si>
    <t>ACUÑA Y FOMBONA SA</t>
  </si>
  <si>
    <t>https://www.acuna-fombona.com/</t>
  </si>
  <si>
    <t>Nuevo centro de diseño, fabricación y distribución de materiales médico-quirúrgicos</t>
  </si>
  <si>
    <t>2023-0049</t>
  </si>
  <si>
    <t>"ECO MOTEL" DE 4 ESTRELLAS</t>
  </si>
  <si>
    <t>ECOMOTEL RURAL LAS CABAÑITAS, S.L.</t>
  </si>
  <si>
    <t>"Eco Motel" de 4 estrellas</t>
  </si>
  <si>
    <t>2023-0035</t>
  </si>
  <si>
    <t>CENTRO RESIDENCIAL PARA PERSONAS MAYORES</t>
  </si>
  <si>
    <t>MARTINEZ TOYOS, SL</t>
  </si>
  <si>
    <t>Centro residencial para personas mayores</t>
  </si>
  <si>
    <t>2023-0034</t>
  </si>
  <si>
    <t>AMPLIACIÓN DE LA CAPACIDAD DE RESIDENTES</t>
  </si>
  <si>
    <t>RESIDENCIA VERDEJA SL.</t>
  </si>
  <si>
    <t>https://residenciaverdeja.es/</t>
  </si>
  <si>
    <t>Ampliación de la capacidad de residentes</t>
  </si>
  <si>
    <t>2023-0030</t>
  </si>
  <si>
    <t>PLANTA DE FABRICACIÓN DE PRODUCTOS INYECTABLES</t>
  </si>
  <si>
    <t>MEDICHEM SOLUTIONS SL</t>
  </si>
  <si>
    <t>https://www.medichem.es/</t>
  </si>
  <si>
    <t>Planta de fabricación de productos inyectables</t>
  </si>
  <si>
    <t>2023-0029</t>
  </si>
  <si>
    <t>CREACIÓN DE NUEVA LÍNEA DE NEGOCIO PARA LA FABRICACIÓN DE PIEZAS MECANOSOLDADAS</t>
  </si>
  <si>
    <t>OXIPLANT CENTRO DE TRANSFORMACION DEL ACERO SL</t>
  </si>
  <si>
    <t>https://oxiplant.com/</t>
  </si>
  <si>
    <t>Creación de nueva línea de negocio para la fabricación de piezas mecanosoldadas</t>
  </si>
  <si>
    <t>2023-0027</t>
  </si>
  <si>
    <t>ACONDICIONAMIENTO Y EQUIPAMIENTO DE NAVE INDUSTRIAL</t>
  </si>
  <si>
    <t>ALISYS ROBOTICS SL</t>
  </si>
  <si>
    <t>Acondicionamiento y equipamiento de nave industrial</t>
  </si>
  <si>
    <t>2023-0016</t>
  </si>
  <si>
    <t>AMPLIACIÓN DE PROCESO PRODUCTIVO</t>
  </si>
  <si>
    <t>METALICAS SOMONTE SL</t>
  </si>
  <si>
    <t>https://www.metalicassomonte.com/</t>
  </si>
  <si>
    <t>Ampliación de proceso productivo</t>
  </si>
  <si>
    <t>2023-0010</t>
  </si>
  <si>
    <t>INSTALACIÓN DE UNA NUEVA LÍNEA DE FABRICACIÓN DE LUMINARIAS DE CARRIL O TRUNKING SYSTEMS</t>
  </si>
  <si>
    <t>NORMAGRUP TECHNOLOGY SA</t>
  </si>
  <si>
    <t>https://www.normagrup.com/es</t>
  </si>
  <si>
    <t>Instalación de una nueva línea de fabricación de luminarias de carril o trunking systems</t>
  </si>
  <si>
    <t>2023-0009</t>
  </si>
  <si>
    <t>REHABILITACION DE CASONA ABADÍA DEL CENERO PARA APARTAMENTOS TURÍSTICOS</t>
  </si>
  <si>
    <t>CARNICERIAS HNOS BERDASCO SL</t>
  </si>
  <si>
    <t>Rehabilitacion de Casona Abadía del Cenero para apartamentos turísticos</t>
  </si>
  <si>
    <t>2023-0008</t>
  </si>
  <si>
    <t>NUEVA LÍNEA DE PRODUCCIÓN</t>
  </si>
  <si>
    <t>RUIFERPA SL</t>
  </si>
  <si>
    <t>https://ruiferpa.net/</t>
  </si>
  <si>
    <t>Nueva línea de producción</t>
  </si>
  <si>
    <t>2023-0007</t>
  </si>
  <si>
    <t>MEJORA AMBIENTAL, ACTUALIZACION DE INRRAESTRUCTURAS Y VISIBILIZACION DE LOS MONTES PRODUCTORES. Parques forestales para la gestión de madera y biomasa y acondicionamiento de 18.42 Km de vías imprescindibles para su explotación</t>
  </si>
  <si>
    <t>AYUNTAMIENTO DE VILLAVICIOSA</t>
  </si>
  <si>
    <t>Las obras proyectadas consistirán en: la creación de cuatro parques forestales para la gestión de madera y biomasa, el acondicionado, mejora y modernización de 18.42 Km de vías forestales de categoría principal, la repoblación de 6.77 has enmarcadas en un desbroce para la creación de un sistema silvopastoral de 24.92 has en total y el equipamiento de los montes con una red de senderos singulares destinados al uso recreativo y didáctico, a través de una infraestructura de caminos verdes interconectados en un entorno cercano a la playa de Rodiles (Blue-Green Infrastructure), haciendo uso de la tecnología de la realidad aumentada. Se prevé además la creación de un sendero singular con Fotoluminiscencia.</t>
  </si>
  <si>
    <t xml:space="preserve">Mejora ambiental, actualizacion de inrraestructuras y visibilizacion de los montes productores. </t>
  </si>
  <si>
    <t>2022-C199</t>
  </si>
  <si>
    <t>CENTRO DE APOYO AL EMPRENDIMIENTO RURAL AGROALIMENTARIO. Locales destinados al procesodo de productos agroalimentarios (miel o envasado de fabas) además de zonas  para formación, reunión, coworking y laboratorio</t>
  </si>
  <si>
    <t>Adecuación de un edificio existente a través de la rehabilitación de las antiguas escuelas de Candanal, actualmente éste es un espacio diáfano a excepción de una zona en la planta baja donde se encuentran dos locales destinados a baños (futuros cuartos de limpieza).                                                                                                                                                                                                                                                                                                                                                                                                                                      La actuación prevista comprende, principalmente, la compartición interior para la ubicación de los distintos locales necesarios para desarrollar, en la planta baja, los procesos de productos agroalimentarios (como producción de miel o envasado de Faba Asturiana), y en la planta primera una zona de aulas y/o salas de reunión o coworking y laboratorio. 
La planta semisótano permanecerá diáfana para albergar la maquinaria e instalaciones necesarias para el funcionamiento de las actividades a desarrollar. 
Actualmente la comunicación entre plantas se realiza por el interior mediante escaleras metálicas, sin embargo, para ganar espacio en las plantas, se procederá al desmontaje de dichas escaleras y cubrición del hueco. Por lo tanto, la comunicación entre plantas por medio de escaleras se realizará por el exterior del edificio, por la fachada principal. Así mismo, para que la planta primera sea accesible para todas las personas se dotará de ascensor para su acceso, éste se instalará también por el exterior.</t>
  </si>
  <si>
    <t>Centro de apoyo al emprendimiento rural agroalimentario.</t>
  </si>
  <si>
    <t>2022-C170</t>
  </si>
  <si>
    <t xml:space="preserve">RECUPERACION URBANISTICA Y AMBIENTAL DEL PARQUE DE LA ERIA. Recuperación del Parque de la Ería con especies autóctonas y mejoras de la accesibilidad, en el sistema de riego y alumbrado público </t>
  </si>
  <si>
    <t>Intervención en el actual Parque de la Ería que data de 1980, en actual estado de deterioro, proyectando un espacio público ajardinado de mayor accesibilidad y mejorando la eficiencia energética en relación al agua del riego, al alumbrado público y a la utilización de especies vegetales autóctonas.</t>
  </si>
  <si>
    <t xml:space="preserve">Recuperacion urbanistica y ambiental del parque de la eria. </t>
  </si>
  <si>
    <t>2022-C152</t>
  </si>
  <si>
    <t xml:space="preserve">Rehabilitación del Centro Cívico de Soto de Llanera para usos sociales y de promoción del emprendimiento e innovación digital. La reforma del edificio permitirá reconvertirlo en "un espacio abierto a la cultura, la música, el arte, la innovación y la tecnología. </t>
  </si>
  <si>
    <t>Ayuntamiento de Llanera</t>
  </si>
  <si>
    <t>Rehabilitación del Centro Cívico de Soto de Llanera para usos sociales y de promoción del emprendimiento e innovación digital. La reforma del edificio permitirá reconvertirlo en "un espacio abierto a la cultura, la música, el arte, la innovación y la tecnología. 
El edificio, que se encuentra en estado de abandono y cuya construcción data de 1988, tiene una superficie total construida de 1.650 metros cuadrados. Además de la remodelación interior, la actuación también contempla la rehabilitación en todo su contenedor, tanto fachada como cubierta, e incluye un ascensor para comunicar la planta baja con la primera.
El objetivo es conseguir un espacio polivalente y multiusos, que pueda acoger presentaciones y cursos, pero también convertirse en una sala de exposiciones o un espacio para impartir conferencias</t>
  </si>
  <si>
    <t>Rehabilitación de centro social de Soto de Llanera para usos sociales y promoción del emprendimiento</t>
  </si>
  <si>
    <t>2022-C131</t>
  </si>
  <si>
    <t xml:space="preserve">REHABILITACIÓN Y PUESTA EN VALOR DEL EDIFICIO MUNICIPAL SITUADO EN LA CARRETERA GENERAL Nº41 DE UJO. Rehabilitación de un edificio para alojar la sede de la Asociación de Vecinos y de la Asociación de Mujeres de Ujo. Se prevé que el edificio se use para actuaciones de la asociaciones y formaciones de fomento del empleo y reducción de la brecha digital </t>
  </si>
  <si>
    <t>Proyecto de rehabilitación de la envolvente exterior (reparación de forjado y rehabilitación energética de la fachada) y en el interior (sustitución de los revestimientos y acabados interiores, modificaciones de las instilaciones existentes, accesibilidad de edificio).                                                                                                                                                                                                                                                                                                                                                                                                                                                                El objeto del proyecto se destinará a ser sede de la Asociación de Vecinos y de la Asociación de Mujeres de Ujo. Se pretende que en el edificio se realicen talleres y actividades que permitan una dinamización de la zona, aumentando la oferta social, cultural y de ocio de Ujo. Además, en dichas instalaciones se podrán realizar cursos en los que se facilite el acceso al empleo o se potencie la disminución de la brecha digital, como podrían ser cursos de informática, Internet, idiomas, etc</t>
  </si>
  <si>
    <t xml:space="preserve">Rehabilitación y puesta en valor del edificio municipal situado en la carretera general nº41 de ujo. </t>
  </si>
  <si>
    <t>2022-C101</t>
  </si>
  <si>
    <t xml:space="preserve">CENTRO DE SERVICIOS Y DIGITALIZACIÓN GANADERA DEL MUNICIPIO DE ALLER. Digitalización del mercado de ganado modernizando las transaciones, mejorando la rentabilidad de las explotaciones y el control genético y la calidad de la carneñ. Creación de una marca propia </t>
  </si>
  <si>
    <t>Recuperación de espacios urbanos y reforma de 4 edificios municipales para la creación de un Centro de servicios y digitalización ganadera  con el objetivo de potenciar las actividades del sector, desarrollar la marca de calidad de la carne y la ganadería ecológica.                                                                                                                                            Cada edificio acogerá un servicio servicios especializado para actividades como ganadería vacuna, caballar y caza, al mismo tiempo que van a constituir un equipamiento multifuncional para el desarrollo de actividades relacionadas con la actividad económica en el concejo:                                                                                                                                                                                                            Edificación 1: “Centro de Trazabilidad de la Carne de Caza”
Edificación 2: “Puesto de control y gestión inteligente de accesos y báscula”
Edificación 3: “Centro Inteligente de Control de Ganado y Oficina Veterinaria”
Edificación 4: “Centro de Inseminación Artificial”</t>
  </si>
  <si>
    <t xml:space="preserve">Centro de servicios y digitalización ganadera del municipio de aller. </t>
  </si>
  <si>
    <t>2022-C086</t>
  </si>
  <si>
    <t xml:space="preserve">CENTRO DE GESTION DE RESIDUOS DEL MUNICIPIO DE ALLER. Centro de gestión de residuos municipal dotado de la maquinaria para la separación y tratamiento de los residuos verdes. También contará con salas de sensibilización para favorecer el asociacionismo local  </t>
  </si>
  <si>
    <t xml:space="preserve">El proyecto se ejecutará sobre una infraestructura que actualmente ocupa el punto limpio del municipio, espacio que será totalmente rehabilitado para poner en marcha el Centro de Gestión de Residuos municipal.  Las obras se centran en la rehabilitación de la nave existente en las instalaciones actuales y su entorno para adecuarlas para una gestión sostenible y moderna de los residuos. Se realizarán actuaciones que mejoren sus características constructivas, su sostenibilidad y su utilidad interior , acogiendo además de la instalación de recogida de residuos, un espacio con vestuarios, aseos, zona de oficinas y aula de formación. Asimismo, será dotado de la maquinaria necesaria para proceder a la separación y tratamiento de los residuos verdes generados en el municipio (Biotrituradora, Peletizadora, Compactadora y Desbrozadora industrial). </t>
  </si>
  <si>
    <t>Centro de gestion de residuos del municipio de aller.</t>
  </si>
  <si>
    <t>2022-C084</t>
  </si>
  <si>
    <t xml:space="preserve">PEATONALIZACIÓN Y MEJORA DE LA SOSTENIBILIDAD DE LA PLAZA DEL MERCADO. Peatonalización de la plaza del mercado y nuevo espacio cubierto para favorecer la compra-venta. Instalción de un cargador para coche eléctrico  </t>
  </si>
  <si>
    <t>Se recupera este espacio para la ciudadanía, a partir de la creación de espacios urbanos accesibles para la residencia de mayores con puerta de salida directa a la plaza. Para ello, se restringe el paso y aparcamiento de vehículos y se reverdece la plaza con varias zonas verdes (unos 660m2) con plantación de numerosas especies vegetales de pequeño y mediano porte.   En la redacción del proyecto se incluyen las características climáticas particulares de la zona para atender a las necesidades derivadas de las inclemencias del tiempo para el uso del espacio público con zonas cubiertas y abiertas destinadas a la comercialización "en plaza" de productos locales y al disfrute de los ciudadanos. El proyecto incluye la mejora de la gestión y el ahorro del uso del agua con sistema de control de riego y una infraestructura para el apoyo en el uso de vehículos eléctricos con la dotación de una electrolinera con dos puesto de carga de bicicletas y otro tipo de vehículos eléctricos</t>
  </si>
  <si>
    <t xml:space="preserve">Peatonalización y mejora de la sostenibilidad de la plaza del mercado.   </t>
  </si>
  <si>
    <t>2022-C046</t>
  </si>
  <si>
    <t>REHAB. INTEG. PARC. 5 MÓD. ANTIG. ESC. MAZAS CENTRO "CONECT" DE CONSUMO
ENERG. CASI NULO.  Centro de coworking que acogerá empresas de investigación, PYMES de la zona y a trabajadores nómadas dotado de nuevas instalaciones de eficiencia energética</t>
  </si>
  <si>
    <t xml:space="preserve">El proyecto se ubica en Las Antiguas Escuelas de Las Mazas (protección integral) consiste en un edificio en forma de sierra con 6 módulos. El módulo más cercano al núcleo de población está siendo rehabilitado como centro social-cultural, fuera del ámbito de actuación de la propuesta.                                                                                                                                                                                                                                                                                                                                                                                                     En el presente proyecto se plantea una actuación para rehabilitar el resto del edificio (5 módulos restantes) como centro CONECT de consumo casi nulo. La actuación consistirá en:
 • El desmontaje de elementos de entrevigado de la cubierta. 
• Saneamiento de los muros. 
• Restitución de los elementos de cubierta retirados. 
•Retirada de los restos del solado que se encuentran en estado ruinoso. 
• Aislamiento y ejecución de nueva solera. 
• Distribución interior e instalaciones. 
• Carpintería manteniendo huecos y con calidades de máxima eficiencia energética. 
• Solado de la misma naturaleza que el original (cerámico) 
Programa del Centro orientado al Networking Empresarial, la Cooperación y el Teletrabajo (CONECT): 3 espacios conect 100 m2 útiles + baño accesible cada uno, 1 sala polivalentes 50 m2 útiles y 2 patios cub. 70 m2 con aparcamiento recarga bicis eléctricas </t>
  </si>
  <si>
    <t>Rehab. integ. parc. 5 mód. antig. esc. mazas centro "conect" de consumo energ. casi nulo.</t>
  </si>
  <si>
    <t>2022-C015</t>
  </si>
  <si>
    <t>REHABILITACIÓN INTEGRAL DEL EDIFICIO TOLVAS DEL MONSACRO. Coworking para la innovación digital, promoción del emprendimiento y desarrollo económico a través de la recuperación del patrimonio industrial minero</t>
  </si>
  <si>
    <t>https://contrataciondelestado.es/FileSystem/servlet/GetDocumentByIdServlet?DocumentIdParam=UNkVuVa4JZwnMxegRt2EgHYUdp%2Bp3hgfKeuGh5fUaRJ3lSUrQjEpUgg97upTtNIG1jWzeKEmCZ/1beI4c%2BpOnGAut6S9ZWGwKpw8/np3VSffdyQgZAdTm3EfcUAC7CJ6&amp;cifrado=QUC1GjXXSiLkydRHJBmbpw%3D%3D</t>
  </si>
  <si>
    <t>El proyecto consiste en la consiste en  la rehabilitación integral del edificio Tolvas del Monsacro, para crear un espacio de de actividades de innovación digital, coworking, implantación de profesionales nómadas tecnológicos, convenciones, encuentros, formación, y otras actividades de esta tipología.   Se trata de un edificio previamente acondicionado en 2009 con la intención de abrir un museo. El edifico quedó habilitado con espacios idóneos, en tres plantas, para la implantación de actividades que fomenten la economía de la zona.                                                                                                                                                                                                                                                                                                                                                                                                                                                                                                                                             La rehabilitación del edificio tiene por finalidad la adecuación de los espacios a la nueva actividad y dotarlo de los recursos necesarios. Parte de las actuaciones irán enfocadas a restaurar los diversos imperfectos y daños generados desde  el 2009. 
Por un lado, la planta baja, se adaptará el espacio para una posterior ocupación por una entidad privada, con carácter tecnológico y contendio I+D+i, y en la primera planta, existen dos propuestas, la instalación de una empresa de perfil tecnológico o al menos gestione una parte de ella una vez realizada la rehabilitación o si la instalación de estas empresas no prospera, el Ayuntamiento pondrá en marcha en esta planta un espacio coworking, completado con un servicio de acompañamiento al emprendimiento y la innovación que permita impulsar el tejido empresarial morciniego y de la comarca con nuevos emprendedores. 
Por otra parte, la planta segunda, que está destinada a fines culturales.
NOTA: Hace referencia a un problema que han surgido durante el estudio(TOMO I DEL PROYECTO TCNICO DE REHABILITACION ) del estado actual de la edificación que es la baja presión de agua existente en la red, que no permite su empleo en el sistema de PCI, para lo cual se ha proyectado la ejecución de una acometida a la red general de abastecimiento de 211,67 m de longitud, que adiconalmente dotará de servicio de lavado a una estación de reparación y mantenimiento de motos y bicicletas existente en las inmediaciones.</t>
  </si>
  <si>
    <t xml:space="preserve">Rehabilitación integral del edificio tolvas del monsacro. </t>
  </si>
  <si>
    <t>2022-C011</t>
  </si>
  <si>
    <t>REHABILITACIÓN ENERGÉTICA “PÓSITO DE PESCADORES EN BAÑUGUES”</t>
  </si>
  <si>
    <t>33025</t>
  </si>
  <si>
    <t>Gozón</t>
  </si>
  <si>
    <t>AYUNTAMIENTO DE GOZÓN</t>
  </si>
  <si>
    <t>La rehabilitación del almacén de pescadores de Bañugues consistirá en la mejora integral del edificio, de planta baja. Para ello se planea dotarlo de infraestructuras y equipamiento para el desarrollo de actividades sociales y culturales así como las relacionadas con las tecnologías de la información y comunicación actualmente inexistentes en la zona.</t>
  </si>
  <si>
    <t>Rehabilitación energética “pósito de pescadores en bañugues”</t>
  </si>
  <si>
    <t>2022-C002</t>
  </si>
  <si>
    <t>Adecuación de Espacios públicos para el fomento de la movilidad sostenible: Itinerarios, circuitos peatonales y carril bici</t>
  </si>
  <si>
    <t>Ayuntamiento de Corvera</t>
  </si>
  <si>
    <t>Adecuación de espacios públicos para el fomento de la movilidad sostenible</t>
  </si>
  <si>
    <t>2022-C001</t>
  </si>
  <si>
    <t>construccion de una nave que servirá como union de los dos centros de producción en fase de ejecución actualmente, para generar una instalacion unificada donde se haga mas ergonómico las fases de desarrollo de procesos.</t>
  </si>
  <si>
    <t>TALLERES CARLOS DEL VALLE, S.L.</t>
  </si>
  <si>
    <t>Construccion de  nave para union de los dos centros de producción en fase de ejecución.</t>
  </si>
  <si>
    <t>2021-M198</t>
  </si>
  <si>
    <t>Ampliación y modernización de la actividad de la empresa realizando nuevos trabajos y mayor fabricación en serie para terceros, de piezas metálicas mediante torneado, fresado , pulido etc</t>
  </si>
  <si>
    <t>CONSTRUCCIONES MECANICAS ELGO, S.L.</t>
  </si>
  <si>
    <t xml:space="preserve">Se trata de un proyecto de modernización y ampliación de las instalaciones. En su origen, la empresa se dedicaba principalmente a la fabricación, mantenimiento y reparación de maquinaria de embotellado, envasado y etiquetado para la industria alimentaria. También realizaba mecanizado con carácter residual. En los últimos años los pedidos de maquinaria habían disminuido notablemente incrementándose sin embargo los de mecanización,lo que exigía modernizar y ampliar la productividad, especialmente con más maquinaria para diversificar productos. Por esta razón se realizó una inversión para dotar a la empresa de nueva maquinaria que permitiera ejecutar trabajos de mecanizado que, por sus características y la demanda del mercado actual, no era posible atender. Tambien se modernizaron equipos para lograr mayor eficiencia en el proceso y mayor seguridad en los trabajos. El objetivo de esta inversión era aumentar la producción en cuantía equivalente a la demanda que se dejaba de atender, expresada en 85.000 € /año, así como ser más competitivos en el sector. </t>
  </si>
  <si>
    <t>Fabricación por mecanizado de piezas metálicas</t>
  </si>
  <si>
    <t>2021-M181</t>
  </si>
  <si>
    <t>Adquisición de nueva envasadora que permitirá el suministro de piensos para avicultura, granos y harinas en pequeño formato y acondicionamiento de terrenos para la zona de almacenamiento de materia prima, productos semielaborado y zona de expedicion.</t>
  </si>
  <si>
    <t>Adquisición de nueva envasadora.</t>
  </si>
  <si>
    <t>2021-M170</t>
  </si>
  <si>
    <t>Apertura de clinica dental en bajo comercial</t>
  </si>
  <si>
    <t>GARCIA DE CASTRO DENTAL SLP</t>
  </si>
  <si>
    <t>https://clinicagarciadecastro.com/</t>
  </si>
  <si>
    <t xml:space="preserve">El proyecto consiste en la adaptación de un bajo para la apertura de una clínica odontológica  con instalaciones actualizadas y con sistema de trabajo integrado. El proyecto  consta de varios apartados: las obra de acondicionamiento a clínica dental, carpintería, equipamiento dental y equipamiento informático.
</t>
  </si>
  <si>
    <t>CLINICA GARCIA DE CASTRO DENTAL</t>
  </si>
  <si>
    <t>2021-M169</t>
  </si>
  <si>
    <t>Inversion en pantografo, elevadores, compresor, maquina de equilibrar, maquina de desmontar ruedas</t>
  </si>
  <si>
    <t>DE LA FUENTE 2011, S.L.</t>
  </si>
  <si>
    <t>2021-M165</t>
  </si>
  <si>
    <t>Inversión de alto nivel tecnológico por el cual se integrará medios informaticos y mecánicos de desplazamiento de cargas para la preparación de los pedidos con pdas u otros y desarrollo de un sistema de almacenamiento de pasillos elevados que permita la interacción entre sistemas, equipos y software.</t>
  </si>
  <si>
    <t>DISTRIBUCIONES CIMADEVILLA SA</t>
  </si>
  <si>
    <t>Inversión de alto nivel tecnológico, desarrollo de un sistema de almacenamiento de pasillos elevados que permita la interacción entre sistemas, equipos y software.</t>
  </si>
  <si>
    <t>2021-M144</t>
  </si>
  <si>
    <t>Reforma de las instalaciones  y dotación de un espacio para deposito de la maquinaria y aparcamiento de vehiculos necesario para la ejecucion de los servicios que ofrece la empresa.</t>
  </si>
  <si>
    <t>NEMORASTUR, S.L.</t>
  </si>
  <si>
    <t>https://www.nemorastur.com/</t>
  </si>
  <si>
    <t>La empresa Nemorastur se dedica a dar servicios en el sector forestal, medioambiental y de jardinería. Con el crecimiento constante de la demanda, las instalaciones y la plantilla eran demasiado reducidas para poder gestionar la demanda de sus servicios.                                                                                                                                                                                                                                                                                                                                                                                                                                                                                                    Consecuentemente, en 2021, la empresa solicitó una subvención  para expandir la empresa a través de  la adquisición de unos terrenos con una edificación en estado de abandono. SE llevaron a cabo actuaciones para la reforma, urbanización y rastauración de toda la propiedad, adecuándola para su uso cómo sede con oficinas y dotándo a la empresa  de un espacio adecuado para el depósito de la maquinaria y el aparcamiento de vehículos. El proyecto de inversión también incluyó la adquisición de bienes de equipo cómo una biotrituradora, una furgoneta o equipo informáticos.</t>
  </si>
  <si>
    <t>Reforma de edificación y urbanización para empresa de trabajos medioambientales y forestales</t>
  </si>
  <si>
    <t>2021-M116</t>
  </si>
  <si>
    <t>Construcción y explotación de alojamiento turístico de corta estancia (casa rural) en Gijón-La Camocha.</t>
  </si>
  <si>
    <t>ALFREDO GONZÁLEZ SÁNCHEZ</t>
  </si>
  <si>
    <t>2021-M114</t>
  </si>
  <si>
    <t>Ampliación de la oferta asistencial incorporando el área de fisioterapia y ampliación del área de odontología.</t>
  </si>
  <si>
    <t>DOCTA AREA SANITARIA, S.L.</t>
  </si>
  <si>
    <t>https://fisioterapiatorielli.com/</t>
  </si>
  <si>
    <t>Ampliación de la oferta asistencial incorporando el área de fisioterapia y osteopatía además de ampliar el área de odontología. El proyecto de inversión consistió en la adecuación y anexión de un local colindante, redistribuyendo las áreas de prestación de servicios, la adquisición de los equipos necesarios para la práctica profesional y ampliar la oferta asistencial a las áreas de fisioterapia y osteopatía, así como la adquisición de equipos nuevos para ampliar la atención en el área de odontología, que ha demostrado una fortaleza creciente, ya que es el motor que mueve a la empresa. .</t>
  </si>
  <si>
    <t>Ampliación de la oferta asistencial en una clínica.</t>
  </si>
  <si>
    <t>2021-M107</t>
  </si>
  <si>
    <t>Nueva planta industrial para la fabricación de bobinados de motores electricos y mantenimiento de transformadores industriales.</t>
  </si>
  <si>
    <t>TALLERES ELECTROMECANICOS MONGE, S.L.</t>
  </si>
  <si>
    <t xml:space="preserve"> https://www.talleresmonge.com/</t>
  </si>
  <si>
    <t>Este proyecto se basa en el principio de que cualquier maquinaria industrial, con el mantenimiento adecuado, puede durar de manera ilimitada. El mantenimiento es un tipo de gestión muy usada en el mundo industrial que se basa en la idea de que los objetos duran más si se les da un cuidado especial en lugar de dejarlos funcionar de manera indefinida hasta su rotura.  En esa línea, este proyecto tenía por objeto la puesta en marcha una nueva planta industrial para la fabricación de bobinas para motores eléctricos y mantenimiento de equipos industriales.
Las inversiones necesarias para llevar a cabo este proyecto incluyen: 
- Adquisición y adecuación de una nave industrial en Gijón, para albergar la nueva planta.
- Dotación de equipamiento para los trabajos de fabricación de bobinas, rebobinado y mantenimiento de transformadores industriales.
- Instalación eléctrica y de aire comprimido.</t>
  </si>
  <si>
    <t xml:space="preserve"> Nueva planta industrial para la fabricación de bobinas </t>
  </si>
  <si>
    <t>2021-M105</t>
  </si>
  <si>
    <t>Adquisición de nueva maquinaria</t>
  </si>
  <si>
    <t>MARMOLES NALON, S.L.</t>
  </si>
  <si>
    <t>2021-M104</t>
  </si>
  <si>
    <t>Adquisición de bienes de equipo, software y utillaje para dotar un nuevo hospital que inauguraremos en Gijón en los próximos meses</t>
  </si>
  <si>
    <t>Hospital Veterinario Menes S.L.</t>
  </si>
  <si>
    <t>El proyecto objeto de la subvención consistió en la adquisición de bienes de equipo, software y utillaje para dotar un nuevo hospital veterinario en Gijón en un terreno adquirido varios años antes de la subvención. El objetivo del proyecto era:
•	Modernizar las instalaciones, abriendo un centro más grande, mejor dotado técnicamente y con capacidad para generar más empleo.
•	Ofrecer a los clientes un aparcamiento, lo cual resultaba un problema.
•	Aportar nueva tecnología médica que permita estar a la vanguardia en el sector, tanto a nivel local como nacional.
 Este proyecto subvencionable fue para adquirir bienes de equipo y utillaje, equipamiento para los quirófanos, equipamiento para el área de hospitalización, equipamiento parael área de imagen diagnóstica, mobiliario, software y hardware y, se enmarca dentro de otro más amplio que incluia la construcción del edificio actual.</t>
  </si>
  <si>
    <t>Adquisición de bienes de equipo para el Hospital Veterinario Menes SL</t>
  </si>
  <si>
    <t>2021-M100</t>
  </si>
  <si>
    <t>Ampliación de operador logístico con el propósito de incrementar la capacidad de las instalaciones de deposito y almacenaje y una mayor zona de manipulacionantes del trincaje y carga para su envio final mediante transporte maritimo o carretera.</t>
  </si>
  <si>
    <t>GESTION DE TRINCAJES Y CARGAS ASTURIAS SLL</t>
  </si>
  <si>
    <t>Ampliación de operador logístico .</t>
  </si>
  <si>
    <t>2021-M079</t>
  </si>
  <si>
    <t>Grúa puente monorrail ar de 6300 kg</t>
  </si>
  <si>
    <t>MANUFACTURAS LUFER S.L.</t>
  </si>
  <si>
    <t>2021-M076</t>
  </si>
  <si>
    <t xml:space="preserve">Puesta en marcha de Tecur Metal S.L. con la implementación de inversiones tecnológicas que permitan destacar a la empresa de entre otras enmarcadas en el sector metal. Se contempla el curvado de precisión como una tecnología diferenciadora. </t>
  </si>
  <si>
    <t>https://tecurmetal.com/</t>
  </si>
  <si>
    <t xml:space="preserve">El principal objetivo del proyecto fue la puesta en marcha de la tecnología de curvado de perfiles complejos.
El proyecto aquí descrito contempla las principales inversiones para la puesta en  marcha de TECUR metal S.L., empresa de nueva creación. Se trata principalmente de inversiones tecnológicas que  han permitido a la empresa destacarse entre otras enmarcadas en el sector metal. Se contempla el curvado de precisión como una tecnología diferenciadora. A modo de resumen se muestran las principales inversiones: 
- Diseño CAD 3D:  tecnología para el diseño y la documentación técnica, que sustituye el dibujo manual por un proceso automatizado, permitiendoles  adaptarse a clientes que no sólo quieren recibir una pieza no sólo quieren recibir una pieza o un subconjunto formado por varias piezas, subconjunto formado por varias piezas, sino que desea que se le desarrolle la  ingeniería de las mismas.
- Máquina curvadora CNC: Curvadora de 3 rodillos motrices con rodillo superior curvador de accionamiento electrónico, entre centro rodillos inferiores variable de tres posiciones. nversiones:
-Equipo informático: estación de trabajo que soporte tanto el software CAD 3D como el software CAM de curvado.
- Software de diseño 3D: con el que realizar el diseño de las piezas curvadas así como de otras piezas asociadas. 
- Máquinas y herramientas auxiliares: se contempla en el proyecto la adquisición de la herramienta adicional requerida tanto manual como eléctrica.
</t>
  </si>
  <si>
    <t>Implantación curvadora CNC para perfiles complejos</t>
  </si>
  <si>
    <t>2021-M063</t>
  </si>
  <si>
    <t>Adquisición máquina IBF DCM 2500 destrucción de papel</t>
  </si>
  <si>
    <t>GIJONESA DE TRATAMIENTO DOCUMENTAL S.L.</t>
  </si>
  <si>
    <t>2021-M032</t>
  </si>
  <si>
    <t>Se corrige el empleo comprometido que es 1. El empleo creado también es 1</t>
  </si>
  <si>
    <t xml:space="preserve">Nueva clínica de fisioterapia y osteopatía. </t>
  </si>
  <si>
    <t>LAURA ARGÜELLES MOVILLO</t>
  </si>
  <si>
    <t>Apertura de  una nueva clínica de fisioterapia y osteopatía en un bajo comercial dónde poder combinar la terapia manual y  diferentes técnicas ajunto con la maquinaria más vanguardista, para poder llevar a cabo un buen diagnóstico y un tratamiento especializado para cada paciente.  El proyecto  consistió en adaptar el espacio para la actividad  y la asquisición de maquinaria cómo un ecógrafo, un equipo de fisioterapia invasiva, un equipo de radiofrecuencia, una lámpara infrarrojos, un equipo de electroterapia (corrientes), dos camillas hidráulicas, diverso mobiliario (mesa, silla despacho y sillas recepción, despacho y salas) y un equipo informático (Ordenador y multifunción).</t>
  </si>
  <si>
    <t>2021-M030</t>
  </si>
  <si>
    <t>Instalación de una plataforma barapodométrica</t>
  </si>
  <si>
    <t xml:space="preserve"> https://clinicajlmartinez.com/aparatologia-eficiente/</t>
  </si>
  <si>
    <t xml:space="preserve">El proyecto consiste en la Instalación de una plataforma barapodométrica. Se trató de incorporar nuevos medios de diagnóstico, incorporando una maquinaria no disponible en esos momentos en clínicas asturianas, para desarrollar un proyecto de análisis biomecánico. Para ello se realizó una pequeña adaptación en el local existente para instalación del equipo. El objetivo de este proyecto es el desarrollo de una guía de práctica clínica extensa para la atención individualizada de las lesiones del aparato locomotor. El resultado de esta doble labor de I+D+I y atención primaria se denomina Método ABI ( Método de Análisis Biomecánico Individualizado ), y que tras su desarrollo quedará plasmado en un único documento en soporte físico o digital para su posible divulgación científica.
La inversiones necesarias para instalar el laboratorio de biomecánica incluyen la pequeña adaptación en el local y la adquisición de equipamiento maquinaria y spftware necesarios.
</t>
  </si>
  <si>
    <t>2021-M025</t>
  </si>
  <si>
    <t>Incorporacion de una maquina puntera de impresion industrial, la EFI VUTEK 32 H, y la incorporacion de dos maquinas accesorias para el termosellado perimetral de lonas y para la colocacion de ojales perimetrales.</t>
  </si>
  <si>
    <t>https://cizerodigital.com/subvenciones-concedidas/</t>
  </si>
  <si>
    <t>Cicero Digital es una empresa familiar constituida en 1998 en Oviedo que cuenta con décadas de experiencia y evoluciona continuamente a través de la incorporación de maquinaria con una tecnología avanzada.                                      Su proyecto se basó en la modernización y diversificación del departamento de impresión en gran formato. La clave de este proyecto estuvo en la incorporación de una máquina puntera de impresión industrial, la EFI Vutek 32H, y la incorporación de dos máquinas accesorias para el termosellado perimetral de lonas y para la colocación de ojales perimetrales. El objetivo de esta inversión en equipamiento fue potenciar la sección de gran formato, de manera que se pueda diversificar la producción, ofertando productos que anteriormente no se podían hacer, por la limitación de la maquinaria actual, y mejorando la competitividad de la empresa, incrementando la
producción de ciertas tiradas de productos.
La máquina EFI Vutek 32H cuenta con una tecnología innovadora, muy avanzada en el curado (secado) por LED propia de la marca EFI y tecnología Ultradrop. Esta tecnología innovadora permite ofrecer soluciones novedosas a las necesidades de los clientes, con una importante disminución de los costes.</t>
  </si>
  <si>
    <t xml:space="preserve">Modernización y diversificación  del departamento de impresión en gran formato. </t>
  </si>
  <si>
    <t>2021-M016</t>
  </si>
  <si>
    <t>ADRIAN ACERETE PACHECO</t>
  </si>
  <si>
    <t>https://www.clinicaacerete.es/</t>
  </si>
  <si>
    <t xml:space="preserve">El objetivo principal de este proyecto fue aportar en esta zona/barrio el servicio de podología, inexistente hasta el momento.El proyecto consistió en la adquisición de mobiliario y equipamiento para adaptar el local a la nueva actividad cómo un sillón podológico, un compresor herbitas, lámpara faro-edi, un autoclave STE 18 L, un ordenador, una impresora, material taller plantillas, mesas, sillas, dispensadores de gel...
 El objetivo a largo plazo es la formación de un equipo multidisciplinar dentro de un mismo centro, enfocado al tratamiento, rehabilitación, prevención y mejora del rendimiento de todos los pacientes, trabajando más específicamente con deportistas. </t>
  </si>
  <si>
    <t>Clínica podológica con posibilidad de incorporar otros profesionales</t>
  </si>
  <si>
    <t>2021-M004</t>
  </si>
  <si>
    <t>Rehabilitación de un palacio existente en el pueblo Del Pino (Aller), para destinarlo a uso y explotación hotelera.</t>
  </si>
  <si>
    <t>INVERSIONES NOMAR, S.L.</t>
  </si>
  <si>
    <t>2021-0047</t>
  </si>
  <si>
    <t>Creación de un centro logístico destinado a abarcar mucho más que el simple movimiento y almacenamiento de mercancías, se potenciarán las tareas de planificación, ejecución y control del flujo continuo de los bienes, además de poder proporcionar información continúa, exclusiva e inmediata a los destinatarios y proveedores de todo el proceso, todo ello se enfoca hacia un claro carácter automatizado y totalmente digitalizado del trabajo que sea capaz de rentabilizar los tiempos de las tareas al máximo.</t>
  </si>
  <si>
    <t>TRANSPORTES FAMILIA PICO, S.L.</t>
  </si>
  <si>
    <t>https://grupopico.es/</t>
  </si>
  <si>
    <t xml:space="preserve">El proyecto se enfocó en la creación de un centro logístico aprovechando una antigua nave abandonada, así como su necesaria rehabilitación y acondicionamiento, en respuesta al crecimiento del comercio. 
El centro se diseñó para abarcar mucho más que el simple movimiento y almacenamiento de mercancías. Se planeó desde un enfoque y objetivo de apoyo y prestación de servicios auxiliares a la industria de toda la zona, permitiendo potenciar las tareas de planificación, ejecución y control del flujo continuo de los bienes, además de poder proporcionar información continúa, exclusiva e inmediata a los destinatarios y proveedores de todo el proceso. Todo ello se enfoca hacia un claro carácter automatizado y totalmente digitalizado del trabajo que sea capaz de rentabilizar los tiempos de las tareas al máximo. 
El proyecto abarcó la adquisición del terreno y la nave situada en la misma, su acondicionamiento y los bienes materiales necesarios. Se trata de una transformación total del terreno y la nave existente en la actualidad, que implica su adaptación a todas las tareas del proceso. </t>
  </si>
  <si>
    <t>Creación de una plataforma logística para el servicio auxiliar a la industria.</t>
  </si>
  <si>
    <t>2021-0010</t>
  </si>
  <si>
    <t>Instalación de una línea de procesado de residuos de aluminio para su reciclaje en las actuales instalaciones de Alusigma. La línea constará de un molino fragmentador, cribas, desferradores, tromel, separador por corrientes de foucault y separador de rayos X. Con este equipo se pretende mejorar la composición de la materia prima de alusigma mediante procesos de fragmentación, separación de materiales impropios y clasificación de las distintas chatarras de aluminio, a fin de conseguir unos materiales limpios, de alta homogeneidad y pureza que permitan producir nuevos productos de mayor valor añadido destinados al sector de la automoción sostenible.</t>
  </si>
  <si>
    <t>ALUSIGMA, S.A.</t>
  </si>
  <si>
    <t>El proyecto consiste en la instalación de una linea de procesado de residuos de Aluminio para su reciclaje en las actuales instalaciones de producción de aleaciones de Aluminio de Alusigma. La linea consta de un molino fragmentador, cribas, desferradores, tromei, separador por corrientes de Foucault y separador de Rayos X.
El fin de este proyecto fue mejorar la composición de la materia prima de Alusigma mediante procesos de fragmentación, separación de materiales impropios y clasificación de las distintas chatarras de Aluminio, a fin de conseguir unos materiales limpios, de alta homogeneidad y pureza que permitan producir nuevos productos de mayor valor añadido destinados al sector de la automoción sostenible, as como mejorar la eficiencia energética de su proceso productivo y reducir sus emisiones a la atmósfera y su producción de residuos.</t>
  </si>
  <si>
    <t>Producción de aleaciones de aluminio de segunda fusión</t>
  </si>
  <si>
    <t>2021-0007</t>
  </si>
  <si>
    <t>Realidad virtual</t>
  </si>
  <si>
    <t>Sergio Alvarez Argüelles</t>
  </si>
  <si>
    <t>2018-M161</t>
  </si>
  <si>
    <t>Adaptación de hotel para centro asistencial sanitario de personas de terceras edad, especializado en daño cerebral (Alzheimer)</t>
  </si>
  <si>
    <t>Mejora Residencial S.L.</t>
  </si>
  <si>
    <t xml:space="preserve"> https://mejoraresidencial.com/</t>
  </si>
  <si>
    <t>El proyecto consistió en adaptar el Hotel Kris, ubicado en el complejo urbanístico de ParqueAstur, para convertirlo en un centro asistencial sanitario especializado en daño cerebral, especialmente en Alzheimer. Para ello, se llevaron a cabo modificaciones en las estancias, anchos hospitalarios y recorridos verticales, ajustándolos al sistema hospitalario. Además, se incorporaron bienes de equipo y mobiliario adecuados para garantizar la funcionalidad y el confort del centro asistencial.  El inmbueble se dividió para crear dos residencias de 105 y de 106 personas de capacidad con espacios independientes habilitados para los usuarios de uno u otro espacio. El centro consta de dos ascensores de nueva construcción, una cocina completamente instalada, lavandería y otros bienes de equipo.  
El centro se prevé que cubre parte de la demanda en la zona central de Asturias, especialmente para las áreas cercanas de Avilés (78.000 habitantes) a 4 km, Oviedo (220.000 habitantes) a 20 km y Gijón (270.000 habitantes) a 17 km.</t>
  </si>
  <si>
    <t>Centro asistencial para personas mayores en Trasona</t>
  </si>
  <si>
    <t>2018-M158</t>
  </si>
  <si>
    <t>1 puesto indefinido; Eficiencia energética/Ahorro de energía</t>
  </si>
  <si>
    <t>Rehabilitación de edificio para convertirlo en pensión de turismo</t>
  </si>
  <si>
    <t>Nortavelinos S.L.</t>
  </si>
  <si>
    <t>2018-M146</t>
  </si>
  <si>
    <t>Reutilización de residuos y materiales contaminantes</t>
  </si>
  <si>
    <t>Centro de I+D+I especializado en el campo de residuos industriales y de suelos contaminados enfocado a su revalorización y su gestión óptimal, bien para su posible reutilización o para una eliminación más eficiente</t>
  </si>
  <si>
    <t>Recuperacion y Renovacion, S.L.</t>
  </si>
  <si>
    <t>2018-M145</t>
  </si>
  <si>
    <t>Construcción de una eco-aula dentro de una granja ecológica</t>
  </si>
  <si>
    <t>SAT Los Caserinos</t>
  </si>
  <si>
    <t>No he encontrado nada de la eco-aula … tienen visitas a grupos escolares, de campamentos y asociaciones pero…</t>
  </si>
  <si>
    <t>El presente proyecto construirá un ECO-AULA para mejorar, potenciar y modernizar el programa de visitas escolares a las instalaciones de la granja Los Caserinos. 
La granja familiar Los Caserinos se remonta a cuatro generaciones elaborando productos lácteos totalmente artesanales y de alta calidad, siendo una granja pionera en producción ecológica. 
Este proyecto de construcción de un ECO-AULA  pretende mejorar las instalaciones para fortalecer las actividades de concienciación ambiental que se realizan desde 2009. El ECO-AULA será un espacio de formación orientado a escolares de 6 a 12 años donde se reforzará el programa de visitas a la granja con un soporte audio-visual que potenciará aprendizajes previos de tipo didáctico, pedagógico y social. Todo ello ayudará a los escolares a valorar el entorno rural de una forma mucho más especial, algo que se podrá ver reflejado en su vida cotidiana después de la visita.
El proyecto incluirá los trabajos de acondicionamiento de un espacio de la granja para su adecuación como aula de formación, incluyendo trabajos de obra civil e instalación eléctrica. La obra se realiza dentro de un conjunto de construcciones. Dentro de éstas construcciones se encuentra una zona independiente con una superficie construida de 418 m2. Se destinarían para la ECO-AULA 100,37 m2 y el resto de metros (hasta los 135m2) para la instalación de dos aseos y un hall.</t>
  </si>
  <si>
    <t>2018-M143</t>
  </si>
  <si>
    <t>Empleo Comprometido: 4,13, creado: 3 (aunque finalmente se le revoca la ayuda)</t>
  </si>
  <si>
    <t xml:space="preserve">Creación de una guarderia y una ludoteca con el proyecto de utilizar la metodología Montessori para el aprendizaje </t>
  </si>
  <si>
    <t>Ana Maria Mora Paz</t>
  </si>
  <si>
    <t>2018-M142</t>
  </si>
  <si>
    <t>Adquisición de un terreno para ampliar las instalaciones de una empresa de preimpresión y reparación de soporte; Se creará una nave destinada a almacén de materias primas y nuevos departamentos de producción.</t>
  </si>
  <si>
    <t>Cicero Digital es una empresa dedicada a ofrecer soluciones para la impresión digital, cartelería de gran formato, impresión en  todo tipo de soportes, trabajos de alta calidad fotográfica, decoración de escaparates e interiores, stands, edición de libros. El objetivo de la inversión fue adquirir un terreno colindante a la ubicación de la empresa, para ampliar la nave, mediante la construcción tanto de una planta baja como de un altillo. De manera, que pudieran cubrir la necesidad de un almacén de materias primas en ese momento , que les permitiera abaratar los costes y mejorar su competitividad. Además, de posibilitar la creación en un futuro  de un nuevo departamento de packaging .</t>
  </si>
  <si>
    <t xml:space="preserve"> Ampliación de las instalaciones de Cizero Digital con compra de un terreno y la construcción de nave.</t>
  </si>
  <si>
    <t>2018-M141</t>
  </si>
  <si>
    <t>Instalación de una nueva planta de recuperación de refractario para una empresas reconocida como Gestor de Residuos No Peligrosos</t>
  </si>
  <si>
    <t>Chamota S.L.</t>
  </si>
  <si>
    <t xml:space="preserve">Chamota S.L., una empresa especializada en la recuperación de material refractario desde 1975, cuenta con instalaciones en Veriña-Gijón. Comprometida con la mejora continua de su organización, la empresa planeó expandir sus operaciones con la apertura de una nueva Planta de Recuperación de Refractario. Para ello  la empresa adquirio una parcela situada en Tabaza-Carreño dentro de los terrenos de ArcelorMittal. En esta parcela no existía ninguna infraestructura automatizada para realizar el proceso de reciclado.                                                                                                                                                                                                                                                                                                                                                  El Proyecto consistió en la realización de obra civil y acometidas necesarias para la instalación  de la planta. El coste de la obra civil  incluyó en su presupuesto el equipo de clasificado y triaje consistente en: tolva, alimentador, cintas transportadoras, tambor y separador magnético y cabina de triaje. También incluye la instalación eléctrica de control y automatización consistente en: cuadro de distribución para alimentación y control de los equipos, con variadores de velocidad y todas las protecciones y elementos necesarios para el funcionamiento de la planta. </t>
  </si>
  <si>
    <t>Planta de recuperación de material refractario.</t>
  </si>
  <si>
    <t>2018-M131</t>
  </si>
  <si>
    <t>Servicio de gestión de una flota de vehículos 100% eléctricos mediante alquiler por uso. Servicio de coche compartido (CARSHARING), con fuente de energía renovable.</t>
  </si>
  <si>
    <t>Astur Sercomar, S.L.U.</t>
  </si>
  <si>
    <t>https://www.guppy.es/asturias/</t>
  </si>
  <si>
    <t>El proyecto consitió en la creación del servicio de carsharing . El objetivo fue crear un servicio de gestión de una flota de vehículos 100% eléctricos mediante alquiler por uso, que se mide en kilómetros, permitiendo también el alquiler diario del mismo por parte del cliente.  A grandes rasgos el proyecto requería una inversión en, como mínimo, el desarrollo de una plataforma informática desarrollada para gestionar el servicio, el desarrollo de una app para el usuario y/o consumidor final para facilitar al máximo el uso y gestión del servicio, un centro de control informático que permita supervisar la ubicación y estado de los vehículos en todo momento ,la adquisición/alquiler de una flota de vehículos, una base de operaciones para la recarga y limpieza, y, por último, un equipo humano que se dedique a la explotación y ejecución del negocio.</t>
  </si>
  <si>
    <t>Creación de línea de negocio carsharing con plataforma de gestión para flota de vehículos 100% eléctricos y fuente de energía renovable</t>
  </si>
  <si>
    <t>2018-M123</t>
  </si>
  <si>
    <t>Incorporación de un sistema de tratamiento de gases de combustion para una empresas de pompas fúnebres</t>
  </si>
  <si>
    <t>Funeraria Gijonesa S.A.</t>
  </si>
  <si>
    <t xml:space="preserve">El presente proyecto de inversión supone para FUNERARIA GIJONESA la mejora en la eficiencia de los procesos de cremación, gracias a la incorporación de un sistema de tratamiento de gases de combustión, basado en el proceso Dry Scruby Technology. Este sistema está diseñado para absorber metales pesados -mercurio, dioxinas y furanos-, así como para reducir los gases ácidos que se encuentran en el flujo procedente de la combustión y asegurar el cumplimento de la normativa de emisiones a la atmósfera. Además, la incorporación de este equipo y su puesta a disposición permite a la empresa incrementar la capacidad de cremación. </t>
  </si>
  <si>
    <t>Incorporación de tecnología avanzada en sistemas de filtración</t>
  </si>
  <si>
    <t>2018-M120</t>
  </si>
  <si>
    <t>Modernización de las infraestructuras de una empresa de estructuras de madera sostenible</t>
  </si>
  <si>
    <t>Cevisa Viviendas Eficientes en Madera, S.L.</t>
  </si>
  <si>
    <t>El proyecto consiste en la modernización de CEVISA, adaptandose a las nuevas tendencias internacionales de construcción eficiente energéticamente (Edificios de consumo casi nulo, Passivehouse, etc.) y con impactos medioambientales y socioeconómicos positivos, mediante la mejora y modernización de los productos ofertados y de los procesos productivos.
Las actuaciones necesarias para este proyecto incluyen  la mejora de las instalaciones (naves y oficinas), la mejora de maquinaria y equipos (maquinaria de corte y mecanización de madera) y la mejora de programas informáticos de cálculo, diseño, etc</t>
  </si>
  <si>
    <t>Modernización de la actividad productiva y mejora de los procesos de industrialización de cevisa</t>
  </si>
  <si>
    <t>2018-M117</t>
  </si>
  <si>
    <t xml:space="preserve">Instalación de un sistema de detección y extinción de incendios para una empreza de transformación de alguas marinas para producir agar-agar, y dotarla de una nueva caldera para aprovechar el calor de los gases de escape de los motores, lo que reducirá el consumo de gas natural.  </t>
  </si>
  <si>
    <t>Industrias Roko, S.A.</t>
  </si>
  <si>
    <t>El proyecto consistió dotar a los almacenes de una empresa de transformación de algas marinas de producto terminado, a los centros de transformación y a las dos cogeneraciones de un moderno sistema de detección, alarma y extinción automática de incendios que disminuyan y palien el riesgo de incendios que paralizarían la producción. Asimismo, se instaló un economizador a la salida de la caldera de la Cogeneración-1 para aumentar el aprovechamiento de calor de los gases de escape de los motores, se incorporaron dos aerogeneradores más potentes en dicha cogeneración, y se instaló un nuevo turbocompresor en la Cogeneración-2 para sustituir al antigüo.</t>
  </si>
  <si>
    <t>Detección y extinción de incendios. Economizador Caldera. Aerotermos.Turbocompresor</t>
  </si>
  <si>
    <t>2018-M114</t>
  </si>
  <si>
    <t>Reforzar la capacidad científico-técnica y de fabricación de la empresa, especializada en la fabircación de instrumentos y suministros médicos y odontológicos</t>
  </si>
  <si>
    <t>Termosalud S.L.</t>
  </si>
  <si>
    <t xml:space="preserve">El presente proyecto tenía por objetivo reforzar la capacidad científico-técnica y de fabricación de la empresa, a través de la realización de diferentes inversiones imprescindibles para su consecución.         
El proyecto contempla, por un lado, inversiones en equipamiento tanto de diagnóstico  como de tratamiento, tanto propio como de terceros para las Unidades Clínicas con el fin de testar la combinación de terapias y la mejora comparativa respecto a nuestra competencia y otros tratamientos sustitutivos. Las inversiones también incluyen la fabricación de equipos propios desarrollados por TEMOSALUD, los cuales serán utilizados exclusivamente para estudios y terapias innovadoras.
Por otro lado, el proyecto contemplaba una inversión en tecnología, maquinaria y utillaje destinada tanto a la fabricación de nuevos productos como a mejorar los procesos de diseño, verificación, trazabilidad y control de la calidad de los procesos y productos fabricados.
Adicionalmente se contemplan inversiones relacionadas con la mejora de las condiciones de trabajo, como la ampliación del sistema de aspiración en la sección de carpintería para reducir riesgos de salud debido al polvo y las partículas, y la mejora del almacenamiento de productos químicos peligrosos. 
Por último, se acometerá una mejora en el sistema de control de accesos del personal.                                  </t>
  </si>
  <si>
    <t>Proyecto de creación de unidades clínicas y mejora productiva</t>
  </si>
  <si>
    <t>2018-M110</t>
  </si>
  <si>
    <t>contratos indefinidos</t>
  </si>
  <si>
    <t>Nueva línea de fabricación de protesis dentales</t>
  </si>
  <si>
    <t>Luckler Medical S.L.</t>
  </si>
  <si>
    <t>LUCKLER MEDICAL SL. es una empresa enmarcada en sector de la fabricación de productos sanitarios, en particular en la fabricación de estructuras dentales a medida por tecnología CAD/CAM. La empresa ofrece sus servicios a laboratorios protésicos tanto nacionales como internacionales que externalizan sus trabajos buscando tener acceso a la tecnologia digital CAD/CAM.                                                                                                                                                           El objetivo de este proyecto fue incorporar una nueva línea de fabricación de prótesis dentales a medida, utilizando procedimientos de sinterizado láser de metal basados en las nuevas tecnologías de fabricación aditiva, que
complementara las  líneas existentes de fabricación por fresado CAD/CAM (fabricación sustractiva) y que permita una mayor orientación y adaptación a las necesidades del mercado. Así, la nueva línea de fabricación por sinterizado que complementa el potencial de las ya existentes, supuso una apuesta tecnológica de la empresa y les permitía crecer abordando nuevos segmentos del mercado CAD/CAM. La incorporación de la tecnología de sinterizado, mucho más eficiente que el fresado, les permite ofrece una gama completa de calidades en metal (metal fresado, metal sinterizado y metal sinterizado/fresado), asi como crecer abordando nuevos segmentos del mercado CAD/CAM y mejorar la eficiencia productiva y por tanto la competitividad.</t>
  </si>
  <si>
    <t>Incorporación de nueva línea de fabricación de estructuras dentales a medida por sinterizado láser.</t>
  </si>
  <si>
    <t>2018-M109</t>
  </si>
  <si>
    <t>Rehabilitación de un edificio para su explotación como apartamentos turísticos. Se implementarán medidas de ahorro energético y sostenibilidad.</t>
  </si>
  <si>
    <t>Cimadevilla Green S.L.</t>
  </si>
  <si>
    <t xml:space="preserve">El Proyecto Cimadevilla Green se encuadra dentro del sector servicios en la rama de hospedaje y ofrecerá servicios de alojamiento en un edificio de Apartamentos Turísticos de 2 llaves, en Cimadevilla,  con capacidad para 3-5 personas por apartamento.  El proyecto consistió en la consolidación y rehabilitación de un edificio, incluyendo maquinaria ( lavadoras, secadora,aspirador ...) el mobiliario y la decoración, para su explotación como apartamentos turísticos. Se implementaron medidas de ahorro energético y sostenibilidad cómo la instalación de aireadores en los grifos o de luminarias LED.Los apartamentos están totalmente equipados y cuentan  con zona de estar comedor y cocina completa y un dormitorio. </t>
  </si>
  <si>
    <t>CIMADEVILLA GREEN: Apartamentos turísticos de dos llaves en Cimadevilla (Gijón)</t>
  </si>
  <si>
    <t>2018-M106</t>
  </si>
  <si>
    <t>Ampliación y modernización de centro veterinario</t>
  </si>
  <si>
    <t>El proyecto objeto de la subvención, consistió en la adquisición de bienes de equipo, software y utillaje para dotar un nuevo hospital en vías de construcción en 2018 en un terreno adquirido previamente.
 El objetivo de este proyecto era:
* Ampliar y modernizar las instalaciones, abriendo un centro más grande, mejor dotado técnicamente y con capacidad de generar más empleo.
* Ofrecer a los clientes un parking, 
* Aportar nueva tecnología médica permitiendoles estar a la vanguardia en el sector, tanto a nivel local como nacional.</t>
  </si>
  <si>
    <t>Hospital Veterinario Menes</t>
  </si>
  <si>
    <t>2018-M105</t>
  </si>
  <si>
    <t>Ampliación de instalaciones de una empresa de tratamiento, descontaminación y valorización de residuos. Edificación de una nueva nave con puente grua para la gestión de grandes transformadores eléctricos.</t>
  </si>
  <si>
    <t>Aprochim Getesarp Rymoil S.A.</t>
  </si>
  <si>
    <t>https://a-g-r.es/servicios/valorizacion-de-catalizadores/</t>
  </si>
  <si>
    <t xml:space="preserve">Los transformadores, al final de su vida útil, pasan a ser considerados como residuo peligroso. La actividad a desanollar por AGR radica en la recuperación de los metales contenidos en los transformadores contribuye a la gestión sostenible de las materias. El proyecto consistió en la construcción de una nueva nave, anexa a dos previamente existentes, con objeto de incrementar la altura libre de manipulación de grandes transformadores y dotarla de un puente grúa de capacidad de 16 toneladas, que permite el desencubado y desmantelamiento de los mismos para ser sometidos al tratamiento de descontaminación.
</t>
  </si>
  <si>
    <t>Ampliación de instalaciones para la gestión de grandes transformadores eléctricos de potencia.</t>
  </si>
  <si>
    <t>2018-M077</t>
  </si>
  <si>
    <t>Reforma de viviendas para transformar en apartamentos turísticos</t>
  </si>
  <si>
    <t>Manuel Meana Canal, S.L.</t>
  </si>
  <si>
    <t>2018-M073.jpg</t>
  </si>
  <si>
    <t>Los apartamentos turísticos, por razones de espacio, de relación habitabilidad/precio y de versatilidad para los usuarios, son alojamientos con un alto atractivo para el cliente de tipo familiar.  La adquisición y rehabilitación de estos alojamientos permitó a Hotel Asturias ampliar la oferta de sus servicios fortleciendo su capacidad para atraer  al cliente de tipo familiar y extranjero . Las 4 viviendas se ubican en el ediflcio colindante al del hotel, en el número 4 de la calle Acacia, al lado de la Plaza Mayor. El proyecto incluye costes de obra, inversiones en maquinaria (frigoríficos, hornos...) e instalaciónes ( electrica, gas, calefacción...), mobiliario, decoración etc.</t>
  </si>
  <si>
    <t>Rehabilitación de 4 viviendas para convertir en apartamentos turísticos</t>
  </si>
  <si>
    <t>2018-M073</t>
  </si>
  <si>
    <t>Adquisición de un centro mecanizado para una empresa en proceso de reconversión, tras la reestructuración del sector del carbón, pasando de una actividad de construcción de maquinaria para el sector del carbón al sector metal mecánico;</t>
  </si>
  <si>
    <t>Altameca, S.L.</t>
  </si>
  <si>
    <t>Adquisición de un centro mecanizado para una empresa en proceso de reconversión</t>
  </si>
  <si>
    <t>2018-M025</t>
  </si>
  <si>
    <t>empleos para jóvenes, femininos y mayores de + 45 años</t>
  </si>
  <si>
    <t>AMPLIACION TALLER FABRICACIÓN ESTRUCTURAS METÁLICAS Y FERRALLAS</t>
  </si>
  <si>
    <t>Sistemas Integrales Constructivos San Lorenzo, S.L.</t>
  </si>
  <si>
    <t>Ampliación taller de fabricación de estructuras metálicas y ferrallas</t>
  </si>
  <si>
    <t>2018-M024</t>
  </si>
  <si>
    <t>Construcción de una planta de almacenamiento y transferencia de residuos de construcción, en la que no solo se almacenarán los residuos, sino que se realizará una preselección para reducir y optimizar la cantidad de residuos transportados  hasta COGERSA. Objetivo de disminuir el transorte y emisiones contaminantes</t>
  </si>
  <si>
    <t>Contem Gestion Verde, S.L.</t>
  </si>
  <si>
    <t>https://www.contemcontenedores.com/</t>
  </si>
  <si>
    <t>El proyecto, una planta de transferecnia de residuos, surge por el continuo crecimiento en clientes y facturación, y consecuentemente el aumento de los viajes al Gestor Final de los Residuos (COGERSA) . Debido a la necesidad de optimizar tiempos y al mismo tiempo consumos de combustible se decide construir una planta de almacenamiento y transferencia de residuos de construcción, en la que no solo se almacenarán los residuos, sino que se realizará una preselección para reducir y optimizar la cantidad de residuos transportados  hasta COGERSA.   Las actuaciones del proyecto incluyen la adquisición de una bascula de pesaje de residuos de entrada y salida de RCDs y el Almacén de Residuos de Construcción.</t>
  </si>
  <si>
    <t>Planta de Transferencia de Residuos</t>
  </si>
  <si>
    <t>2018-M022</t>
  </si>
  <si>
    <t>Adecuación de nave industrial para comercio al por mayor de artes gráficas</t>
  </si>
  <si>
    <t>Avirsa Norte SLU</t>
  </si>
  <si>
    <t>https://www.avirsa.com/quienes-somos/</t>
  </si>
  <si>
    <t xml:space="preserve">Adquisicion y acondicionamiento de nave industrial para el ejercicio de la actividad de comercio de una empresa dedicada al corte, manipulacion rotulacion y entrega de productos para artes graficas además de la adquisisción de bienes de equipo: Ordenadores e impresoras material informático.
</t>
  </si>
  <si>
    <t>Adquisición de nave industrial para el desarrollo de actividad en el sector de artes gráficas.</t>
  </si>
  <si>
    <t>2018-M015</t>
  </si>
  <si>
    <t>Implantación de clínica odontologia</t>
  </si>
  <si>
    <t>Cristina García Sánchez</t>
  </si>
  <si>
    <t>Instalación de una clínica dental en un bajo comercial con régimen de arrendamiento con la acometida de reformas para adaptarlo a la nueva actividad.  Se trata de un proyecto sanitario bajo la denominación de "Studio Dental Doctora Cristina Garcia. La práctica clinica que se va a desarrollar es de odontologia multidisciplinar y engloba distintas especialidades odontológicas como odontopediatria y atención a personas con necesidades especiales, implantologia y periodoncia, odontología conservadora, endodoncia, prostodoncia y ortodoncia.
El proyecto de inversión incluye la reforma del local  y la adquisición de bienes de equipo como un autoclave, un sillón dental, rayos X intraoral, extintores, teléfono...</t>
  </si>
  <si>
    <t>Clínica odontologia</t>
  </si>
  <si>
    <t>2018-M006</t>
  </si>
  <si>
    <t>Rehabilitación de un local en un espacio de simulación de carreras de coche de competición (entretenimiento)</t>
  </si>
  <si>
    <t>Bruno Siguenza Carril</t>
  </si>
  <si>
    <t>2018-M005</t>
  </si>
  <si>
    <t>Adecuación de local y compra de material para gabinete odontológico y podología</t>
  </si>
  <si>
    <t>Alicia Sanchez Varela</t>
  </si>
  <si>
    <t>El proyecto consistió en la adecuación de un local para la actividad de gabinete odontológico y podología, incluyendo la instalación completa de electricidad, fontanería, calefacción, tabiques y suelos, así como la adquisición de maquinaria y mobiliario</t>
  </si>
  <si>
    <t>Tratamientos médicos y odontológicos</t>
  </si>
  <si>
    <t>2018-M003</t>
  </si>
  <si>
    <t>Tratamiento y valorización de catalizadores agotados</t>
  </si>
  <si>
    <t>AGR Catalysts Recovery S.A.</t>
  </si>
  <si>
    <t>https://agrcatalysts.com/en/</t>
  </si>
  <si>
    <t xml:space="preserve">El proyecto  se centra en la Gestión y Tratamiento de Catalizadores Agotados, procedentes de procesos químicos, para la valorización de metales contenidos en ellos. Constituye una nueva actividad, sin precedentes en España, que presenta una serie de características principales:
La actividad parte del desarrollo de una labor previa de I+D llevada a cabo en Asturias entre la empresa AGR (capital mayoritario de la nueva sociedad AGR CR) y un Centro Tecnológico ubicado también en la región (ITMA). Ello ha permitido desarrollar tecnología propia para abordar el proceso de tratamiento.
La inversión propuesta se centró fundamentalmente en la adquisición de nuevos equipos destinados al proceso. El proyecto  se ubica en una nave, ya existente en su moemento, dentro de las actuales instalaciones de la empresa Aprochim-GetesarpRymoil, S.A. (AGR), en su parcela ubicada en el Polígono de Logrezana, s/n, 33439, La Granda- Carreño (Asturias). 
La línea de proceso se basa en lograr la extracción del carbón y azufre contenido en el catalizador mediante un proceso combinado de gasificación, para la separación en fase gas de los compuestos orgánicos y calcinación para pasar los metales de forma de sulfuros a forma de óxidos. A continuación, se realiza una oxidación controlada y una neutralización y lavado de los gases generados. </t>
  </si>
  <si>
    <t>2018-0062</t>
  </si>
  <si>
    <t>No se aportan datos sobre el tipo de empleo</t>
  </si>
  <si>
    <t>Ampliación fábrica de productos gastronómicos de alta calidad</t>
  </si>
  <si>
    <t>Yatecomere S.L.</t>
  </si>
  <si>
    <t>https://yatecomere.es/               https://yatecomere.es/subvenciones/</t>
  </si>
  <si>
    <t xml:space="preserve">Yatecomeré es una empresa  dedicada a elaborar productos gastronómicos principalmente de IV Gama y dirigidos al canal HORECA. También productos alimentarios (platos cocinados y productos ultracongelados de alto valor añadido) para particulares.  El proyecto consistió en  la ampliación de una edificación industrial existente y la adaptación de locales de dicha edificación para la fabricación de productos gastronímicos de alta calidad por parte de la  firma centrada en restauración de alta gama Yatecomeré.                                                                                                                                                                                                                                                                                                                                                                                                            El proyecto de inversión incluó la construcción de una planta procesadora, que se instalará anexa a la ya existente, y que por motivos propios de la actividad y su certificación se ha diseñado alrededor de la cámara frigorífica central.  El proyecto contempla así mismo la adquisición de maquinaria para establecer una nueva línea de produción automatizando procesos, y aumentando la capacidad productiva de la compañía para poder abasteer una demanda creciente de sus clientes.  Además de la instalación de los equipos necesarios para la perfecta ejecución de la actividad, el proyecto incluye los suministros de energía, vapor, etc… para el funcionamiento de los diferentes equipos.   
La planta se centra en producir productos elaborados sin conservantes y de forma natural, elaborados con el mayor standard de calidad, gracias a innovadoras técnicas y el más alto rigor a nivel higiénico sanitario, para lo que se contará con las certificaciones de más alto calado internacional como la BRC e IFS.  
</t>
  </si>
  <si>
    <t>Ampliación de industria agroalimentaria en Morcín</t>
  </si>
  <si>
    <t>2018-0056</t>
  </si>
  <si>
    <t>Incremento capacidad productiva y seguridad que incluye la compra de nuevos equipos informáticos y nuevo software</t>
  </si>
  <si>
    <t>Perfilados del Norte, S.A.</t>
  </si>
  <si>
    <t>2018-0054</t>
  </si>
  <si>
    <t>Es un tipo de reciclaje innovador y que puede beneficiarse del sector naval de Gijón. Se desconoce el tipo de empleo a crear.</t>
  </si>
  <si>
    <t>Construcción de una planta de reciclaje naval</t>
  </si>
  <si>
    <t>DDR VESSELS XXI, S.L.</t>
  </si>
  <si>
    <t>https://ddr-vessels.com/</t>
  </si>
  <si>
    <t xml:space="preserve">El proyecto consiste en construir y poner en marcha una planta de reciclaje naval basada en las legislaciones nacionales, europeas e internacionales actuales y cumpliendo a rajatabla con las condiciones planteadas en la Autorización Ambiental Integrada AAI-106/2014 otorgada al proyecto en fecha 28 de julio de 2016.  
Esta planta ubicada en 10.000m2 de terreno concesional en el Puerto de El Musel en Gijón (concesión nº 135), tiene como misión abrir el camino a una nueva industria en nuestra región y en España , centrandose en la Gestión de Residuos Peligrosos en lugar de en el desguace, demostrando la viabilidad económica de un reciclado moderno, sostenible y seguro de buques, mejorando la gestión de residuos y optimizando los procesos de descontaminación y desguace de buques fuera de uso.  En esa línea la planta también funciona como un centro  de pruebas para el estudio y desarrollo de instalaciones más grandes y de nuevas tecnologías que darán un cambio definitivo y claro a la industria. Cuenta con un sistema de drenaje propio y una instalación para el tratamiento de agua incorporada, y la impermeabilización de sus 10.000 metros cuadrados , la empresa elimina cualquier riesgo de que se produzcan vertidos contaminantes al mar y aumenta su eficencia. 
El proyecto de inversión incluyo  una pequeña inversión en obra civil (acondicionamiento perimetral y accesos) y una fuerte inversión en instalaciones técnicas, maquinaria y utillaje.  
                                                                                                                                                                                                                                                                                                                                                                                                                                                                                                                      </t>
  </si>
  <si>
    <t>Planta de Descontaminación, Desmantelamiento y Reciclaje de Buques</t>
  </si>
  <si>
    <t>2018-0003</t>
  </si>
  <si>
    <t>60 empleos asociados a la ayuda</t>
  </si>
  <si>
    <t>Residencia de Mayores</t>
  </si>
  <si>
    <t>Carboneras</t>
  </si>
  <si>
    <t>04032</t>
  </si>
  <si>
    <t>Almería</t>
  </si>
  <si>
    <t>Ayuntamiento de Carboneras</t>
  </si>
  <si>
    <t>ELCT-2020-00059-E</t>
  </si>
  <si>
    <t>12 empleos asociados a la ayuda</t>
  </si>
  <si>
    <t>Recuperación y restauración ambiental de 400 hectáreas</t>
  </si>
  <si>
    <t xml:space="preserve">Este proyecto trata de recuperar medioambientalmente unas 400 hectáreas de suelos degradados por la Central Térmica de Carboneras, torres y líneas eléctricas, así como por otras industrias cercanas al término municipal. 
Una vez recuperados dichos suelos, se procederá a la repoblación forestal con plantas y arbolado autóctono regadas con aguas residuales procedentes de las lagunas de oxidación de la "Rellana del Torvisco"
Con la ejecución del proyecto se derivarán efectos económicos con la creación de nuevas empresas en el área del medioambiente y la recuperación de suelos degradados y contaminados. </t>
  </si>
  <si>
    <t>ELCT-2020-00050-E</t>
  </si>
  <si>
    <t>4 empleos asociados a la ayuda</t>
  </si>
  <si>
    <t>Centro Teletrabajo-Coworking</t>
  </si>
  <si>
    <t>ELCT-2020-00049-E</t>
  </si>
  <si>
    <t>Instalación de una clínica de fisioterapia</t>
  </si>
  <si>
    <t>ANTONIO CAYUELA HERNÁNDEZ</t>
  </si>
  <si>
    <t>2023-P218</t>
  </si>
  <si>
    <t>Construcción y explotación de un hotel de 5 estrellas</t>
  </si>
  <si>
    <t>AQABA DEVELOPMENTS SL</t>
  </si>
  <si>
    <t>2023-G004.jpeg</t>
  </si>
  <si>
    <t>https://www.diariodealmeria.es/finanzasyagricultura/carboneras-apuesta-reindustrializacion-contara-5_0_2000703781.html
https://www.europapress.es/andalucia/almeria-00350/noticia-adjudican-dos-millones-euros-dos-proyectos-empresariales-zonas-transicion-justa-carboneras-almeria-20240703163938.html</t>
  </si>
  <si>
    <t>El proyecto del Hotel ÁQABA se basa en la construcción y explotación de un hotel de cinco estrellas en Carboneras, Almería. Será gestionado por ÁQABA DEVELOPMENTS, SL, una sociedad constituida en 2021. Este hotel tendrá un enfoque innovador y sostenible, con un alto grado de digitalización y un fuerte compromiso con el respeto al medio ambiente. El proyecto busca impulsar la economía local tras el cierre de la central térmica de Carboneras y satisfacer la falta de oferta hotelera de lujo en la zona.
El hotel contará con 54 habitaciones y estará ubicado a menos de 150 metros de la playa. La inversión prevista supera los 8,5 millones de euros y se espera que genere más de 30 empleos directos, además de numerosos empleos indirectos. La iniciativa cuenta con el apoyo del Instituto de Transición Justa y los Incentivos Regionales, ya que se alinea con los objetivos estratégicos de la región de Andalucía de mejorar su oferta hotelera de alta calidad. El proyecto también está comprometido con la Agenda 2030 de la ONU y promueve un turismo responsable y sostenible.
El Grupo Agave, con un fuerte arraigo en Carboneras, es uno de los promotores del proyecto junto con el Grupo Atalaya. Ambos buscan diversificar sus actividades empresariales y contribuir al desarrollo socioeconómico de la zona, ofreciendo un nuevo mercado turístico de alto nivel que respete el entorno natural.</t>
  </si>
  <si>
    <t>2023-G004</t>
  </si>
  <si>
    <t>Mecanización y digitalización del proceso productivo</t>
  </si>
  <si>
    <t>AQUI SANTOÑA S.L.</t>
  </si>
  <si>
    <t>https://www.europapress.es/andalucia/almeria-00350/noticia-adjudican-dos-millones-euros-dos-proyectos-empresariales-zonas-transicion-justa-carboneras-almeria-20240703163938.html</t>
  </si>
  <si>
    <t>Este proyecto busca expandir la producción del "Carpaccio de Gamba Roja", un producto innovador y único en el mercado, desarrollado durante 8 años y que ha tenido gran éxito gastronómico. Se planea pasar de una producción artesanal a una semi-industrial mediante la mecanización y digitalización de los procesos, manteniendo un 50% de la producción artesanal para garantizar la calidad.
El proyecto incluye el alquiler de una nave industrial, la instalación de maquinaria para incrementar la producción y diversificar la oferta con otros productos marinos transformados en carpaccios. Se controlará la trazabilidad y se garantizará la higiene bajo las normativas alimentarias.</t>
  </si>
  <si>
    <t>2023-G002</t>
  </si>
  <si>
    <t>PLAZA PÚBLICA EN EL LLANO DE DON ANTONIO. Actividades al aire libre de los residentes</t>
  </si>
  <si>
    <t>https://www.diariodealmeria.es/provincia/carboneras-prolongara-paeo-maritimo-playa-corral_0_1706229981.html</t>
  </si>
  <si>
    <t xml:space="preserve">La barriada de El Llano de Don Antonio (Carboneras) es la de mayor población, y cubre un importante papel en la estructura interior del territorio.
Su plaza principal presenta una configuración abierta para los eventos, pero está poco adaptada y atractiva para atraer la vida social cotidiana de la localidad. 
El proyecto acondiciona dos parcelas municipales colindantes con la plaza para crear espacios confortables para la estancia y resolver problemas de servidumbres y de conexión con edificaciones.
Incorpora nuevo arbolado y vegetación, elementos de sombra, una fuente con sistema de depuración alimentado por energía renovable solar y luminarias solares.
La remodelación de este espacio se prevé que reactive la actividad comercial localizada en su proximidad.  </t>
  </si>
  <si>
    <t xml:space="preserve">Plaza pública en el llano de Don Antonio. </t>
  </si>
  <si>
    <t>2022-C257</t>
  </si>
  <si>
    <t xml:space="preserve">EGPE está desarrollando en terrenos de la ya clausurada Central Térmica Litoral de Almería, propiedad de ENDESA, una planta de hidrógeno renovable de 52 MW. El hidrógeno renovable producido mediante del proceso de electrólisis, unas 6.020 toneladas anuales, será transportando mediante una tubería dedicada hasta una planta de nueva construcción que sintetizará metanol verde, y que está   siendo promovida por GALP. </t>
  </si>
  <si>
    <t>Enel Green Power España S.L.</t>
  </si>
  <si>
    <t>https://elperiodicodelaenergia.com/proyecto-carboneras-almeria-recibe-15-millones-producir-hidrogeno-renovable/</t>
  </si>
  <si>
    <t xml:space="preserve">Planta de hidrógeno renovable </t>
  </si>
  <si>
    <t>PR-H2CVAL3-C1-2022-0027</t>
  </si>
  <si>
    <t>CASARE-LADIL-CHARCON. 'Para uso forestal, agroganadero (pastizales y castaños de producción) y monte (ambiental y producción de madera), y para uso recreativo de baja intensidad (sin especificar)</t>
  </si>
  <si>
    <t>Bierzo-Laciana</t>
  </si>
  <si>
    <t>24083</t>
  </si>
  <si>
    <t>Igüeña</t>
  </si>
  <si>
    <t>Para uso forestal, agroganadero (pastizales y castaños de producción) y monte (ambiental y producción de madera), y para uso recreativo de baja intensidad</t>
  </si>
  <si>
    <t>Casare-ladil-charcon.</t>
  </si>
  <si>
    <t>P03.C10.I01.P01.S003.03</t>
  </si>
  <si>
    <t>TORRE DE VILLAGATON. 'Ejecución de pequeñas infraestructuras de uso recreativo asociado a una variante del camino de Santiago por el Manzanal</t>
  </si>
  <si>
    <t>24170;24210</t>
  </si>
  <si>
    <t>Torre del Bierzo;Villagatón</t>
  </si>
  <si>
    <t>https://www.retema.es/actualidad/tragsa-restaurara-1000-hectareas-degradadas-mineria-leon</t>
  </si>
  <si>
    <t>Ejecución de pequeñas infraestructuras de uso recreativo asociado a una variante del camino de santiago por el manza</t>
  </si>
  <si>
    <t xml:space="preserve">Torre de villagaton. </t>
  </si>
  <si>
    <t>P03.C10.I01.P01.S003.02</t>
  </si>
  <si>
    <t>GRAN COTA FABERO. 'Para uso forestal, agroganadero (pastizales) y monte (ambiental y producción de madera), y para uso recreativo de baja intensidad (área de fósiles del Carbonífero y área recreativa – interpretativa), con ejecución de infraestructuras de uso público y educacionales, como reproducción de fósiles de gran formato aparecidos, carteles informativos, mesas interpretativas, senda peatonal y aparcamiento para vehículos</t>
  </si>
  <si>
    <t>24070;06019;24110</t>
  </si>
  <si>
    <t>Fabero;Berlanga;Páramo del Sil</t>
  </si>
  <si>
    <t>P03.C10.I01.P01.S003.01.jpg</t>
  </si>
  <si>
    <t>https://www.prtr.miteco.gob.es/es/proyectos/gran-corta-de-fabero.html</t>
  </si>
  <si>
    <t>Para uso forestal, agroganadero (pastizales) y monte (ambiental y producción de madera), y para uso recreativo de baja intensidad (área de fósiles del carbonífero y área recreativa – interpretativa), con ejecución de infraestructuras de uso público y educacionales, como reproducción de fósiles de gran formato aparecidos, carteles informativos, mesas interpretativas, senda peatonal y aparcamiento para vehículos. asimismo, el proyecto permitirá la puesta en marcha de diversos usos sostenibles del territorio tales como el forestal (repoblación para producción de madera), ganadero (pastizales) y otros como la creación de un aula paleobotánica ara recuperación de fósiles, la creación de recorridos educativos, mesas de interpretación, rutas de senderismo, etc.</t>
  </si>
  <si>
    <t>Gran corta fabero.</t>
  </si>
  <si>
    <t>P03.C10.I01.P01.S003.01</t>
  </si>
  <si>
    <t>Ampliación del Centro Rural de Innovación Educativa</t>
  </si>
  <si>
    <t>24110</t>
  </si>
  <si>
    <t>Páramo del Sil</t>
  </si>
  <si>
    <t>Ayuntamiento de Páramo del Sil</t>
  </si>
  <si>
    <t>https://www.elbierzodigital.com/miteco-centro-rural-paramo-sil/</t>
  </si>
  <si>
    <t>Construcción de dos nuevos edificios y seis bungalows para pernoctaciones en un área que requiere de urbanización y dotación de instalaciones básicas. el proyecto contempla la pavimentación de aceras y sendas peatonales, el tratamiento de los espacios verdes y la realización de una plaza de saneamiento para autocaravanas, generando tres empleos a tiempo completo en los nuevos espacios.</t>
  </si>
  <si>
    <t>Ampliación del centro rural de innovación educativa</t>
  </si>
  <si>
    <t>ELCT-2020-00098-E</t>
  </si>
  <si>
    <t>24070</t>
  </si>
  <si>
    <t>Fabero</t>
  </si>
  <si>
    <t>AYUNTAMIENTO DE FABERO</t>
  </si>
  <si>
    <t xml:space="preserve"> Restauración ambiental 
- Escombreras del grupo Río en el margen izquierda del Cúa, en el término municipal de Fabero del Bierzo (LEÓN): - La restauración ambiental de las instalaciones de residuos, escombreras del Grupo Río en la margen izquierda del Cúa, con códigos de inventario 126 II 3 005 y 126 II 3 006 - la restauración de las zonas de relleno o vertedero utilizadas en el conjunto de las actuaciones de restauración ambiental del río Cúa. - La adecuación de la infraestructura viaria próxima, con aquellos materiales más adecuados procedentes de las escombreras objeto de este proyecto
</t>
  </si>
  <si>
    <t>Mejora en Colectores</t>
  </si>
  <si>
    <t>24202</t>
  </si>
  <si>
    <t>Villablino</t>
  </si>
  <si>
    <t>Ayuntamiento de Villablino</t>
  </si>
  <si>
    <t>https://www.lacianadigital.com/el-ayuntamiento-aprueba-los-compromisos-municipales-para-la-mejora-de-los-colectores/</t>
  </si>
  <si>
    <t>El proyecto tiene por objeto la mejora del rendimiento y funcionamiento de la depuradora de aguas residuales (edar) de villablino, mediante la renovación y restauración de 10 tramos en el colector oriental y 1 tramo en el colector occidental, centrados en recrecer los pozos y renovar la red de tuberías para mejorar la estanqueidad del conjunto, reduciendo la aportación innecesaria de agua limpia a la estación.</t>
  </si>
  <si>
    <t>Mejora en colectores</t>
  </si>
  <si>
    <t>CYL-2021-0009</t>
  </si>
  <si>
    <t>Emisario y EDAR en Folgoso de la Ribera</t>
  </si>
  <si>
    <t>24071</t>
  </si>
  <si>
    <t>Folgoso de la Ribera</t>
  </si>
  <si>
    <t>Ayuntamiento de Folgoso de la Ribera</t>
  </si>
  <si>
    <t>https://bembibredigital.com/bierzoalto/55631-cerca-de-400-000-euros-permitiran-ampliar-y-mejorar-las-edar-en-el-municipio-de-folgoso-de-la-ribera</t>
  </si>
  <si>
    <t>El proyecto tiene por objeto la ampliación y mejora de las distintas edar pertenecientes a los núcleos de población de: folgoso de la ribera, boeza, tedejo, rozuelo y villaviciosa, dentro del ámbito territorial del municipio de folgoso de la ribera, dotándolas de aliviadero, arenero, desbaste manual, decantador-digestor-filtro biológico y demás equipamiento auxiliar necesario según el estado de conservación de cada una.</t>
  </si>
  <si>
    <t>Emisario y edar en folgoso de la ribera</t>
  </si>
  <si>
    <t>CYL-2021-0006</t>
  </si>
  <si>
    <t>Depuración en localidades de Espacio Natural en San Emiliano</t>
  </si>
  <si>
    <t>24145</t>
  </si>
  <si>
    <t>San Emiliano</t>
  </si>
  <si>
    <t>Ayuntamiento de San Emiliano</t>
  </si>
  <si>
    <t>El proyecto tiene por finalidad la ejecución de las infraestructuras que permitan la depuración de las aguas residuales dentro del espacio natural del valle de san emiliano y parque natural de babia y luna (león), formado por los municipios de cabrillanes, san emiliano, sena de luna y los barrios de luna, mediante la realización de las obras correspondientes a la depuración de dichas aguas residuales, así como todos los elementos de control para su correcto funcionamiento. se plantean, por tanto, en función del número de habitantes equivalentes de los núcleos de población, las siguientes opciones: decantadores digestores; sistemas compactos de fosa-filtro, para núcleos entre 75 y 150 habitantes equivalentes y, por último, sistemas más complejos con decantación y digestión primaria, biofiltros con bombeo y decantación secundaria para núcleos de más de 200 habitantes equivalentes. el importe estimado del proyecto es de 3.446.103,66 euros.</t>
  </si>
  <si>
    <t>Depuración en localidades de espacio natural en san emiliano</t>
  </si>
  <si>
    <t>CYL-2021-0003</t>
  </si>
  <si>
    <t xml:space="preserve">consiste en la urbanización del Sector nº 10 «Parras» del Plan General de Ordenación Urbana de Bembibre (León), con una superficie total de 115.407 metros cuadrados, situado en la margen izquierda de la Autovía del Noroeste A-6. </t>
  </si>
  <si>
    <t>24014</t>
  </si>
  <si>
    <t>Bembibre</t>
  </si>
  <si>
    <t>Ayuntamiento de BEMBIBRE</t>
  </si>
  <si>
    <t>CYL-2020-0010.jpg</t>
  </si>
  <si>
    <t xml:space="preserve">La actuación consiste en la urbanización del sector nº 10 «parras» del plan general de ordenación urbana de bembibre (león), con una superficie total de 115.407 metros cuadrados, situado en la margen izquierda de la autovía del noroeste a-6. </t>
  </si>
  <si>
    <t>Parque industrial bierzo alto, 9ª fase (totalidad sector 10-parras).</t>
  </si>
  <si>
    <t>CYL-2020-0010</t>
  </si>
  <si>
    <t>Consiste en la adaptación del vivero de Pobladura de las Regueras en centro tecnológico y en la construcción de una nave industrial con una línea de procesamiento de castañas en la localidad de Quintana de Fuseros</t>
  </si>
  <si>
    <t>Ayuntamiento de Igüeña</t>
  </si>
  <si>
    <t>La actuación consiste en el acondicionamiento de un edificio y que actualmente se utiliza como instalaciones para vivero, para su transformación en un centro tecnológico, mediante la dotación de mobiliario y la construcción de una nave industrial provista de una línea de procesamiento de castaña. este centro tecnológico se enmarca entre los proyectos a financiar para el impulso económico de las comarcas mineras del carbón, mediante el desarrollo de infraestructuras y proyectos de restauración de zonas degradadas a causa de la actividad minera.</t>
  </si>
  <si>
    <t>Centro tecnológico de la castaña</t>
  </si>
  <si>
    <t>CYL-2020-0009</t>
  </si>
  <si>
    <t>Plan de optimización energética para Institutos de enseñanza secundaria. Actuaciones en el  Instituto de Enseñanza Secundaria Valles de Laciana de Villablino</t>
  </si>
  <si>
    <t>Optimización energética del centro de día para personas mayores de Villablino (León)</t>
  </si>
  <si>
    <t>24170</t>
  </si>
  <si>
    <t>Torre del Bierzo</t>
  </si>
  <si>
    <t>AYUNTAMIENTO DE TORRE DEL BIERZO</t>
  </si>
  <si>
    <t>24196</t>
  </si>
  <si>
    <t>Vega de Espinareda</t>
  </si>
  <si>
    <t>Ayuntamiento de Vega de Espinareda</t>
  </si>
  <si>
    <t>24210</t>
  </si>
  <si>
    <t>Villagatón</t>
  </si>
  <si>
    <t>Ayuntamiento de Villagatón</t>
  </si>
  <si>
    <t>24019</t>
  </si>
  <si>
    <t>Berlanga del Bierzo</t>
  </si>
  <si>
    <t>Ayuntamiento de Berlanga del Bierzo</t>
  </si>
  <si>
    <t>24029</t>
  </si>
  <si>
    <t>Cabrillanes</t>
  </si>
  <si>
    <t>Ayuntamiento de Cabrillanes</t>
  </si>
  <si>
    <t>Ejecución de diversas actuaciones de adecuación, ampliación y mejora de la depuración de aguas residuales urbanas, con la construcción de una nueva planta construida por tratamiento primario mediante dos tanques prefabricados, un tratamiento secundario por medio de un sistema de biodiscos, y un decantador secundario</t>
  </si>
  <si>
    <t>https://marearusvel.com/marea-finaliza-la-construccion-del-emisario-de-la-depuradora-de-torre-del-bierzo/</t>
  </si>
  <si>
    <t>Construcción de emisario y edar en torre del bierzo</t>
  </si>
  <si>
    <t>CYL-2020-0005</t>
  </si>
  <si>
    <t xml:space="preserve">El proyecto de restauración se configura en acciones de, acondicionamiento de huecos y escombreras, restauración vegetal, red de drenaje, demolición de instalaciones auxiliares, gestión de residuos, vigilancia y control ambiental y la seguridad y salud de las obras. </t>
  </si>
  <si>
    <t>24029;24202</t>
  </si>
  <si>
    <t>Cabrillanes;Villablino</t>
  </si>
  <si>
    <t>Junta de CASTILLA-LEÓN</t>
  </si>
  <si>
    <t>Restauración en explotación de carbón a cielo abierto</t>
  </si>
  <si>
    <t>CYL-2019-0001</t>
  </si>
  <si>
    <t>Obras finalizadas. 
Fecha de finalización: 26/11/2024</t>
  </si>
  <si>
    <t>CyL 9- Restauración Ambiental en industrias extractivas cerradas y abandonadas, instalaciones Minería a cielo abierto  AGSA en Páramo del Sil (León))</t>
  </si>
  <si>
    <t>https://medioambiente.jcyl.es/web/jcyl/MedioAmbiente/es/Plantilla100Detalle/1285147668357/1/1285271530454/Texto</t>
  </si>
  <si>
    <t>Actuaciones de recuperación de suelos y zonas afectadas por la minería en Páramo del Sil</t>
  </si>
  <si>
    <t>CYL 9</t>
  </si>
  <si>
    <t>CyL-8. Restauración Ambiental en industrias extractivas cerradas y abandonadas, Instalaciones Minería a Cielo abierto Grupo Jarrinas en  Páramo del Sil (León)</t>
  </si>
  <si>
    <t>CYL 8</t>
  </si>
  <si>
    <t>CyL 4- Restauración Ambiental de instalaciones de minería cerrada y abandonadaen el entorno del margen derecha del río CÚA, con código de Inventario 126 II 3 014 en Fabero (León)</t>
  </si>
  <si>
    <t>Actuaciones de recuperación de suelos y zonas afectadas por la minería en Fabero</t>
  </si>
  <si>
    <t>CYL 4 - 126 II 3 014</t>
  </si>
  <si>
    <t>CyL 3- Restauración Ambiental de instalaciones de minería cerrada y abandonada en el entorno del margen derecha del río CÚA, con código de Inventario 126 II 3 007 en Fabero (León)</t>
  </si>
  <si>
    <t>CYL 3 - 126 II 3 007</t>
  </si>
  <si>
    <t>CyL 2- Restauración Ambiental de instalaciones de minería cerrada y abandonada en el entorno del margen izquierda del río CÚA, con código de Inventario 126 II 3 004 en Fabero (León)</t>
  </si>
  <si>
    <t>CYL 2 - 126 II 3 004</t>
  </si>
  <si>
    <t>En ejecución. 
Fecha prevista de finalización: 13/03/2026</t>
  </si>
  <si>
    <t>CyL 10- Restauración Ambiental de espaciosa mineros en el TTMM de Toreno (León)</t>
  </si>
  <si>
    <t>24169</t>
  </si>
  <si>
    <t>Toreno</t>
  </si>
  <si>
    <t>Actuaciones de recuperación de suelos y zonas afectadas por la minería en Toreno</t>
  </si>
  <si>
    <t>CYL 10</t>
  </si>
  <si>
    <t>Obras finalizadas. 
Fecha de finalización: 17/11/2024</t>
  </si>
  <si>
    <t>CyL 1- Restauración Ambiental de instalaciones de minería cerrada y abandonada en el entorno del margen izquierda del río CÚA, con código de Inventario 126 II 3 001 en Fabero (León)</t>
  </si>
  <si>
    <t>CYL 1 - 126 II 3 001</t>
  </si>
  <si>
    <t>71507877A</t>
  </si>
  <si>
    <t>71503287J</t>
  </si>
  <si>
    <t>71503149J</t>
  </si>
  <si>
    <t>71501897A</t>
  </si>
  <si>
    <t>HIJOS DE BALDOMERO GARCÍA, S.A.</t>
  </si>
  <si>
    <t>71501032N</t>
  </si>
  <si>
    <t>71500774F</t>
  </si>
  <si>
    <t>71500253S</t>
  </si>
  <si>
    <t>71499520H</t>
  </si>
  <si>
    <t>Los presupuestos iniciales y las ayudas concedidas originalmente fueron modificados por Resolución de la SEE de 5/7/24</t>
  </si>
  <si>
    <t xml:space="preserve">Retirada de materiales y equipos. Sellado de bocaminas. Desmantelamiento y demolición de estructuras y edificaciones. Restauración de  plazas y escombreras. Caboalles de Abajo. </t>
  </si>
  <si>
    <t>HBG</t>
  </si>
  <si>
    <t>Restauración de la explotación minera de Hijos de Baldomero García en Caboalles de Abajo.</t>
  </si>
  <si>
    <t>474-2020000</t>
  </si>
  <si>
    <t>COSTES EXCEPCIONALES</t>
  </si>
  <si>
    <t>44433039Y</t>
  </si>
  <si>
    <t>44432598W</t>
  </si>
  <si>
    <t>44432446B</t>
  </si>
  <si>
    <t>44431427G</t>
  </si>
  <si>
    <t>44430291H</t>
  </si>
  <si>
    <t>44430275W</t>
  </si>
  <si>
    <t>44430121D</t>
  </si>
  <si>
    <t>44429909G</t>
  </si>
  <si>
    <t>44429608W</t>
  </si>
  <si>
    <t>44427852V</t>
  </si>
  <si>
    <t>44427260T</t>
  </si>
  <si>
    <t>Rehabilitación de edificio para centro de interpretación de accidente ferroviario, centro</t>
  </si>
  <si>
    <t>https://www.infobierzo.com/bierzo-noticias/ayuda-museo-accidente-ferroviario-torre-bierzo-1944_1020777_102.html#google_vignette</t>
  </si>
  <si>
    <t>Rehabilitación de edificio para centro de interpretación de accidente ferroviario en Torre del Bierzo</t>
  </si>
  <si>
    <t>Centro interpretación accidente ferroviario</t>
  </si>
  <si>
    <t>2024-C177</t>
  </si>
  <si>
    <t>Planta de procesado, reciclaje y segunda vida de módulos fotovoltaicos</t>
  </si>
  <si>
    <t>Ayuntamiento de Bembibre</t>
  </si>
  <si>
    <t>https://www.bierzodiario.es/?p=169526</t>
  </si>
  <si>
    <t>Planta de reciclaje de paneles fotovoltaicos</t>
  </si>
  <si>
    <t>2024-C109</t>
  </si>
  <si>
    <t>Rehabilitación, acondicionamiento y mejora de un inmueble de titularidad pública, con calificación de edificio de consumo de energía casi nulo (nzeb), que permita la creación y puesta en marcha de un centro integrado de innovación digital y promoción</t>
  </si>
  <si>
    <t>24115</t>
  </si>
  <si>
    <t>Ponferrada</t>
  </si>
  <si>
    <t>Ayuntamiento de Ponferrada</t>
  </si>
  <si>
    <t>https://www.diariodeleon.es/bierzo/250130/1804958/asi-sera-centro-innovacion-emprendimiento-ponferrada.html</t>
  </si>
  <si>
    <t>Centro integrado del ecosistema de innovación y emprendimiento en el territorio</t>
  </si>
  <si>
    <t>2024-C070</t>
  </si>
  <si>
    <t>Incremento de la capacidad productiva y mejora del sistema de almacenamiento de producto.</t>
  </si>
  <si>
    <t>24064</t>
  </si>
  <si>
    <t>Cubillos del Sil</t>
  </si>
  <si>
    <t>MADERAS RUBIAL S.L.</t>
  </si>
  <si>
    <t>El proyecto contas de las siguientes inversiones: línea de aprovechamiento de costeros, una canteadora y un sotechado almacén de producto terminado. los objetivos previstos sería: aunar, progresivamente la producción en un único centro productivo, reducir sensiblemente los gastos, siempre manteniendo la plantilla, la cual es prácticamente en su totalidad procedente de la zona y concretamente del sector minero; aprovechamiento óptimo de los costeros; incremento de la capacidad productiva y mejora en la versatilidad; mejora del sistema de almacenamiento de producto terminado.</t>
  </si>
  <si>
    <t>2023-P151</t>
  </si>
  <si>
    <t>Ampliación de sus instalaciones con la adquisición de una nave y adquisición de maquinaria</t>
  </si>
  <si>
    <t>DISEÑOS TECNICOS Y CONSTRUCCIONES METALICAS S.L.</t>
  </si>
  <si>
    <t>El principal objetivo que dtcom persigue con el presente proyecto es la ampliacion de sus instalaciones con la adquisicion de una nave en el poligono industrial bierzo alto, en el municipio de bembibre, en leon (mismo poligono donde se ubican sus instalaciones en la actualidad), asi como maquinaria de corte y taladrado, con la intencion de complementar sus instalaciones actuales y lograr satisfacer asi la creciente demanda de este tipo de productos.</t>
  </si>
  <si>
    <t>2023-P106</t>
  </si>
  <si>
    <t xml:space="preserve">Puesta en marcha de gimnasio de pilates </t>
  </si>
  <si>
    <t>CLINICA SOBRÍN VALBUENA SOCIEDAD LIMITADA</t>
  </si>
  <si>
    <t>https://www.cliniksv.com/nosotros/</t>
  </si>
  <si>
    <t>El proyecto consiste en la puesta en marcha de un gimnasio especializado en pilates. se impartirán tanto pilates suelo (magic circle, theraband, fitball y foam roler), pilates para embarazadas, pilates máquinas (reformer con torre, combo-chair, ladel barrel y spine correcor), pilates niños y plataformas vibratorias.</t>
  </si>
  <si>
    <t>2023-P100</t>
  </si>
  <si>
    <t>HOTEL Y PELUQUERÍA CANINA</t>
  </si>
  <si>
    <t>TARA FERNANDEZ LOBON</t>
  </si>
  <si>
    <t>Construcción y puesta en marcha de un hotel y peluquería canina</t>
  </si>
  <si>
    <t>Hotel y peluquería canina</t>
  </si>
  <si>
    <t>2023-M065</t>
  </si>
  <si>
    <t>CENTRO DE ESTÉTICA</t>
  </si>
  <si>
    <t>ALBA CAÑAS CAMPELO</t>
  </si>
  <si>
    <t>https://albacestetica.com/
https://www.transicionjusta.gob.es/content/dam/itj/files-1/Documents/reactivacion_comarcas/common/MINERIA/MINIMIS_Mineria/Resoluci%C3%B3n%20concesi%C3%B3n%20definitiva%20MINIMIS%202023_firmada.pdf</t>
  </si>
  <si>
    <t>Construcción y puesta en marcha de un centro de estética en Vega de Espinareda</t>
  </si>
  <si>
    <t>Centro de estética</t>
  </si>
  <si>
    <t>2023-M045</t>
  </si>
  <si>
    <t>ADECUACION Y EQUIPAMIENTO DE CENTRO ODONTOLOGICO</t>
  </si>
  <si>
    <t>MARIA ESTELA VENCE BECERRA</t>
  </si>
  <si>
    <t>https://www.odontologuia.com/dentistas/dentista-20467.html
https://www.transicionjusta.gob.es/content/dam/itj/files-1/Documents/reactivacion_comarcas/common/MINERIA/MINIMIS_Mineria/Resoluci%C3%B3n%20concesi%C3%B3n%20definitiva%20MINIMIS%202023_firmada.pdf</t>
  </si>
  <si>
    <t>Adecuación y equipamiento de centro de odontología en Ponferrada</t>
  </si>
  <si>
    <t>Centro odontológico</t>
  </si>
  <si>
    <t>2023-M042</t>
  </si>
  <si>
    <t>CLÍNICA PODOLOGICA SM PODOLOGÍA</t>
  </si>
  <si>
    <t>SILVIA MARTINEZ LINHARES</t>
  </si>
  <si>
    <t>Construcción de clínica de podología en Fabero</t>
  </si>
  <si>
    <t>Clínica podológica</t>
  </si>
  <si>
    <t>2023-M034</t>
  </si>
  <si>
    <t>REHABILITACIÓN, EQUIPAMIENTO Y PUESTA EN MARCHA DE POSADA RURAL</t>
  </si>
  <si>
    <t>COLORAUTO BIERZO, SL</t>
  </si>
  <si>
    <t>Rehabilitación, equipamiento y puesta en marcha de posada rural en Cubillos del Sil</t>
  </si>
  <si>
    <t>Posada rural</t>
  </si>
  <si>
    <t>2023-M032</t>
  </si>
  <si>
    <t>PUESTA EN MARCHA DE UN OBRADOR DE PANADERÍA</t>
  </si>
  <si>
    <t>LUIS DOMINGO FERNANDEZ SILVA</t>
  </si>
  <si>
    <t>Puesta en marcha de un obrador de panadería en Villablino</t>
  </si>
  <si>
    <t>Obrador de panadería</t>
  </si>
  <si>
    <t>2023-M029</t>
  </si>
  <si>
    <t>ADQUISICION DE NAVE Y BIENES DE EQUIPO PARA AUMENTAR LA CAPACIDAD PRODUCTIVA</t>
  </si>
  <si>
    <t>AUTHEX SA</t>
  </si>
  <si>
    <t>Adquisicion de nave y bienes de equipo para aumentar la capacidad productiva</t>
  </si>
  <si>
    <t>Ampliación fábrica de productos cosméticos</t>
  </si>
  <si>
    <t>2023-M011</t>
  </si>
  <si>
    <t>Nueva planta de reutilización y reciclaje de baterías de litio</t>
  </si>
  <si>
    <t>NOVOLITIO RECUPERACION DE BATERIAS S.L.</t>
  </si>
  <si>
    <t>https://www.urbaser.com/2024/07/01/novolitio-comienza-recogida-bateria-para-reciclaje/</t>
  </si>
  <si>
    <t>Reutilización y reciclado de baterias de litio, para construit y explotar una planta  de reciclaje en cubillos del sil para su tratamiento, reutilización y reciclaje de las baterias de litio. novolitio forma parte del grupo urbaser</t>
  </si>
  <si>
    <t>2023-G065</t>
  </si>
  <si>
    <t xml:space="preserve">CONVOY TRAIN DE TRANSFORMACIÓN SOCIAL Y EMPRENDIMIENTO SOSTENIBLE. Vagones de tren que recorrían un área minera serán habilitados como centro de atención al público, centro de coworking, vivienda de tránsito social y un último vagón como espacio compartido de uso turístico    </t>
  </si>
  <si>
    <t>AYUNTAMIENTO DE VILLAGATÓN</t>
  </si>
  <si>
    <t>2022-C254.jpg</t>
  </si>
  <si>
    <t>Vagones de tren que recorrían un área minera serán habilitados como centro de atención al público, centro de coworking, vivienda de tránsito social y un último vagón como espacio compartido de uso turístico. restauración de 5 vagones de tren para su uso como espacio expositivo y espacio coworking.</t>
  </si>
  <si>
    <t xml:space="preserve">Convoy train de transformación social y emprendimiento sostenible. </t>
  </si>
  <si>
    <t>2022-C254</t>
  </si>
  <si>
    <t>SENDA SOBRE EL EMBALSE DE BÁRCENA (CUBILLOS DEL SIL). Recuperación de caminos y sendas peatonales y para bicicletas entre los municipios de Cubillos del Sil y Toreno anegados por el embalse</t>
  </si>
  <si>
    <t>AYUNTAMIENTO DE CUBILLOS DEL SIL</t>
  </si>
  <si>
    <t>https://www.infobierzo.com/bierzo-noticias/cubillos-solicita-la-construccion-de-una-senda-pasarelas-y-aparcamientos-que-uniran-con-toreno-a-traves-del-entorno-verde-del-rio-sil_749676_102.html</t>
  </si>
  <si>
    <t xml:space="preserve"> Recuperación de caminos y sendas peatonales y para bicicletas entre los municipios de cubillos del sil y toreno anegados por el embalse.  es objeto del este proyecto la realización de una nueva senda desde el límite municipal de cubillos del sil en el entorno del embalse de bárcena hasta camino de ) enlace en la falda sur del monte meno, en un recorrido total de 2.180 metros. con objeto de ampliar el espec-tro de usuarios de la futura senda se plantea implantar un espacio de salida o inicio de ruta de bicicletas eléctricas en las inmediaciones de la población de cubillos del sil, dotándolo de puntos de carga de baterías eléctricas alimentados por un sistema de paneles solares fotovoltaicos que permitan la recarga tanto de bicicletas como de turismos eléctricos. se diseña un espacio para aparcamiento cubierto para turismos y bicicletas, acompañado de una zona de descanso</t>
  </si>
  <si>
    <t>Senda sobre el enlace de Barcena</t>
  </si>
  <si>
    <t>2022-C122</t>
  </si>
  <si>
    <t>MEJORA DE LA EFICIENCIA ENERGÉTICA EN EDIFICIO DE USOS MÚLTIPLES EN BERLANGA DEL BIERZO. Eficiencia energética para este centro de formación para el empleo, actividades culturales, conferencias, clases de gimnasia e informática</t>
  </si>
  <si>
    <t>AYUNTAMIENTO DE BERLANGA DEL BIERZO</t>
  </si>
  <si>
    <t>https://planderecuperacion.gob.es/como-acceder-a-los-fondos/convocatorias/PLC/13754472/mejora-de-la-eficiencia-energetica-en-edificio-de-usos-multiples-en-berlanga-del-bierzo</t>
  </si>
  <si>
    <t>Eficiencia energética para este centro de formación para el empleo, actividades culturales, conferencias, clases de gimnasia e informática: obras para la mejora de la eficiencia energética en el edificio de las antiguas escuelas, hoy destinado a edificio de usos múltiples, en el que se desarrollan diferentes actividades culturales, se realizan conferencias, clases de gimnasia e informática, se imparten cursos de formación y empleo etc.</t>
  </si>
  <si>
    <t>Mejora de la eficiencia energética en edificio de usos múltiples en berlanga del bierzo</t>
  </si>
  <si>
    <t>2022-C106</t>
  </si>
  <si>
    <t xml:space="preserve">AULA DE LA NATURALEZA-ESCAPE ROOM VIRTUAL EN PÁRAMO DEL SIL. Nuevo concepto de Aula de la Naturaleza a través de experiencias visuales y recorridos del tipo ‘scape room’ con salas especializadas en Bosque de día, Bosque de noche o Sala El Bierzo </t>
  </si>
  <si>
    <t>https://www.diariodeleon.es/bierzo/220821/1304473/aula-naturaleza-paramo-realidad-aumentada-disfrutar-oso-pardo.html</t>
  </si>
  <si>
    <t>Nuevo concepto de aula de la naturaleza a través de experiencias visuales y recorridos del tipo ‘scape room’ con salas especializadas en bosque de día, bosque de noche o sala el bierzo. aula que dispondrá de zona de recepción y tres salas interactivas, donde los visitantes serán los protagonistas gracias a experiencias únicas y visuales, además de pruebas de diferentes dificultades donde se evaluarán sus conocimientos adquiridos y sus interacciones. distribución inicial: aula de naturaleza, bienvenida, sala el bierzo, sala bosque de día y sala bosque nocturno.</t>
  </si>
  <si>
    <t>2022-C098</t>
  </si>
  <si>
    <t>PLANTACIÓN DE CASTAÑOS VARIEDAD "PAREDE" EN BEMBIBRE, FOLGOSO, IGUEÑA, NOCEDA, TORRE Y VILLAGATON. Promoción de la castañicultura. El proyecto persigue la creación y generación de empresas transformadoras que completen el ciclio de plantación  y recolección de este fruto.</t>
  </si>
  <si>
    <t>24102</t>
  </si>
  <si>
    <t>Noceda del Bierzo</t>
  </si>
  <si>
    <t>DIPUTACION PROVINCIAL DE LEON</t>
  </si>
  <si>
    <t>https://www.transicionjusta.gob.es/Documents/reactivacion_comarcas/common/20230911_%20Informe_seguimiento_%20de_%20Acuerdo_Mineria.pdf</t>
  </si>
  <si>
    <t>Promoción de la castañicultura. el proyecto persigue la creación y generación de empresas transformadoras que completen el ciclio de plantación  y recolección de este fruto. rehabilitación, forestación y puesta en valor de terrenos públicos mediante la plantantación de castaños de la variedad parede, en los municipios de bembibre, folgoso de la ribera, igüeña, noceda del bierzo, torrel del bierzo y villagatón. superficie estimada: 192,3 ha.</t>
  </si>
  <si>
    <t xml:space="preserve">Plantación de castaños variedad "parede" en bembibre, folgoso, igueña, noceda, torre y villagaton. </t>
  </si>
  <si>
    <t>2022-C092</t>
  </si>
  <si>
    <t xml:space="preserve">REHABILITACION Y MEJORA DE LA EFICIENCIA ENERGETICA EN LOS EDIFICIOS PUBLICOS DE LA PLAZA DEL AYUNTAMIENTO. Consultorio médico, escuela, gimnasio y espacio coworking </t>
  </si>
  <si>
    <t>AYUNTAMIENTO DE FOLGOSO DE LA RIBERA</t>
  </si>
  <si>
    <t>https://planderecuperacion.gob.es/como-acceder-a-los-fondos/convocatorias/PLC/15217188/rehabilitacion-y-mejora-de-la-eficiencia-energetica-en-los-edificios-publicos-de-la-plaza-del-ayuntamiento-de-folgoso-de-la-ribera</t>
  </si>
  <si>
    <t>Consultorio médico, escuela, gimnasio y espacio coworking: el objeto de las obras contempladas en el presente proyecto están enfocadas en facilitar la modernización de la economía hacia un modelo sostenible y competitivo que contribuya a poner freno al cambio climático. del mismo modo con estas actuaciones se pretende fijar población en el territorio dotándolo de infraestructuras básicas y servicios adecuados. con la rehabilitación de estos edificios públicos se pretende dar nuevos usos de carácter social y la prestación de servicios públicos adecuados, como la creación de espacios de emprendimiento, coworking y fomento de la innovación digital, promoción del emprendimien-to y desarrollo económico potenciando la disminución de la brecha digital.</t>
  </si>
  <si>
    <t xml:space="preserve">Rehabilitacion y mejora de la eficiencia energetica en los edificios publicos de la plaza del ayuntamiento. </t>
  </si>
  <si>
    <t>2022-C074</t>
  </si>
  <si>
    <t xml:space="preserve">CENTRO LOGÍSTICO DE BIOMASA. Ni una línea que nos permita describirlo </t>
  </si>
  <si>
    <t>https://ileon.eldiario.es/laciana/avanza-proyecto-centro-acopio-biomasa-laciana-peticion-suelo_1_11426708.html</t>
  </si>
  <si>
    <t>Centro logístico de biomasa.
Presentado a la línea de INFRA 2022 como: Construcción de una nave para tratamiento y clasificación de restos de biomasa forestal, que procesará restos vegetales para producir calor y electricidad</t>
  </si>
  <si>
    <t xml:space="preserve">Centro logístico de Biomasa . </t>
  </si>
  <si>
    <t>2022-C053</t>
  </si>
  <si>
    <t xml:space="preserve">MEJORA DE LA EFICIENCIA ENERGETICA Y ACONDICIONAMIENTO CASA DE LA
CULTURA PARA USO COWORKING. Adecuación de diferentes estancias para la innovación digital, creando espacios de coworking y fomentando el acceso a las nuevas
tecnologías </t>
  </si>
  <si>
    <t>AYUNTAMIENTO DE NOCEDA DEL BIERZO</t>
  </si>
  <si>
    <t>2022-C044.jpg</t>
  </si>
  <si>
    <t>Rehabilitación Casa de la Cultura con el objetivo de un coworking para las pequeñas empresas de la zona que no tienen oficinas y trabajan desde casa. Además se pretenden trasladar las oficinas del Ayuntamiento para la atención a los ciudadanos.</t>
  </si>
  <si>
    <t xml:space="preserve">Mejora de la eficiencia energética y acondicionamiento casa de la cultura para uso coworking. Adecuación de diferentes estancias para la innovación digital, creando espacios de coworking y fomentando el acceso a las nuevas tecnologías </t>
  </si>
  <si>
    <t>2022-C044</t>
  </si>
  <si>
    <t xml:space="preserve">RECUPERACIÓN DEL FC CUBILLOS-VILLABLINO PARA SU USO INDUSTRIAL Y TURÍSTICO. PROYECTO TRACTOR TERRITORIAL. Recuperación del “Ponfeblino, la infraestructura minera de transporte ferroviario para potenciar un modelo de turismo ecológico y sostenible </t>
  </si>
  <si>
    <t>CONSORCIO DEL TREN TURISTICO PONFEBLINO</t>
  </si>
  <si>
    <t>2022-C028.jpg</t>
  </si>
  <si>
    <t>https://www.coacyle.com/informacion/concursos-y-premios/proyecto-de-recuperacion-de-ferrocarril-cubillos-del-sil-villablino</t>
  </si>
  <si>
    <t>Recuperación del tren histórico denominado “Ponfeblino”, una infraestructura minera de transporte ferroviario que sirva de eje potenciador en el entorno para un modelo de turismo ecológico y sostenible. La recuperación se lleva a cabo por el denominado Consorcio Ponfeblino, compuesto por el Consejo Comarcal del Bierzo y los ayuntamientos de Ponferrada, Cubillos del Sil, Toreno, Páramo del Sil, Palacios del Sil y Villablino, y siendo sus funciones promover iniciativas, públicas y privadas, para la rehabilitación de la vía férrea conocida como Ponfeblino (línea entre Ponferrada y Villablino en su trazado original).</t>
  </si>
  <si>
    <t xml:space="preserve">Recuperación del FC cubillos-Villablino para su uso industrial y turístico. Proyecto tractor territorial. Recuperación del “Ponfeblino, la infraestructura minera de transporte ferroviario para potenciar un modelo de turismo ecológico y sostenible </t>
  </si>
  <si>
    <t>2022-C028</t>
  </si>
  <si>
    <t>TALLER DE CARPINTERIA PARA LA PRODUCCION DE COLMENAS DE ABEJAS.8 Taller de producción de colmenas de abejas, elaboradas con madera de pino y materiales ecológicos</t>
  </si>
  <si>
    <t>AYUNTAMIENTO DE IGÜEÑA</t>
  </si>
  <si>
    <t>https://www.latiendadelapicultor.com/comprar-colmenas-dadant</t>
  </si>
  <si>
    <t>Creación de un taller de carpintería para la producción de colmenas de abejas en dos inmuebles propiedad del Ayuntamiento de Igüeña situados en la localidad de Tremor de Arriba. Se trata de un proyecto innovador porque tradicionalmente las colmenas se adquirán en Portugal (en la provincia de León solo existe una empresa dedicada a la fabricación de colmenas). El edificio de el antiguo cine de Tremor de Arriba. Las colmenas se confeccionarán con madera de pino y mediante el uso de matereales ecológicos para crear productos sostenibles: confección de alzas, núcleos, fondos sanitarios...</t>
  </si>
  <si>
    <t>Taller de carpintería para la producción de colmenas de abejas. Taller de producción de colmenas de abejas, elaboradas con madera de pino y materiales ecológicos</t>
  </si>
  <si>
    <t>2022-C027</t>
  </si>
  <si>
    <t xml:space="preserve">REHABILITACIÓN DE EDIFICIO DE ANTIGUAS VIVIENDA MINERAS PARA DESTINARLO
A VIVIENDAS SOCIALES. Viviendas de alquiler social destinadas a pacientes de oncología y sus familias para promover el bienestar físico y emocional en un entorne rural y adaptado </t>
  </si>
  <si>
    <t>https://www.elbierzonoticias.com/bierzo/viviendas-mineras-lugar-descanso-pacientes-oncologicos-20231001092854-nt.html</t>
  </si>
  <si>
    <t>Denominacion: rehabilitación de edificio de antiguas vivienda mineras para destinarlo a vi-viendas sociales para pacientes y familias con enfermedades oncológicas.
El proyecto tiene como objetivo la rehabilitación de un edificio, de titularidad municipal, situado en c/escobalón 2 en la localidad de tremor de arriba, municipio de igüeña, para des-tinarlos a viviendas sociales para pacientes y familias con enfermedades oncológicas.</t>
  </si>
  <si>
    <t xml:space="preserve">Rehabilitación de edificio de antiguas vivienda mineras para destinarlo a viviendas sociales. Viviendas de alquiler social destinadas a pacientes de oncología y sus familias para promover el bienestar físico y emocional en un entorne rural y adaptado </t>
  </si>
  <si>
    <t>2022-C021</t>
  </si>
  <si>
    <t>CENTRO LOGÍSTICO DE BIOMASA FORESTAL. Centro de economía circular para una gestión forestal ambiental y económicamente sostenible</t>
  </si>
  <si>
    <t>https://www.infobierzo.com/bierzo-noticias/fabero-estudia-crear-una-planta-de-gestion-de-residuos-de-biomasa-y-produccion-de-pellets_684577_102.html</t>
  </si>
  <si>
    <t>Constará de una nave de dimensiones interiores de 30 x 10 m, con una altura al alero de 6 m. Toda la estructura de la nave es de prefabricado de hormigón, el cerramiento exterior es de panel de hormigón. Cuenta con un forjado de hormigón que será el techo de la oficina del aseo y del vestuario accesible, cuyo acceso se realiza mediante una escalera metálica, y su uso será el de zona de almacenaje. La cubierta estará formada por panel sándwich de 30 mm a dos aguas.</t>
  </si>
  <si>
    <t>Centro logístico de biomasa forestal. Centro de economía circular para una gestión forestal ambiental y económicamente sostenible</t>
  </si>
  <si>
    <t>2022-C013</t>
  </si>
  <si>
    <t>Hospital veterinario.</t>
  </si>
  <si>
    <t>CANIS ET FELIS SM, S.L</t>
  </si>
  <si>
    <t xml:space="preserve">Proyecto para dar servicio veterinario 24h, tanto para animales domésticos co-mo para animales grandes, además de servicio de hotel canino y felino. el hos-pital cubrirá las zonas leonesas de villablino-laciana, las zonas asturianas de cangas del narcea y somiedo y las zonas leonesas de babia, omaña, luna y el bierzo en último lugar. </t>
  </si>
  <si>
    <t>2021-M173</t>
  </si>
  <si>
    <t>Puesta en marcha de un hospital clínico veterinario</t>
  </si>
  <si>
    <t>BIERZOOVET, S. L.</t>
  </si>
  <si>
    <t>Puesta en marcha de un nuevo hospital veterinario en ponferrada. el hospital tendrá la posibilitará la amplia diversidad de rutinas médicas no solo a sus propias clínicas sino también a otras que no dispongan de los mismos servicios ni equipamiento. el hospital tendrá servicio de urgencias de 24 h/día y 7 días/semana. también prestará servicios de diagnóstico complejos y cirugías y tratamientos avanzados.</t>
  </si>
  <si>
    <t>2021-M145</t>
  </si>
  <si>
    <t>Apertura de un centro audiológico "MG Audiología"</t>
  </si>
  <si>
    <t>CECILIA GONZALEZ LOPEZ</t>
  </si>
  <si>
    <t>chrome-extension://efaidnbmnnnibpcajpcglclefindmkaj/https://www.transicionjusta.gob.es/Documents/Quienes_somos/Tablon_anuncios/common/MINIMIS_2021/PRP_Minimis_2021.pdf</t>
  </si>
  <si>
    <t xml:space="preserve">Acondicionamiento de local comercial para su uso como centro audiológico. el local consta de 2 plantas sobre rasante, la planta baja está destinada a uso público y la entre planta a almacén y vestuarios del personal.
</t>
  </si>
  <si>
    <t>Apertura de un centro audiológico "mg audiología"</t>
  </si>
  <si>
    <t>2021-M086</t>
  </si>
  <si>
    <t>Gimnasio de elite</t>
  </si>
  <si>
    <t>ANABEL RODRÍGUEZ BARBEITO</t>
  </si>
  <si>
    <t>chrome-extension://efaidnbmnnnibpcajpcglclefindmkaj/https://www.transicionjusta.gob.es/Documents/el_instituto/Convenios_transicion_justa/common/Castilla%20y%20Le%C3%B3n/CTJ%20Bierzo-Laciana_abril2023.pdf</t>
  </si>
  <si>
    <t>Reforma de local para adaptación a gimnasio, redistribuyendo espacios, colo-cando suelo de tarima y cemento pulido. se pintará la fachada, se colocará ais-lamiento acústico, revisión de fontanería y de las instalaciones eléctricas y de climatización.  el gimnasio incluye la posibilidad de ejercicios individuales o de asistencia a clases dirigidas por monitores (disciplinas: gap, bodypum, ciclo in-door, zumba, pilates y yoga).</t>
  </si>
  <si>
    <t>2021-M019</t>
  </si>
  <si>
    <t>Industria cárnica porcina</t>
  </si>
  <si>
    <t>HULESA INTERNACIONAL, S.L.</t>
  </si>
  <si>
    <t>2021-0099</t>
  </si>
  <si>
    <t>Nueva residencia para la tercera edad en Igüeña.</t>
  </si>
  <si>
    <t>ENPICO NORTE S.L.</t>
  </si>
  <si>
    <t>2021-0065</t>
  </si>
  <si>
    <t>Nueva residencia de 3ª edad en Cubillos del Sil</t>
  </si>
  <si>
    <t>ARISOLIS AMBIENTAL, S. L.</t>
  </si>
  <si>
    <t>https://www.infobierzo.com/videos/el-grupo-las-encinas-inaugura-la-residencia-rio-sil-en-cubillos-con-138-plazas-multiples-servicios-y-mas-de-13-000m-c2-b2-entre-edificio-y-jardines_770898_102.html</t>
  </si>
  <si>
    <t xml:space="preserve">Apertura de residencia de la 3ª edad de 162 plazas en cubillos del sil. esta residencia se construyó en el la crisis del 2008 y nunca se puso en marcha. necesita inversión para la puesta a punto de todas las instalaciones así como desperfectos que se pudieran haber ocasionado, además del propio equipamiento necesario para funcionar. puesta en marcha de una nueva residencia de la tercera edad en cubillos del sil, con la previa adquisición de un bien inmueble que consiste en una superficie construida de 5.321,01 m2, objeto de la rehabilitación. además, se dotará de todas las instalaciones y equipamiento necesario
</t>
  </si>
  <si>
    <t>Nueva residencia de 3ª edad en cubillos del sil</t>
  </si>
  <si>
    <t>2021-0029</t>
  </si>
  <si>
    <t>Rehabilitación casa familiar para crear apartamentos turísticos</t>
  </si>
  <si>
    <t>Raquel Amigo Antolin</t>
  </si>
  <si>
    <t>2018-M098</t>
  </si>
  <si>
    <t>Acondicionamiento de nave para elaboración de cecinas y otros productos carnicos</t>
  </si>
  <si>
    <t>2018-M083</t>
  </si>
  <si>
    <t>Modernización de planta de pellets que ampliaría sus lineas de producción para incluir material sanitario y biocombustibles</t>
  </si>
  <si>
    <t>Biolaciana S.L.</t>
  </si>
  <si>
    <t>2018-M081</t>
  </si>
  <si>
    <t>Los promotores aseguran que su proceso de producción es ecológico. No lo pongo en duda. Desgraciadamente no mencionan ninguna acreditación como tener un sello de agricultura ecológica que siga la normativa europea.</t>
  </si>
  <si>
    <t>Ampliación negocio de compra, procesado y venta de castañas</t>
  </si>
  <si>
    <t>CASTAÑAS LA PEREGRINA SL</t>
  </si>
  <si>
    <t>2018-M071</t>
  </si>
  <si>
    <t xml:space="preserve">La propuesta es crear una ludoteca-escuela que siga principios de la educación Montessori. No lo consideramos innovador porque ya existen 6 ludotecas públicas en la zona. </t>
  </si>
  <si>
    <t>Creación escuela infantil y ludoteca</t>
  </si>
  <si>
    <t>REBECA PEREZ PEREIRA</t>
  </si>
  <si>
    <t>Desarrollo e implementación de una escuela infantil, que además disponga de servicios de ludoteca, para niños cuyas edades estén entre los 3 y los 6 años, siendo el eje de la formación el método montessori, poniendo énfasis en la ac-tividad dirigida por el niño y la observación clínica por parte del maestro</t>
  </si>
  <si>
    <t>2018-M066</t>
  </si>
  <si>
    <t>Ampliación empresa hotelera que alquila bicicletas</t>
  </si>
  <si>
    <t>PROMOCIONES Y ACTIVIDADES NATURALES DE LA SIERRA S.L.</t>
  </si>
  <si>
    <t>2018-M063</t>
  </si>
  <si>
    <t>Un proyecto muy innovador, no sólo conlleva una automatización y una digitalización profunda, sino que es proceso productivo relativamente nuevo en el país.</t>
  </si>
  <si>
    <t>Creación empresa de impresión 3D</t>
  </si>
  <si>
    <t>HISPANIA-3D, S.L.</t>
  </si>
  <si>
    <t>2018-M053</t>
  </si>
  <si>
    <t>Es un proyecto en Ponferrada, con lo cual puede que no sea meritorio de un plus de Reto Demográfico. En todo caso, no sólo fija población al crear empleos de calidad sino que puede proporcionar un servicio socio-sanitario que haga la vida más atractiva en la localidad</t>
  </si>
  <si>
    <t>Ampliación y mejora de clínica dental</t>
  </si>
  <si>
    <t>DRM PERIODONTAL &amp; IMPLANT FORMATION SL PROFESIONAL</t>
  </si>
  <si>
    <t>2018-M049</t>
  </si>
  <si>
    <t>Es una empresa creada por trabajadores del sector, el cual estaba fuertemente ligado a la mineria</t>
  </si>
  <si>
    <t>Creación empresa montaje e instalación de estructuras metálicas y de calderas</t>
  </si>
  <si>
    <t>MONTAJES BIERZO ALTO S.L</t>
  </si>
  <si>
    <t>2018-M034</t>
  </si>
  <si>
    <t>Mejora y ampliación de industria elaboradora y exportadora de productos cárnicos</t>
  </si>
  <si>
    <t>EMBUTIDOS LA ENCINA, S.L</t>
  </si>
  <si>
    <t>2018-M033</t>
  </si>
  <si>
    <t>Instalaciones para montaje de drones e implantación de aerogeneradores y placas fotovoltaicas</t>
  </si>
  <si>
    <t>CRISTOBAL ABAD LOPEZ</t>
  </si>
  <si>
    <t>2018-M029</t>
  </si>
  <si>
    <t>Creación de laboratorio de prótesis dentales.</t>
  </si>
  <si>
    <t>LABORATORIO ARTE DENTAL CB</t>
  </si>
  <si>
    <t>https://www.facebook.com/Rosanalaboratorioartedental/</t>
  </si>
  <si>
    <t>Instalación donde, cumpliendo las condiciones y requisitos que fija la normativa de castilla y león, y bajo la dirección, supervisión y responsabilidad profesional de dos personas técnicos, se llevan a cabo el diseño, preparación, elaboración, fabricación, acondicionamiento, etiquetado, reparación, modificación o comercialización de prótesis dentales y de otros productos sanitarios dentales a medida. además de toda clase de prótesis a partir de mediciones e indicaciones de odontólogos</t>
  </si>
  <si>
    <t>2018-M002</t>
  </si>
  <si>
    <t>Ampliación de la fábrica y automatización para incrementar la producción de piezas</t>
  </si>
  <si>
    <t>Composición de Máquinas, S.L.</t>
  </si>
  <si>
    <t>2018-0039</t>
  </si>
  <si>
    <t>Ampliación del proceso productivo de fabricación de estructuras metálicas</t>
  </si>
  <si>
    <t>ESTRUCTURAS Y MONTAJES DEL BIERZO, S.L.</t>
  </si>
  <si>
    <t>2018-0021</t>
  </si>
  <si>
    <t>Creación fábrica células fotovoltaicas e implementación de mejoras tecnológicas</t>
  </si>
  <si>
    <t>BASHMOR ENGINEERING SL</t>
  </si>
  <si>
    <t>2018-0013</t>
  </si>
  <si>
    <t>Diseño y fabricación equipos y plantas para la valorización de residuos</t>
  </si>
  <si>
    <t>TECHNOCYL EQUIPMENT S.L.</t>
  </si>
  <si>
    <t>2018-0008</t>
  </si>
  <si>
    <t>Ampliación y mejora de industria cárnica.</t>
  </si>
  <si>
    <t>FRIGORÍFICOS INDUSTRIALES DEL  BIERZO, S.A.</t>
  </si>
  <si>
    <t>https://www.gourmets.net/salon-gourmets/2017/catalogo-expositores/frigorificos-industriales-del-bierzo-sa</t>
  </si>
  <si>
    <t>Fabricación de productos como chorizo fresco y curado, salchichón, lomo, jamón, cecina y lacón. utilización de procesos de larga curación en frío, lo que asegura un producto de alta calidad y lo más natural posible y con un sabor intenso, tal y como exige la receta tradicional.</t>
  </si>
  <si>
    <t>2016-0001</t>
  </si>
  <si>
    <t>10201676A</t>
  </si>
  <si>
    <t>10090455X</t>
  </si>
  <si>
    <t>10089755T</t>
  </si>
  <si>
    <t>10089035Q</t>
  </si>
  <si>
    <t>10088897Q</t>
  </si>
  <si>
    <t>10088063X</t>
  </si>
  <si>
    <t>10087649X</t>
  </si>
  <si>
    <t>10087607Z</t>
  </si>
  <si>
    <t>10087569E</t>
  </si>
  <si>
    <t>10086630A</t>
  </si>
  <si>
    <t>10086407X</t>
  </si>
  <si>
    <t>10086292X</t>
  </si>
  <si>
    <t>10086210C</t>
  </si>
  <si>
    <t>10084633F</t>
  </si>
  <si>
    <t>10084411S</t>
  </si>
  <si>
    <t>10083461P</t>
  </si>
  <si>
    <t>10082726D</t>
  </si>
  <si>
    <t>10082681X</t>
  </si>
  <si>
    <t>10082131N</t>
  </si>
  <si>
    <t>10079392X</t>
  </si>
  <si>
    <t>10079351S</t>
  </si>
  <si>
    <t>10078910B</t>
  </si>
  <si>
    <t>10077810S</t>
  </si>
  <si>
    <t>10075851B</t>
  </si>
  <si>
    <t>10074694G</t>
  </si>
  <si>
    <t>09789535E</t>
  </si>
  <si>
    <t>09788918A</t>
  </si>
  <si>
    <t>09769218Z</t>
  </si>
  <si>
    <t>PROYECTO DE AMPLIACIÓN DE APROVECHAMIENTO HIDROELECTRICO Y AUTOMATIZACIÓN DE LA TOMA DEL SALTO DE ORALLO</t>
  </si>
  <si>
    <t>HIDROELECTRICA LA PROHIDA, S.A.</t>
  </si>
  <si>
    <t>file:///C:/Users/va.grados/Downloads/Proyecto+65-02-7676+-+Salto+Orallo%20(3).pdf https://energia.jcyl.es/web/jcyl/Energia/es/Plantilla100Detalle/1284766731237/Texto%20Generico/1284976620237/Texto</t>
  </si>
  <si>
    <t>La orografía de la zona permite de una manera sencilla ampliar la altura bruta del salto otros 45 metros sin más que trasladar la central 500 m hacia aguas abajo, con lo que se consigue un salto bruto de 77,50 m</t>
  </si>
  <si>
    <t>Proyecto de ampliación de aprovechamiento hidroelectrico y automatización de la toma del salto de orallo</t>
  </si>
  <si>
    <t>PR-REPOTEN-2023-000321</t>
  </si>
  <si>
    <t>Resolución: Coste subv 10.033.420    Ayuda total soliciatada 3.511.697
https://sede.idae.gob.es/sites/default/files/documentos/2023/REPOCIRCULAR/REPOCIRCULAR_RD_AdjudicacionSEE.pdf</t>
  </si>
  <si>
    <t>PLANTA DE RECICLAJE DE PALAS DE AEROGENERADORES EN CUBILLOS DEL SIL (COMPOSTILLA)</t>
  </si>
  <si>
    <t>PREZERO ESPAÑA, S.A.</t>
  </si>
  <si>
    <t>La infraestructura, en la que el consorcio creado por endesa y prezero españa invertirá un total 8,5 millones de euros, responde al reto del reciclaje de más de 2.000 unidades de palas eólicas al año, es decir, unas 6.000 toneladas anuales de composite de fibra de vidrio y carbono de los aerogeneradores, dando una segunda vida a los materiales de las palas aplicando criterios de economía circular.</t>
  </si>
  <si>
    <t>Planta de reciclaje de palas de aerogeneradores en cubillos del sil (compostilla)</t>
  </si>
  <si>
    <t>PR-REPOTEN-2023-000010</t>
  </si>
  <si>
    <t>industria manufacturera</t>
  </si>
  <si>
    <t>Modernización y Ampliación de la Capacidad Productiva de Escelco para la Fabricación de Células y Módulos Solares de 70 MW a 300 MW</t>
  </si>
  <si>
    <t>European Solar Cell Company, S.L.</t>
  </si>
  <si>
    <t>https://www.infobierzo.com/bierzo-noticias/escelco-poligono-bembibre-ayuda-produccion_1022559_102.html#google_vignette</t>
  </si>
  <si>
    <t>Ampliación de las instalaciones de la fábrica integral de células y módulos fotovoltaicos ubicada en el Polígono Industrial de Bembibre</t>
  </si>
  <si>
    <t>Ampliación fábrica integral de células y módulos fotovoltaicos</t>
  </si>
  <si>
    <t>PR-RENOVAL-2024-000116</t>
  </si>
  <si>
    <t>COMUNIDAD ENERGETICA BEMBIBRE SOSTENIBLE</t>
  </si>
  <si>
    <t>Comunidad Energética Bembibre Sostenible</t>
  </si>
  <si>
    <t>Proyecto promovido por el Ayuntamiento</t>
  </si>
  <si>
    <t>PR-PILOTO-05-2024-000251</t>
  </si>
  <si>
    <t>CE IMPLEMENTA 5</t>
  </si>
  <si>
    <t>Proyectos piloto singulares de comunidades energéticas (Programa CE IMPLEMENTA) 5ª convocatoria</t>
  </si>
  <si>
    <t>OTC Ciuden</t>
  </si>
  <si>
    <t>PR-OTC-2023-000309.jpg</t>
  </si>
  <si>
    <t>Los pilares fundamentales que sustentan el funcionamiento de transenercyl-ciuden son la difusión, el acompañamiento y el asesoramiento.
Organizan actividades y eventos para comunicar las ventajas y oportunidades que ofrece la creación de comunidades energéticas, promoviendo así el empoderamiento de la ciudadanía en asuntos energéticos.
Se brindará un apoyo más específico a aquellos actores que deseen formar parte de una comunidad energética o tengan la intención de iniciar una desde cero, incluso si no cuentan con un grupo previamente establecido.
En el ámbito del asesoramiento, a el  equipo de profesionales interno se suma a las contrataciones de una asesoría jurídica, una asesoría técnica y una asesoría administrativa altamente especializadas en las tareas necesarias para la creación de comunidades energéticas. estos equipos trabajarán en estrecha colaboración y estarán disponibles tanto de manera presencial u online para adaptarse a las diversas necesidades de los diferentes actores sociales. el acceso a estos servicios especializados se realizará mediante una solicitud formalizada a través de la web. estos equipos también tendrán la responsabilidad de apoyar en la divulgación, contribuyendo así a crear un ambiente de confianza óptimo.</t>
  </si>
  <si>
    <t>OTC ciuden</t>
  </si>
  <si>
    <t>PR-OTC-2023-000309</t>
  </si>
  <si>
    <t>Aeronáutico</t>
  </si>
  <si>
    <t>Planta de Producción de Combustible Sostenible de Aviación “COMPOSTILLA GREEN – PLANTA DE H2 y eSAF”</t>
  </si>
  <si>
    <t>PERSEUS POWER, SL</t>
  </si>
  <si>
    <t>https://ric.energy/ric-energy-adjudicataria-definitiva-del-programa-h2-valles-con-su-proyecto-de-esaf-compostilla-green-en-leon/</t>
  </si>
  <si>
    <t>Planta de producción de combustible sostenible de aviación</t>
  </si>
  <si>
    <t>Compostilla Green - Planta de H2 y eSAF</t>
  </si>
  <si>
    <t>PR-H2CLUSTER-2024-000074</t>
  </si>
  <si>
    <t>Central Hidroeléctrica Reversible Navaleo</t>
  </si>
  <si>
    <t>C D R TREMOR, SL</t>
  </si>
  <si>
    <t>PR-BORALMAC-2023-000012.jpg</t>
  </si>
  <si>
    <t>https://cdrnavaleo.eu/contacto/
https://www.elbierzodigital.com/cdr-tremor-iniciar-este-ano-construccion-central-hidroelectrica-reversible-navaleo/</t>
  </si>
  <si>
    <t>Central Depuradora Reversible Navaleo
Capacidad de Almacenamiento : 3.625 MWh
Potencia de turbinación: 552 MW.</t>
  </si>
  <si>
    <t>Central Depuradora Reversible Navaleo</t>
  </si>
  <si>
    <t>PR-BORALMAC-2023-000012</t>
  </si>
  <si>
    <t>6 empleos asociados a la ayuda</t>
  </si>
  <si>
    <t>Construcción de edificio industrial para centro logístico de almacenaje y distribución de stocks</t>
  </si>
  <si>
    <t>15070</t>
  </si>
  <si>
    <t>Pontes de García Rodríguez, As</t>
  </si>
  <si>
    <t>Ayuntamiento de As Pontes</t>
  </si>
  <si>
    <t>ELET-2020-00045-E.jpg</t>
  </si>
  <si>
    <t>El proyecto consiste en la construcción de una nave de 2000 m2, con una explanada de 10.000 m2 para aparcamiento de camiones, que sirva de centro logístico en un terreno propiedad del Concello de As Pontes.
Las instalaciones darán servicio de almacenaje y posterior distribución del stock almacenado generando una gran oportunidad  de  negocio  al  sector del transporte por carretera, afectado por el cierre de la central térmica.</t>
  </si>
  <si>
    <t>Construcción de edificio industrial para centro logístico de almacenaje y distrubución de stocks</t>
  </si>
  <si>
    <t>ELET-2020-00045-E</t>
  </si>
  <si>
    <t>Reconversión del edificio del matedero municipal en Centro Acelerador de Obradores Agroalimentarios.</t>
  </si>
  <si>
    <t>ELCT-2020-00023-E</t>
  </si>
  <si>
    <t>5 empleos asociados a la ayuda</t>
  </si>
  <si>
    <t>Constitución y puesta en marcha de la Entidad Urbanística de Conservación y Servicios para los Polígonos EMPRESARIALES de As Pontes</t>
  </si>
  <si>
    <t>ELCT-2020-00017-E</t>
  </si>
  <si>
    <t>ORDENACIÓN Y PUESTA EN VALOR DEL PARQUE DE LA MEMORIA TOXO VERDE</t>
  </si>
  <si>
    <t>2024-C056.jpg</t>
  </si>
  <si>
    <t> https://vive.aspontes.org/as-pontes-licita-o-proxecto-de-acondicionamento-do-parque-da-memoria-toxo-verde-e-da-rotopala/</t>
  </si>
  <si>
    <t> La intervención tiene por objeto el acondicionamiento de un área abandonada de 155.000m2 colindante con las excavaciones de la antigua mina a cielo abierto de As Pontes y que posteriormente fueron reconvertidas en un lago artificial. Estos terrenos se empleaban para el desmontaje y desmantelamiento de la maquinaria que desarrollaba las tareas inherentes a la extracción del carbón conservándose actualmente algunos ejemplares.
Se proyecta convertir este lugar en un nuevo espacio público de esparcimiento manteniendo la maquinaria industrial como vestigio</t>
  </si>
  <si>
    <t> Ordenación y puesta en valor del parque de la memoria Toxo Verde</t>
  </si>
  <si>
    <t>2024-C056</t>
  </si>
  <si>
    <t>Adquisición y reforma de un edificio que ocupa la totalidad de una parcela situada en la Rúa Blanco Amor de As Pontes</t>
  </si>
  <si>
    <t>NORTEGAL EXPERIENCIAS S.L.</t>
  </si>
  <si>
    <t>Cedida por el promotor</t>
  </si>
  <si>
    <t>2023-P201.png</t>
  </si>
  <si>
    <t>Rehabilitación de edificio en la Rúa Blanco Amor, en el entorno del Lago de As Pontes, para explotación de dos apartametnos turísticos en dicho edificio, para incorporar al catálogo de oferta de la empresa dedicada a la hostelería, alquiler de vehículos y experiencias tursísticas (bicicletas eléctricas, kayaks, hípica, etc).
Para agilizar el proceso de reserva de apartamentos la empresa está desarrollando un motor que será implementado en su propia web.</t>
  </si>
  <si>
    <t xml:space="preserve">Adquisición y reforma de un edificio para la apertura de apartamentos turisticos </t>
  </si>
  <si>
    <t>2023-P201</t>
  </si>
  <si>
    <t>Adecuación de nave para instalaciones de empresa dedicada a mantenimiento suministros e instalaciones industriales</t>
  </si>
  <si>
    <t>PROYECTOS SOLUCIONES E INSTALACIONES GALICIA SLU</t>
  </si>
  <si>
    <t>2023-P123.jpeg</t>
  </si>
  <si>
    <t>Adecuación de una nave para ampliación de instalaciones, tanto de espacio de trabajo como mejora de las condiciones y entorno, fortaleciendo la empresa e iniciando un ciclo expansivo.</t>
  </si>
  <si>
    <t>2023-P123</t>
  </si>
  <si>
    <t>Modernización de planta de reciclado y re-fabricación de plásticos</t>
  </si>
  <si>
    <t>TECNICA DE ENVASES PESQUEROS TEP, S.A.</t>
  </si>
  <si>
    <t>2023-P095.jpg</t>
  </si>
  <si>
    <t>Diversificación de la actividad actual de la Empresa orientándose al reciclaje y la refabricación de envases de plástico que no son reutilizados, mediante el que llevará a cabo un circuito cerrado a favor del medioambiente. Se trata de desarrollar una vía de valorización para los flujos de residuos plásticos generados y que actualmente no son recuperados.
Es un proyecto totalmente alineado con los principios de la economía circular ya que tiene como objetivo último reincorporar los residuos como materias primas en ecosistemas industriales y principalmente en la propia empresa en el desarrollo de su actividad actual.
Con este nuevo proyecto se pretende asimismo reducir la cantidad de residuos que se generan en la industria y promover la utilización de material reciclado, contribuyendo a la vez al uso eficiente de los materiales, creando un packaging circular y sostenible.</t>
  </si>
  <si>
    <t>2023-P095</t>
  </si>
  <si>
    <t>Creación de una albergue juvenil para celebración de campamentos estivales, cursos de formación y proyectos de movilidad internacional</t>
  </si>
  <si>
    <t>ASOCIACION XERACION</t>
  </si>
  <si>
    <t>https://xeracion.org/nosotros/</t>
  </si>
  <si>
    <t>Creación de un albergue/coliving en la zona rural de Ferrol dirigido a un público jóven. Se creará un espacio en el que poder acoger estancias de media duración ofreciendo paquetes de una o dos semanas  en los que se combinen la estancia en cuartos compartidos con un programa de actividades deportivas, formativas y de voluntariado. Materializando así una idea de negocio original en un entorno actualmente degradado, implicando en dicho proceso a la propia comunidad local y generando diversas externalidades positivas.
La innovación del proyecto reside en la oferta del servicio a menores de 30 años, formación ofrecida mayormente en inglés a lo largo de todo el continente europeo y una oferta de actividades única en la provincia, todo ello implicando a entidades y vecinos del entorno.</t>
  </si>
  <si>
    <t>2023-P082</t>
  </si>
  <si>
    <t>Equipación de centro residencial para rehabilitación psico-social de personas con enfermedad mental</t>
  </si>
  <si>
    <t xml:space="preserve">ASOCIACIÓN SAÚDE MENTAL FERROL, EUME E ORTEGAL. ASOCIACIÓN DE FAMILIARES E PERSOAS CON ENFERMIDADES MENTALES </t>
  </si>
  <si>
    <t>Dotación de la equipación de necesaria para el centro residencial de cara a cubrir las necesidades de rehabilitación psicosocial de las personas con enfermedad mental, que por su grado de autonomía necesitan asistencia sociosanitaria  24 horas al día. Se trata de un perfil de pacientes al que le es insuficiente un piso protegido por tener mucha menor autonomía personal y/o funcional, precisando de un mayor apoyo y supervisión. 
Para ofrecer una adecuada atencion sanitaria y social se implementará un modelo operativo innovador basado en una unidad de convivencia con atención personalizada en un formato muy parecido a una vivienda unifamiliar.
Como punto de partida para la digitalización de los procesos se obtendrá equipamiento informático para mejorar la eficiencia en los cuidados.</t>
  </si>
  <si>
    <t>2023-P079</t>
  </si>
  <si>
    <t>Ampliación de la capacidad productiva de la empresa</t>
  </si>
  <si>
    <t>HORMIGONES BERGANTIÑOS S.A.</t>
  </si>
  <si>
    <t>Alquiler y acondicionamiento de las instalaciones pertenecientes a otra empresa, con el mismo fín (fabricación de hormigón fresco). Actualmente las instalaciones  están sin uso, y se pretende ponerlas de nuevo en funcionamietno y  ampliar la capacidad productiva de la empresa.</t>
  </si>
  <si>
    <t>2023-P063</t>
  </si>
  <si>
    <t xml:space="preserve">Instalación de un campamento de turismo sostenible </t>
  </si>
  <si>
    <t>15025</t>
  </si>
  <si>
    <t>Cerdido</t>
  </si>
  <si>
    <t>HARAS DE BORDO, S.L.</t>
  </si>
  <si>
    <t>Fuente: Haras de Bordo</t>
  </si>
  <si>
    <t>2023-P012.png</t>
  </si>
  <si>
    <t>https://www.lavozdegalicia.es/album/ferrol/cerdido/2024/10/05/haras-bordo-campamento-turistico-corazon-cerdido/01101728142069333972972.htm</t>
  </si>
  <si>
    <t xml:space="preserve">Creación de un campamento de turismo (camping) sostenible formado por cabañas de madera elevadas y tiendas tipo "tipi" sobre plataformas de madera que ponga en valor el territorio en el que se encuentra, potenciando un turismo sostenible y no estacional. Un acercamiento a una naturaleza pura, alejada de la contaminación y de entornos urbanos masificados.
El campamento contará con un edificio de recepción, que incluirá tienda de productos de primera necesidad (de productores locales) y dos baños completos de uso común. 
Estará ubicado en una parcela propiedad de la sociedad, que antes de su adquisición estaba dedicada al monocultivo de eucaliptos. </t>
  </si>
  <si>
    <t>2023-P012</t>
  </si>
  <si>
    <t>Instalación de una planta de gasificación-pirólisis para la valorización de residuos</t>
  </si>
  <si>
    <t>VALOGREENE RECINOR, S.L.</t>
  </si>
  <si>
    <t>2023-G098.jpg</t>
  </si>
  <si>
    <t>https://valogreenerecinorassomozas.com/</t>
  </si>
  <si>
    <t>Esta nueva planta gestionará una gran cantidad de residuos industriales no peligrosos a partir de los cuales se obtendrán materias primas y subproductos con capacidad para ser utilizados en industrias como la química, la agrícola, la cementera o la cerámica. 
Con la puesta en marcha de este proyecto se espera evitar el transporte de 40.000 toneladas anuales de residuos a vertedero y la obtención de 16.000 toneladas de materias primas y subproductos. 
La planta será sostenible, autosuficiente energéticamente y renovable, lo cual unido al objetivo de reducir la emisión de gases efecto invernadero, contribuye a una economía circular verde y ajustada con los objetivos de España y Europa 2030.
Tras la puesta en marcha de la planta se prevé la creación de 25 empleos.</t>
  </si>
  <si>
    <t>2023-G098</t>
  </si>
  <si>
    <t>Ampliación de capacidad actual de la residencia de mayores La Magdalena</t>
  </si>
  <si>
    <t>GRUPO INSTITUTO GERONTOLOGICO IGA, S.L.</t>
  </si>
  <si>
    <t>https://www.elprogreso.es/articulo/a-chaira/residencia-mayores-magdalena-pontes-contara-40-plazas-mas/202407031553401770932.html</t>
  </si>
  <si>
    <t>Aumento de la capacidad de la residencia existente hasta las 92 plazas mediante la construcción de una nueva dependencia con capacidad para 34 plazas, que permita cubrir la demanda existente de internamiento y asistencia sociosanitaria a personas mayores de la comarca y a su vez generar 11 nuevos empleos femeninos de carácter indefinido. A través de la instalación de paneles solares fotovoltaicos y de energía solar térmica se contribuirá a la mejora del medioambiente, reduciendo anualmente las emisiones de CO2 el equivalente a 32,22 barriles de petróleo o 2,92 vehículos.
Además, se introducirán herramientas de digitalización para la eficiencia y agilización de procesos, que aumentarán tanto el tiempo de atención a los residentes como la calidad de la atención a estos.</t>
  </si>
  <si>
    <t>2023-G086</t>
  </si>
  <si>
    <t>Ampliación de empresa de gestión de residuos con la instalación de una nueva línea de producción de materias primas circulares</t>
  </si>
  <si>
    <t>RECINOR GESTIÓN DE RESIDUOS, SL</t>
  </si>
  <si>
    <t>Adquisición de equipos y maquinaria, así como, la ejecución de la obra civil necesaria para la puesta en funcionamiento de una  nueva línea de producción de materias primas circulares
Para el desarrollo del proyecto se han tenido en cuenta las necesidades de la empresa,  determinando el tipo de equipos y maquinaria necesarios para conseguir los objetivos previstos de mejora de eficiencia, de aumentar capacidad de producción, de mejorar la calidad y conseguir la puesta en funcionamiento de una nueva línea de producción.</t>
  </si>
  <si>
    <t xml:space="preserve"> Nueva línea de producción de materias primas circulares</t>
  </si>
  <si>
    <t>2023-G015</t>
  </si>
  <si>
    <t>Pagado el 80% 448.613,45€ (22/07/2025)</t>
  </si>
  <si>
    <t>Ampliación de instalaciones de empresa de calderería y estructuras singulares</t>
  </si>
  <si>
    <t>PROMETAL TECNOLOGIA E INNOVACION SL</t>
  </si>
  <si>
    <t>2023-G006.jpg</t>
  </si>
  <si>
    <t>https://www.lavozdegalicia.es/noticia/ferrol/2024/03/08/trocitos-tunel-submarino-largo-europa-fabrican-as-pontes/0003_202403G8P34991.htm</t>
  </si>
  <si>
    <t>El desarrollo de este nuevo proyecto permitirá a la empresa, dedicada a la producción de estructuras metálicas, crear una nueva instalación de línea vanguardista con construcción modular, así como financiar la dotación de nueva maquinaria e implementar un software de control de producción.
Disponer de instalaciones de más capacidad  permitirá a la empresa poder asumir más pedidos  de los que ejecutan actualmente. Así mismo se prevé ampliar la plantilla de la empresa de 20 trabajadores en cinco nuevos puestos de trabajo cuando se produzca el traslado a las nuevas instalaciones. La empresa también está comprometida con la formación del personal, y tienen en proyecto formar a mujeres soldadoras, para romper la barrera de género en este sector.</t>
  </si>
  <si>
    <t>2023-G006</t>
  </si>
  <si>
    <t>EQUIPAMIENTOS VINCULADOS AL SENDERO LITORAL. Centro de Interpretación del Mundo Celta con nuevo equipamiento audiovisual interactivo que permitirá rentabilizar todo el año la oferta cultural del Festival Internacional del Mundo Celta</t>
  </si>
  <si>
    <t>AYUNTAMIENTO DE ORTIGUEIRA</t>
  </si>
  <si>
    <t>https://www.lavozdegalicia.es/noticia/ferrol/ortigueira/2023/03/04/ortigueira-creara-escolar-loiba-primer-albergue-camino-natural-cantabrico/0003_202303F4C9991.htm</t>
  </si>
  <si>
    <t>Rehabilitación de un antiguo edifico escolar para su acondicionamiento como albergue municipal y centro sociocultural, en el que desarrollar cursos formativos en nuevas tecnologías para habitantes del rural como empresas. Recuperación de un área de descanso con pasarela que llega hasta el mar, plataformas de baño y sendero cubierto.</t>
  </si>
  <si>
    <t>Rehabilitación de antiguo edificio para la creación de un albergue municipal y centro sociocultural.</t>
  </si>
  <si>
    <t>2022-C212</t>
  </si>
  <si>
    <t xml:space="preserve">ADECUACIÓN DEL EDIFICIO DE LA CASA DE CULTURA DEL AYUNTAMIENTO DE CERDIDO. Espacio multiusos para centro de mayores, coworking y aula de formación con sistema de mentoring para dinamizar los servicios. Estará dotado de punto de carga eléctrica, mini punto limpio y wifi gratuita </t>
  </si>
  <si>
    <t>AYUNTAMIENTO DE CERDIDO</t>
  </si>
  <si>
    <t>https://enfoques.gal/ortegal/cerdido/la-casa-da-cultura-de-cerdido-se-rehabilitara-con-una-subvencion-de-casi-medio-millon-de-euros/</t>
  </si>
  <si>
    <t xml:space="preserve">Rehabilitación de la Casa da Cultura de Cerdido, ubicada en un edificio construido en 1992. 
Se pretende acondicionar el edificio como centro de mayores, centro de coworking para el desarrollo y emprendimiento de empresas, así como centro de formación en diferentes programas formativos centrados en la integración laboral especialmente de las mujeres. Como elementos innovadores se incluyen softwares de coworking y de gestión del centro de mayores, junto a equipos informáticos y herramientas digitales para el aula de formación. Además, se proporciona WiFi público, punto de recarga de vehículos e instalación de un panel informativo para la mejora la transmisión de información. </t>
  </si>
  <si>
    <t>Rehabilitación de la Casa da Cultura</t>
  </si>
  <si>
    <t>2022-C203</t>
  </si>
  <si>
    <t>PROYECTO BÁSICO DE REHABILITACIÓN INTEGRAL DE EDIFICIO MUNICIPAL DESTINADO A CENTRO SOCIAL</t>
  </si>
  <si>
    <t>15050</t>
  </si>
  <si>
    <t>Monfero</t>
  </si>
  <si>
    <t>Ayuntamiento de Monfero</t>
  </si>
  <si>
    <t> https://listaroja.hispanianostra.org/ficha/casa-rectoral-canedo/</t>
  </si>
  <si>
    <t xml:space="preserve">Rehabilitación de una antigua casa rectoral, construida en 1924. Se sitúa en el entorno de protección de la iglesia Val de Xestoso, en el lugar de O Canedo.
Se prevé desarrollar un programa de centro social que contará con salas de usos múltiples para la realización de actividades promovidas por el Ayuntamiento y por los vecinos de la zona. 
El edificio cuenta con una parcela de 5.629 m2 que servirá de apoyo a las actividades que se lleven a cabo al aire libre. </t>
  </si>
  <si>
    <t>Restauración de la casa rectoral de O Canedo para centro social</t>
  </si>
  <si>
    <t>2022-C187</t>
  </si>
  <si>
    <t xml:space="preserve">CEDES CENTRO DE DESARROLLO ECONÓMICO Y SOCIAL. Espacio para la dinamización de PYMES y asociaciones que contribuya a la transformación digital de la economía y a la disminución de la brecha digital </t>
  </si>
  <si>
    <t>15049</t>
  </si>
  <si>
    <t>Moeche</t>
  </si>
  <si>
    <t>Ayuntamiento de  MOECHE</t>
  </si>
  <si>
    <t>2022-C167.jpg</t>
  </si>
  <si>
    <t>https://www.diariodeferrol.com/articulo/comarcas/proyecto-cedes-rural-tic-moeche-podria-estar-finalizado-primer-trimestre-2024-4198847</t>
  </si>
  <si>
    <t>Rehabilitación de una antigua nave de ganado en el Recinto Ferial de Moeche para ser utilizado como Centro de Dinamización Económica y Social energéticamente eficiente. Mediante la innovación digital, la promoción del emprendimiento y el desarrollo económico se pretende incentivar la permanencia en el territorio; la inclusión social del entorno rural general y la población femenina en particular en el proceso de digitalización, así como la digitalización económica.</t>
  </si>
  <si>
    <t>CEDES Centro de Desarrollo Económico y Social</t>
  </si>
  <si>
    <t>2022-C167</t>
  </si>
  <si>
    <t xml:space="preserve">MEJORA PAISAJÍSTICA DE LAS INSTALACIONES MUNICIPALES DE A CORTIÑA Y PAZO DA MARQUESA. Dotación de instalaciones públicas como aparcamiento y punto para bicicletas, la creación de caminos peatonales, un parque infantil y un paseo fluvial </t>
  </si>
  <si>
    <t>Ayuntamiento de  SAN SADURNIÑO</t>
  </si>
  <si>
    <t>https://www.lavozdegalicia.es/noticia/ferrol/san-sadurnino/2023/02/13/san-sadurnino-impulsa-actuacion-cortina-paseo-jardines/0003_202302F13C69973.htm</t>
  </si>
  <si>
    <t>Renovación de las estructuras dañadas o en mal estado e incorporación de nuevos elementos para disfrute de los usuarios.  Se construirá un aparcamiento y punto de mantenimiento de bicis, se creará una huerta de formación con zona para tratamiento y almacenamiento de fruta, acondicionamiento de caminos peatonales, plantación de árboles autóctonos y la construcción de un parque infantil.
Como elementos innovadores se implantarán una instalación solar de baterías.</t>
  </si>
  <si>
    <t>Mejora paisajística de las instalaciones municipales de A Cortiña y Pazo da Marquesa</t>
  </si>
  <si>
    <t>2022-C166</t>
  </si>
  <si>
    <t>REHABILITACIÓN DE LAS ANTIGUAS ESCUELAS MUNICIPALES PARA VIVIENDA SOCIAL Y EQUIPAMIENTO SOCIOCOMUNITARIO. Viviendas municipales y locales sociales para actividades culturales y/o sociales</t>
  </si>
  <si>
    <t>AYUNTAMIENTO DE AS SOMOZAS</t>
  </si>
  <si>
    <t>https://www.diariodeferrol.com/articulo/comarcas/antiguas-escuelas-somocenses-convertiran-viviendas-sociales-4176546</t>
  </si>
  <si>
    <t>Rehabilitación de cinco escuelas municipales construidas en torno a 1950 para utilizar 3 de ellas como viviendas protegidas y 2 para mantener su uso como locales sociales. Se mejorarán las condiciones de habitabilidad, accesibilidad y ahorro energético.</t>
  </si>
  <si>
    <t>Rehabilitación de las antiguas escuelas municipales para vivienda social y equipamiento sociocomunitario</t>
  </si>
  <si>
    <t>2022-C141</t>
  </si>
  <si>
    <t xml:space="preserve">PROYECTO DE INFRAESTRUCTURAS AMBIENTALES, SOCIALES Y DIGITALES ARBOLADO URBANO EN CASCO URBANO VILAL. Peatonalización y humanización de trayectos peatonales para favorecer los desplazmientos a pie  </t>
  </si>
  <si>
    <t>27065</t>
  </si>
  <si>
    <t>Vilalba</t>
  </si>
  <si>
    <t>AYUNTAMIENTO DE VILALBA</t>
  </si>
  <si>
    <t xml:space="preserve">Proyecto de infraestructuras ambientales, sociales y digitales arbolado urbano en casco urbano Vilalba </t>
  </si>
  <si>
    <t>2022-C127</t>
  </si>
  <si>
    <t xml:space="preserve">REHABILITACIÓN DO ANTIGO ESCOLAR DE FREITIDO COMA FOGAR DO MAIOR. Centro de mayores en la antigua escuela para ofrecer un servicio social inexistente hasta ahora </t>
  </si>
  <si>
    <t>AYUNTAMIENTO DE MAÑÓN</t>
  </si>
  <si>
    <t>2022-C124.jpg</t>
  </si>
  <si>
    <t>https://galiciaartabra.es/archivos/308454</t>
  </si>
  <si>
    <t>La antigua escuela de Freitido es un edificio protegido, recogido en el catálogo del planteamiento municipal.  Su rehabilitación consiste en acondicionar el edificio como hogar del mayor.
Entre los componentes innovadores que incluirá tanto el edificio como el servicio que se prestará en él, se incluyen un vehículo eléctrico para el transporte de los usuarios y diferentes dispositivos tecnológicos para la estimulación cognitiva de los mayores. Tras la rehabilitación y puesta en marcha del centro se espera generar al menos 1 empleo, considerando también la colaboración con PYMES.</t>
  </si>
  <si>
    <t>Rehabilitación de la antigua escuela de Freitido como Hogar del Mayor</t>
  </si>
  <si>
    <t>2022-C124</t>
  </si>
  <si>
    <t xml:space="preserve">PROYECTO. BÁSICO Y DE EJECUCIÓN REFUNDIDO DE ACTUACIONES EN EL CASTILLO DE SAN FELIPE. Nuevo foco turístico con la restauracón de Batería Alta del Castillo de San Felipe, del S.XVI con servicios de restauración para visitantes </t>
  </si>
  <si>
    <t>AYUNTAMIENTO DE FERROL</t>
  </si>
  <si>
    <t>2022-C059.jpg</t>
  </si>
  <si>
    <t>https://www.diariodeferrol.com/articulo/ferrol/gobierno-invierte-millon-euros-rehabilitacion-castillo-san-felipe-4174671</t>
  </si>
  <si>
    <t>Conservación y mantenimiento de la Batería Alta y rehabilitación de la Casa del Comandante como dotación de una cafetería. Una vez terminada la rehabilitación, estas zonas tendrán incorporados equipos de alto nivel tecnológico e innovador que contribuirán a aparcar un modelo energético de alto consumo para avanzar en la reducción de energías no renovables y emisiones de CO2.</t>
  </si>
  <si>
    <t xml:space="preserve">Restauración de Batería Alta del Castillo de San Felipe, del S.XVI con servicios de restauración para visitantes </t>
  </si>
  <si>
    <t>2022-C059</t>
  </si>
  <si>
    <t>MEJORA AMBIENTAL Y DIGITAL DEL PINAR DE LA MAGDALENA Y SU ENTORNO. Recuperación medioambiental de la playa, integración paisajística, mejora de la accesibilidad y uso de paneles informativos digitales</t>
  </si>
  <si>
    <t>15015</t>
  </si>
  <si>
    <t>Cabanas</t>
  </si>
  <si>
    <t>Ayuntamiento DE CABANAS</t>
  </si>
  <si>
    <t>2022-C057.jpeg</t>
  </si>
  <si>
    <t>https://galiciaartabra.es/archivos/294303</t>
  </si>
  <si>
    <t>Para la mejora del pinar se plantea la intervención en 4 ámbitos:  Medioambiental mediante la retirada de árboles enfermos, la poda selectiva para seguridad de los usuarios, la reforestación con especies autóctonas y la delimitación de una zona para la protección del ave Charadrius alexandrinus; Urbanístico, colocando paneles cubre contenedores y reparando la caseta de socorristas; Accesibilidad, mediante la ampliación de sendas y pasarelas para garantizar el acceso a personas con movilidad reducida y Digital, instalando paneles informativos digitales que informarán sobre el volumen de usuarios, zonas de mayor afluencia, exposición solar, previsión meteorológica, estado del mar…; un sistema de megafonía y paneles fotovoltaicos para el abastecimiento de las instalaciones, así como los puntos de recarga de vehículos eléctricos.</t>
  </si>
  <si>
    <t>Mejora ambiental y digital del pinar de la Playa de la Magdalena y su entorno</t>
  </si>
  <si>
    <t>2022-C057</t>
  </si>
  <si>
    <t xml:space="preserve">REHABILITACIÓN DE LA NAVE MUNICIPAL DEL POLÍGONO "VILLAR DO COLO" Y CREACIÓN DE COWORKING. Espacio de coworking para de conciliación, crecimiento y consolidación de actividades profesionales </t>
  </si>
  <si>
    <t>Acondicionamiento de una nave industrial para implantar un espacio de coworking destinado a profesionales y microempresas relacionados con la innovación digital, el emprendimiento y la investigación. Para el acondicionamiento se plantea la redistribución de estancias, la mejora de la eficiencia energética y acústica, la incorporación de energías renovables, instalaciones de climatización ventilación e iluminación de alta eficiencia, así como la mejora ambiental de espacios libres.</t>
  </si>
  <si>
    <t xml:space="preserve"> Espacio de coworking en Vilar do Colo para de conciliación, crecimiento y consolidación de actividades profesionales </t>
  </si>
  <si>
    <t>2022-C056</t>
  </si>
  <si>
    <t xml:space="preserve">A REITORAL (CIT): REHABILITACIÓN DE CASA RECTORAL PARA CENTRO INTERNACIONAL DE LA TORNERÍA. Centro Internacional de la Tornería. Además de recibir un congreso internacional cada septiembre, el centro podrá usarse para otras actividades, como cursos, conferencias o exposiciones. </t>
  </si>
  <si>
    <t>27021</t>
  </si>
  <si>
    <t>Xermade</t>
  </si>
  <si>
    <t>AYUNTAMIENTO DE XERMADE</t>
  </si>
  <si>
    <t>2022-C054.png</t>
  </si>
  <si>
    <t>https://www.lavozdegalicia.es/noticia/lugo/xermade/2023/03/23/viej-casa-cura-sera-xermade-centro-interpretacion-torneria/00031679571538639634701.htm</t>
  </si>
  <si>
    <t xml:space="preserve">Creación de un centro de trabajo para los artesanos del municipio y la contorna. Las nuevas instalaciones contarán también con una zona de exposición buscando la recuperación del oficio de la tornería.  El edificio, donde se desarrollarán las actuaciones, es una vieja casa rectoral que antiguamente pertenecía al obispado de Mondoñedo-Ferrol. La restauración se llevará a cabo, manteniendo el valor patrimonial y aplicando criterios de eficiencia energética y contará con elementos innovadores y de digitalización.  
La actividad de tornear la madera tiene gran arraigo en el municipio, desde hace más de 20 años, celebrando cada mes de septiembre un encuentro de torneros de ámbito internacional. </t>
  </si>
  <si>
    <t>A Reitoral (CIT): Rehabilitación de casa rectoral para centro internacional de la Tornería</t>
  </si>
  <si>
    <t>2022-C054</t>
  </si>
  <si>
    <t>REPOTENCIACIÓN PARCIAL DEL PARQUE EÓLICO EXPERIMENTAL SOTAVENTO</t>
  </si>
  <si>
    <t>SOTAVENTO GALICIA, S.A</t>
  </si>
  <si>
    <t>Modificación del parque eólico Sotavento, mediante el desmantelamiento de 6 aerogeneradores y la instalación de nuevos aerogeneradores de hasta 4.200 kW, 2 centros de transformación instalados unitariamente en interior de la góndola, una línea de media tensión subterránea para la evacuación de la energía generada por los dos nuevos aerogeneradores y la creación de  un nuevo camino de acceso a los dos nuevos generadores.</t>
  </si>
  <si>
    <t>Repotenciación parcial del parque eólico experimental Sotavento</t>
  </si>
  <si>
    <t>PR-REPOTEN-2023-000249</t>
  </si>
  <si>
    <t>50% proyecto
Coste elegible total: 48.500.250, Ayuda concedida 20.000.000 - Dividido al 50% entre As Pontes y Meirama</t>
  </si>
  <si>
    <t>Plataforma experimental de eólica marina de Galicia – Plataforma de ensayo de aerogeneradores marinos y flotadores frente a las costas de Arteixo</t>
  </si>
  <si>
    <t>Inega: Instituto Enerxético de Galicia</t>
  </si>
  <si>
    <t>Marina5.jpg</t>
  </si>
  <si>
    <t>https://economia.xunta.gal/plataforma-eolica-marina?langId=es_ES</t>
  </si>
  <si>
    <t>Infraestructura singular de ensayo, impulsada por la Xunta de Galicia, que permitirá el desarrollo tecnológico, a través del testeo de prototipos flotantes de eólica marina, y la realización de estudios relacionados con el medio marino y la biodiversidad.
El desarrollo del proyecto incidirá directamente en la ZTJ de Meirama</t>
  </si>
  <si>
    <t>PR-RENMARDEM-2023-000075</t>
  </si>
  <si>
    <t>RENMARDEM</t>
  </si>
  <si>
    <t>Proyectos piloto y plataformas de ensayo e infraestructuras portuarias para renovables marinas</t>
  </si>
  <si>
    <t>Infraestructura singular de ensayo, impulsada por la Xunta de Galicia, que permitirá el desarrollo tecnológico, a través del testeo de prototipos flotantes de eólica marina, y la realización de estudios relacionados con el medio marino y la biodiversidad.
El desarrollo del proyecto incidirá directamente en la ZTJ de As Pontes.</t>
  </si>
  <si>
    <t>POZA</t>
  </si>
  <si>
    <t>GOBELA GE, S.L.</t>
  </si>
  <si>
    <t>Baterias.jpg</t>
  </si>
  <si>
    <t xml:space="preserve"> https://medioambiente.xunta.gal/c/document_library/get_file?folderId=444757&amp;name=DLFE-75402.zip</t>
  </si>
  <si>
    <t>Planta de almacenamiento de electricidad mediante baterías de litio 
Ubicada en las proximidades de la antigua central térmica de Meirama, en el municipio de Cerceda. 
Capacidad de 16,2 megavatios hora y su finalidad es proporcionar electricidad a la red general en momentos en que la demanda sea elevada. 
La planta ocupará una superficie de 1.800 metros cuadrados</t>
  </si>
  <si>
    <t xml:space="preserve">Sistema de almacenamento de enerxía "Bess Poza" </t>
  </si>
  <si>
    <t>FEDER-PINALM-2025-002792</t>
  </si>
  <si>
    <t>FEDER 21-27</t>
  </si>
  <si>
    <t>PINALM</t>
  </si>
  <si>
    <t>Proyectos innovadores de almacenamiento energético</t>
  </si>
  <si>
    <t>CHR MONTEMAIOR</t>
  </si>
  <si>
    <t>GNERA ENERGÍA Y TECNOLOGÍA SL</t>
  </si>
  <si>
    <t>CH reversible 2.jpg</t>
  </si>
  <si>
    <t>El proyecto CHR Montemaior es una iniciativa que apuesta por un modelo energético más sostenible y respetuoso con el medio ambiente. El proyecto contribuirá activamente a la transición hacia energías más limpias y eficientes.
CHR Montemaior busca generar beneficios ambientales, reduciendo el impacto sobre el entorno, y sociales, impulsando el desarrollo local y el empleo en el territorio.
Con esta actuación, se da un paso más hacia un futuro energético más limpio, innovador y alineado con los objetivos de lucha contra el cambio climático, reforzando el compromiso con el desarrollo sostenible y la eficiencia energética.</t>
  </si>
  <si>
    <t>CHR MONTEMAIOR Central Hidroeléctrica Reversible para una energía más limpia</t>
  </si>
  <si>
    <t>FEDER-PINALM-2025-001949</t>
  </si>
  <si>
    <t>BESS RAPOSEIRAS</t>
  </si>
  <si>
    <t>YERGA SOLAR III SL</t>
  </si>
  <si>
    <t>https://www.xunta.gal/dog/Publicados/2025/20251201/AnuncioG0763-061125-0007_es.html</t>
  </si>
  <si>
    <t xml:space="preserve">El Sistema de Almacenamiento de Energía de Baterías BESS RAPOSEIRAS  y su infraestructura de evacuación, estará ubicado en Ordes (A Coruña, España).
La instalación de almacenamiento estará formada por:
- 6 contenedores de baterías “ESS” destinados al almacenamiento energético, que albergarán las baterías de litio ferro-fosfato (LFP) en la modalidad standalone.
- 1 unidad PCS (Power Station Converter) que se encargará del sistema de inversión CC/CA y transformación BT/MT.
Se instalará un centro de seccionamiento de tipo prefabricado, que albergará un grupo de celdas formado por una celda de protección para el sistema de almacenamiento de
energía en baterías, una celda de alimentación para los servicios auxiliares y una última celda para la evacuación hacia la subestación propiedad de UFD.
La línea de evacuación a 20kV estará formada por conductor tipo RHZ1-2OL 12/20kV, que irá en subterráneo entubada a través de zanja enterrada
</t>
  </si>
  <si>
    <t xml:space="preserve">Sistema de Almacenamiento de Energía de Baterías BESS RAPOSEIRAS de 4 MW </t>
  </si>
  <si>
    <t>FEDER-PINALM-2025-001910</t>
  </si>
  <si>
    <t>BESS STAND ALONE BARCES</t>
  </si>
  <si>
    <t>DESPRO WIND NORTE S.L.</t>
  </si>
  <si>
    <t>https://www.xunta.gal/dog/Publicados/2025/20251217/AnuncioG0763-111125-0005_gl.html</t>
  </si>
  <si>
    <t>Planta de almacenamiento Barces 0,578/20 kV de 4 MW y 16 MWh e infraestructura de evacuación, en los ayuntamientos de Cerceda y Carral (A Coruña).
Baterías de ion de litio Potencia: 4,00 MW.  STAND ALONE 
Capacidad de Almacenamiento: 16,00 MWh.</t>
  </si>
  <si>
    <t>Sistema de almacenamiento BESS STAND ALONE BARCES</t>
  </si>
  <si>
    <t>FEDER-PINALM-2025-000672</t>
  </si>
  <si>
    <t>BAT MURAS</t>
  </si>
  <si>
    <t>IBERDROLA RENOVABLES GALICIA, S.A.</t>
  </si>
  <si>
    <t>PPEE con baterias.jpg</t>
  </si>
  <si>
    <t>El proyecto BAT MURAS es una iniciativa orientada a impulsar un modelo energético más sostenible y eficiente, contribuyendo a la transición hacia un sistema energético bajo en emisiones.
Este sistema almacenará excedentes de energía renovable, fortaleciendo la producción de la zona y potenciando el parque eólico existente. BAT MURAS está concebido para generar beneficios tanto ambientales como sociales, apoyando la reducción del impacto ambiental y favoreciendo el crecimiento económico local. Con este proyecto se refuerza el compromiso con un modelo energético más respetuoso con el entorno, apoyando la transición hacia una economía baja en emisiones y el desarrollo sostenible del territorio.</t>
  </si>
  <si>
    <t>Sistema de almacenamiento de energía "BAT MURAS"</t>
  </si>
  <si>
    <t>FEDER-PINALM-2025-002247</t>
  </si>
  <si>
    <t>Optimización logística para plantas de biogás</t>
  </si>
  <si>
    <t>Sistemas digitales plantas renovables.jpg</t>
  </si>
  <si>
    <t>PR-NMN-01-2023-000132</t>
  </si>
  <si>
    <t>GP H2 As Pontes- Electrolizador PEM, destinado a uso Industrial para autoconsumo del hidrógeno verde y producción de amoniaco en A Coruña para, por ejemplo, la producción de fertilizantes.</t>
  </si>
  <si>
    <t>GP H2 As Pontes</t>
  </si>
  <si>
    <t>H2 1.jpg</t>
  </si>
  <si>
    <t>Proyecto designado como iniciativa empresarial prioritaria que consiste en la construcción de una planta de amoniaco e hidrógeno verde con una capacidad prevista de 120 MW y producción de 98.550 toneladas al año de amoníaco, que será trasladado a una instalación de almacenamiento en el puerto exterior de Ferrol para su exportación. El proyecto se completa con la creación de un centro integrado de energía solar.</t>
  </si>
  <si>
    <t>GP H2 As Pontes- Electrolizador PEM, destinado a uso Industrial para autoconsumo del hidrógeno verde y producción de amoniaco para, por ejemplo, la producción de fertilizantes.</t>
  </si>
  <si>
    <t>PR-H2PION-C2-2023-000202</t>
  </si>
  <si>
    <t xml:space="preserve">El Proyecto H2Pole, localizado en As Pontes de García Rodríguez, consiste en un proyecto integral de producción, distribución y uso de hidrógeno renovable competitivo con una capacidad nominal prevista de 17,5 MW.  
El objetivo del proyecto es ser capaz de descarbonizar la industria localizada en una misma ubicación territorial, e introducir el hidrógeno como vector energético para la industria y movilidad, desarrollándose como una iniciativa inclusiva y de colaboración que permitirá la vertebración del territorio y generar oportunidades para todas las empresas de la región. </t>
  </si>
  <si>
    <t>H2Pole, S.L.U.</t>
  </si>
  <si>
    <t>H2 3.jpg</t>
  </si>
  <si>
    <t>https://reganosa.com/la-primera-gran-planta-de-hidrogeno-verde-de-galicia-obtiene-la-declaracion-de-impacto-ambiental/</t>
  </si>
  <si>
    <t>Producción de hidrógeno renovable (H2Pole)</t>
  </si>
  <si>
    <t>PR-H2PION-2022-000163</t>
  </si>
  <si>
    <t>INSTALACIONES FOTOVOLTAICAS XERANDO</t>
  </si>
  <si>
    <t>ASOCIACIÓN XERANDO, COMUNIDADE DE ENERXÍAS RENOVABLES DE XERMADE</t>
  </si>
  <si>
    <t>https://www.xermade.org/comunidade-de-enerxias-renovables-xerando/
https://www.fegamp.gal/content/19-de-setembro-2024-mais-de-30-socios-crean-en-xermade-unha-comunidade-enerxetica-rural</t>
  </si>
  <si>
    <t xml:space="preserve">Implantar 10 instalaciones fotovoltaicas en las cubiertas/parcelas de titularidad municipal o de miembros de la CE </t>
  </si>
  <si>
    <t>Instalaciones Fotovoltaicas XERANDO</t>
  </si>
  <si>
    <t>PR-PILOTO-05-2024-000271</t>
  </si>
  <si>
    <t>Ampliación de la residencia municipal Los Jardines</t>
  </si>
  <si>
    <t>44025</t>
  </si>
  <si>
    <t>Andorra</t>
  </si>
  <si>
    <t>Ayuntamiento de Andorra</t>
  </si>
  <si>
    <t>ELCT-2020-00099-E.jpg</t>
  </si>
  <si>
    <t>La ampliación de la residencia Los Jardines, ubicada en Andorra, incrementa la oferta de plazas en el municipio, generando unos diez puesto de trabajo adicionales a la plantilla existente.</t>
  </si>
  <si>
    <t>ELCT-2020-00099-E</t>
  </si>
  <si>
    <t>8 empleos asociados a la ayuda</t>
  </si>
  <si>
    <t>Readaptación de edificio municipal en un centro de la tercera edad</t>
  </si>
  <si>
    <t>44022</t>
  </si>
  <si>
    <t>Alloza</t>
  </si>
  <si>
    <t>Ayuntamiento de Alloza</t>
  </si>
  <si>
    <t>ELCT-2020-00035-E.jpg</t>
  </si>
  <si>
    <t xml:space="preserve">La rehabilitación de este edificio permitirá ofrecer un servicio de residencia para mayores en el municipio de Alloza de 17 plazas máximas. </t>
  </si>
  <si>
    <t>ELCT-2020-00035-E</t>
  </si>
  <si>
    <t>17 empleos asociados a la ayuda</t>
  </si>
  <si>
    <t>Reforma de un edificio existente para Residencia de Mayores</t>
  </si>
  <si>
    <t>44122</t>
  </si>
  <si>
    <t>Híjar</t>
  </si>
  <si>
    <t>TERUEL</t>
  </si>
  <si>
    <t>ARAGÓN</t>
  </si>
  <si>
    <t>AYUNTAMIENTO DE HÍJAR</t>
  </si>
  <si>
    <t>ELCT-2020-00026-E.jpg</t>
  </si>
  <si>
    <t>ELCT-2020-00026-E</t>
  </si>
  <si>
    <t>18 empresas</t>
  </si>
  <si>
    <t>consiste en la urbanización de una manzana del polígono Industrial Cueva de San José</t>
  </si>
  <si>
    <t>44051</t>
  </si>
  <si>
    <t>Calanda</t>
  </si>
  <si>
    <t>Ayuntamiento de Calanda</t>
  </si>
  <si>
    <t>El proyecto consiste en la urbanización de una manzana del polígono Industrial Cueva de San José. Esto permite la instalación de nuevas empresas, con la consecuente creación de empleo en la zona.</t>
  </si>
  <si>
    <t>Urbanización de una manzana del polígono Industrial Cueva de San José</t>
  </si>
  <si>
    <t>ARA-2020-0025</t>
  </si>
  <si>
    <t>Rehabilitación de un edificio existente adyacente a la actual residencia de personas mayores para su ampliación</t>
  </si>
  <si>
    <t>44008</t>
  </si>
  <si>
    <t>Albalate del Arzobispo</t>
  </si>
  <si>
    <t>Ayuntamiento de Albalate del Arzobispo</t>
  </si>
  <si>
    <t>Rehabilitación de un edificio ya existente y adyacente a la actual residencia para personas mayores con el fin de ampliar su capacidad y mitigar la presión de la lista de espera. Además de dotar a la residencia con nuevas plazas, los usuarios pueden disfrutar de espacios comunes más amplios, entre ellos, el comedor. </t>
  </si>
  <si>
    <t xml:space="preserve">Ampliación de la residencia de personas mayores </t>
  </si>
  <si>
    <t>ARA-2020-0024</t>
  </si>
  <si>
    <t xml:space="preserve">la 2ª fase de construcción del Centro de Interpretación temática íbera en la partida “El Cabo : El Centro de Interpretación está ejecutado de forma parcial, pues inicialmente se realizó la 1ª fase, que consistió en las obras de cimentación, estructura y cubierta. En esta 2ª fase se pretende finalizar el conjunto del proyecto, que resulta de gran interés a nivel cultural y turístico para el municipio de Andorra y la cultura íbera.
</t>
  </si>
  <si>
    <t>El proyecto consiste en la 2ª fase de construcción del Centro de Interpretación de temática íbera, en la partida El Cabo.  El Centro de Interpretación está ejecutado de forma parcial, pues inicialmente se realizó la 1ª fase, que consistió en las obras de cimentación, estructura y cubierta. En esta 2ª fase se pretende finalizar el conjunto del proyecto, que resulta de gran interés a nivel cultural y turístico para el municipio de Andorra y la cultura íbera.</t>
  </si>
  <si>
    <t xml:space="preserve">Segunda fase de construcción del Centro de Interpretación El Cabo 
</t>
  </si>
  <si>
    <t>ARA-2020-0023</t>
  </si>
  <si>
    <t>Incremento de importe</t>
  </si>
  <si>
    <t xml:space="preserve">introducción de un nuevo colector general de saneamiento </t>
  </si>
  <si>
    <t>Se trata de la introducción de un nuevo colector general de saneamiento. El objeto de este proyecto es la mejora del saneamiento tanto de la red municipal como de las aguas pluviales gracias al aumento de la capacidad que se consigue construyendo un colector bajo la Avenida Dos de Mayo, facilitando el drenaje de la zona. </t>
  </si>
  <si>
    <t xml:space="preserve">Nuevo colector general de saneamiento </t>
  </si>
  <si>
    <t>ARA-2020-0022</t>
  </si>
  <si>
    <t xml:space="preserve">construcción de un centro de día para la tercera edad en un edificio de titularidad municipal </t>
  </si>
  <si>
    <t>44155</t>
  </si>
  <si>
    <t>Montalbán</t>
  </si>
  <si>
    <t>Ayuntamiento de Montalbán</t>
  </si>
  <si>
    <t>ARA-2020-0021.jpg</t>
  </si>
  <si>
    <t>El proyecto (ARA-2020-0021) consiste en la construcción de un centro de día para la tercera edad en un edificio de titularidad municipal. Entre las dependencias del centro de día se encuentra un gimnasio, salas de reuniones, cocina, bar y comedor y una sala de lectura. </t>
  </si>
  <si>
    <t xml:space="preserve">Construcción de un centro de día para la tercera edad </t>
  </si>
  <si>
    <t>ARA-2020-0021</t>
  </si>
  <si>
    <t>consiste en completar la renovación del alumbrado público adaptando de esta forma, las instalaciones a la vigente reglamentación de eficiencia energética</t>
  </si>
  <si>
    <t>El proyecto consiste en completar la renovación del alumbrado público del casco urbano adaptando de esta forma las instalaciones a la vigente reglamentación de eficiencia energética</t>
  </si>
  <si>
    <t>Renovación del alumbrado  público</t>
  </si>
  <si>
    <t>ARA-2020-0020</t>
  </si>
  <si>
    <t>sustituir las luminarias actuales en Alloza (Teruel) por unas nuevas para obtener un ahorro energético</t>
  </si>
  <si>
    <t>Con este proyecto se ha sustituido las luminarias en Alloza (Teruel) por unas más efeicientes con el fin de obtener ahorro energético</t>
  </si>
  <si>
    <t xml:space="preserve">Sustitución de luminarias </t>
  </si>
  <si>
    <t>ARA-2020-0019</t>
  </si>
  <si>
    <t xml:space="preserve">consiste en la renovación del alumbrado público del polígono industrial “Cuencas Mineras”, para mejorar su eficacia energética. Se pretende sustituir las luminarias existentes, que contienen en su interior lámparas de VSAP de 125 W/250 W, por lámparas con tecnología LED </t>
  </si>
  <si>
    <t xml:space="preserve">Renovación del alumbrado público del polígono industrial Cuencas Mineras, para mejorar su eficacia energética. Se ha sustituido las luminarias existentes, que contienen en su interior lámparas de VSAP de 125 W/250 W, por lámparas con tecnología LED. </t>
  </si>
  <si>
    <t>Renovación del alumbrado público del polígono industrial Cuencas Mineras</t>
  </si>
  <si>
    <t>ARA-2020-0018</t>
  </si>
  <si>
    <t>construcción de un nuevo depósito para incrementar la capacidad de almacenamiento de agua</t>
  </si>
  <si>
    <t>44107</t>
  </si>
  <si>
    <t>Foz-Calanda</t>
  </si>
  <si>
    <t>Ayuntamiento de Foz Calanda</t>
  </si>
  <si>
    <t>ARA-2020-0017.jpg</t>
  </si>
  <si>
    <t>El proyecto ha consistido en la construcción de un nuevo depósito  de agua de 520 metros cúbicos para incrementar  la capacidad de almacenamiento de agua con el fin de asegurar el abastecimiento de agua de boca.</t>
  </si>
  <si>
    <t>Construcción de un nuevo depósito de agua</t>
  </si>
  <si>
    <t>ARA-2020-0017</t>
  </si>
  <si>
    <t>actuaciones de dotación de agua y energía eléctrica que faciliten el abastecimiento de explotaciones ganaderas en la zona noreste de su término municipa</t>
  </si>
  <si>
    <t>44063</t>
  </si>
  <si>
    <t>Cañizar del Olivar</t>
  </si>
  <si>
    <t>Ayuntamiento de Cañizar del Olivar</t>
  </si>
  <si>
    <t>El proyecto ha consistido en la construcción de las infraestructuras necesarias para la dotación de agua y energía eléctrica que faciliten el abastecimiento de las explotaciones ganaderas en la zona noreste del término municipal.</t>
  </si>
  <si>
    <t>Actuaciones de dotación de agua y energía eléctrica en la zona noreste del municipio</t>
  </si>
  <si>
    <t>ARA-2020-0016</t>
  </si>
  <si>
    <t>posibilidad de implantación de una empreza con 22 puestos de trabajo indefinido (empleo indirecto), y hasta 200 indirectamente</t>
  </si>
  <si>
    <t>Instalación de luminarias equipadas con tecnologías de diodos emisores de luz (LED)</t>
  </si>
  <si>
    <t xml:space="preserve">Instalación de luminarias equipadas con tecnologías de diodos emisores de luz (LED) en el acceso público al polígono industrial para favorecer el mejor desarrollo del mismo. </t>
  </si>
  <si>
    <t>Instalación de luminarias LED</t>
  </si>
  <si>
    <t>ARA-2020-0014</t>
  </si>
  <si>
    <t>consiste en la construcción de una nave industrial con un altillo intermedio (con fines de almacenamiento agrícola) y la construcción de dos invernaderos adosados a su cara sur (para la plantación de frutales). El resto de la parcela se destinará a viales de acceso y circulación</t>
  </si>
  <si>
    <t>44014</t>
  </si>
  <si>
    <t>Alcorisa</t>
  </si>
  <si>
    <t>Ayuntamiento de Alcorisa</t>
  </si>
  <si>
    <t>ARA-2020-0013.jpg</t>
  </si>
  <si>
    <t xml:space="preserve">El proyecto consiste en la construcción de una nave industrial con un altillo intermedio (con fines de almacenamiento agrícola) y la construcción de dos invernaderos adosados a su cara sur (para la plantación de frutales). El resto de la parcela se destinará a viales de acceso y circulación. El centro estará destinado a la formación y empleo de los colectivos con los que trabaja ATADI, favoreciendo su inclusión y desarrollo personal. </t>
  </si>
  <si>
    <t>Construcción de centro de trabajo e invernaderos para usos de ATADI</t>
  </si>
  <si>
    <t>ARA-2020-0013</t>
  </si>
  <si>
    <t xml:space="preserve">ampliación del edificio hotel como la ampliación del área termal, con el objetivo de aumentar el número de habitaciones </t>
  </si>
  <si>
    <t>44029</t>
  </si>
  <si>
    <t>Ariño</t>
  </si>
  <si>
    <t>Ayuntamiento de ARIÑO</t>
  </si>
  <si>
    <t>Actualmente el edificio propiedad municipal del Balneario de Ariño se encuentra en proceso de ampliación de superficie, lo que creará 24 habitaciones hoteleras con 10 triples, además de un apartamento con 3 grandes habitaciones, salones, cocinas, habitaciones para residencia de trabajadores y doblará el tamaño del centro termal. Todo ello permite ofrecer un producto más de temporada, captar  más clientes y conseguir crear hasta 80 empleos directos. Se crean nuevos espacios que permiten una nueva distribución de los servicios, optimizando los procesos y ofreciendo nuevas técnicas terapéuticas de primer nivel europeo.</t>
  </si>
  <si>
    <t>Ampliación del balnerario de Ariño</t>
  </si>
  <si>
    <t>ARA-2020-0012</t>
  </si>
  <si>
    <t>posibilidad de generar 60 empleos fijos con la implementación de una empresa despues de las obras</t>
  </si>
  <si>
    <t xml:space="preserve">aparcamientos y equipamientos públicos de la última manzana de suelo industrial del polígono industrial </t>
  </si>
  <si>
    <t>El proyecto consiste en la urbanización del Eje 6 del polígono Fuensalada, que lleva a una mejora en la calidad de los trabajadores, aparcamiento y futura llegada de empresas.</t>
  </si>
  <si>
    <t xml:space="preserve">Aparcamientos y equipamientos públicos en polígono industrial </t>
  </si>
  <si>
    <t>ARA-2020-0011</t>
  </si>
  <si>
    <t>Mejora de la eficiencia energética</t>
  </si>
  <si>
    <t>construcción de un aparcamiento público para trabajadores, proveedores y clientes de las empresas instaladas en la última manzana del polígono</t>
  </si>
  <si>
    <t>El proyecto consiste en la construcción de un aparcamiento público en la última manzana del polígono Fuensalada, del que se podrán beneficiar trabajadores, proveedores y clientes de las empresas instaladas.</t>
  </si>
  <si>
    <t>Construcción de un aparcamiento en la última manzana del polígono</t>
  </si>
  <si>
    <t>ARA-2020-0010</t>
  </si>
  <si>
    <t>incremento de la eficiencia energética de los edificios municipales de Montalbán: pabellón deportivo municipal, edificio ITACA y Casa de la Cultura</t>
  </si>
  <si>
    <t>ARA-2020-0008.jpg</t>
  </si>
  <si>
    <t>El proyecto de corte energético ha consistido en el incremento de la eficiencia energética de varios de los edificios municipales de Montalbán. Las acciones acometidas fueron un cambio de iluminación tanto en el pabellón deportivo municipal, un cambio en las potencias y baja de techo en el colegio y un cambio de iluminación en el centro ITAKA</t>
  </si>
  <si>
    <t xml:space="preserve">Mejora de la eficiencia energética de edificios municipales </t>
  </si>
  <si>
    <t>ARA-2020-0008</t>
  </si>
  <si>
    <t>consiste en el cambio de instalaciones lumínicas por lámparas de tecnología LED</t>
  </si>
  <si>
    <t>ARA-2020-0007.jpg</t>
  </si>
  <si>
    <t>El proyecto relativo al ahorro energético, consiste en la renovación del alumbrado público. Se ha mejorado el alumbrado en el municipio gracias al cambio de las instalaciones lumínicas por lámparas de tecnología LED.</t>
  </si>
  <si>
    <t>Cambio de instalaciones lumínicas por lámparas de tecnología LED</t>
  </si>
  <si>
    <t>ARA-2020-0007</t>
  </si>
  <si>
    <t>8 empleos fijos</t>
  </si>
  <si>
    <t>construcción de un camping que cuente con los servicios necesarios para obtener la calificación de camping de segunda categoría, pero con estándares de primera o de lujo que permitan fácilmente el ascenso de categoría</t>
  </si>
  <si>
    <t>44100</t>
  </si>
  <si>
    <t>Estercuel</t>
  </si>
  <si>
    <t>Ayuntamiento de Estercuel</t>
  </si>
  <si>
    <t>Construción de un camping</t>
  </si>
  <si>
    <t>ARA-2020-0006</t>
  </si>
  <si>
    <t>dotar a la zona de la antigua mina a cielo abierto en Castellote de los servicios necesarios para atraer y fomentar la creación de nuevas actividades ganaderas. Para ello, se pretende: acondicionar el camino de acceso a estos terrenos, asegurar el suministro eléctrico y abastecer de agua la zona</t>
  </si>
  <si>
    <t>44071</t>
  </si>
  <si>
    <t>Castellote</t>
  </si>
  <si>
    <t>Ayuntamiento de Castellote</t>
  </si>
  <si>
    <t>Dotar a la zona de la antigua mina a cielo abierto en Castellote de los servicios necesarios para atraer y fomentar la creación de nuevas actividades ganaderas. Para ello, se acondicionó el camino de acceso a estos terrenos, se aseguró el suministro eléctrico y se abasteció de agua la zona.</t>
  </si>
  <si>
    <t>Adecuación de zona con fines empresariales</t>
  </si>
  <si>
    <t>ARA-2020-0005</t>
  </si>
  <si>
    <t>acondicionamiento de una superficie para destinarla a espacio libre para el estacionamiento de los vehículos de los trabajadores de las diferentes empresas del polígono industrial de Los Llanos</t>
  </si>
  <si>
    <t>44238</t>
  </si>
  <si>
    <t>Utrillas</t>
  </si>
  <si>
    <t>Ayuntamiento de Utrillas</t>
  </si>
  <si>
    <t>ARA-2020-0004.jpg</t>
  </si>
  <si>
    <t>Este proyecto se ha centrado en el condicionamiento de una superficie anexa a una zona empresarial con el fin de destinarla a parking destinado a los trabajadores de las empresas.</t>
  </si>
  <si>
    <t>Acondicionamiento de parking en polígono industrial</t>
  </si>
  <si>
    <t>ARA-2020-0004</t>
  </si>
  <si>
    <t>la renovación de la red de abastecimiento de agua, desde la toma del embalse de Las Parras hasta los depósitos reguladores y de estos depósitos hasta la red de distribución del Polígono Industrial</t>
  </si>
  <si>
    <t>Este proyecto se basó en la renovación de la red de abastecimiento de agua, desde la toma del embalse de Las Parras hasta los depósitos reguladores y de estos depósitos hasta la red de distribución del polígono industrial. Una acometida necesaria para garantizar la actividad de las empresas.</t>
  </si>
  <si>
    <t>Renovación de red de abastecimiento de agua</t>
  </si>
  <si>
    <t>ARA-2020-0003</t>
  </si>
  <si>
    <t>mejorar y acondicionar los accesos a esa zona para permitir a las empresas ubicarse allí, y mejorar también la conexión con la carretera A-223</t>
  </si>
  <si>
    <t xml:space="preserve">La finalidad de este proyecto ha sido la de mejorar y acondicionar los accesos a una de las zonas del municipio con la A-223 con el fin de favorecer la ubicación de las empresas y mejorar el desarrollo de su actividad. </t>
  </si>
  <si>
    <t>Mejora de accesos entre zona empresarial y la A-223</t>
  </si>
  <si>
    <t>ARA-2020-0002</t>
  </si>
  <si>
    <t>urbanizar parte del polígono industrial Cuencas Mineras con el fin de disponer de una parcela de dimensiones suficientes para albergar una empresa destinada al tratamiento y reciclaje de materia prima plástica</t>
  </si>
  <si>
    <t>ARA-2020-0001.jpg</t>
  </si>
  <si>
    <t>Con este proyecto se habilitó parte del polígono industrial de la comarca Cuencas Mineras, asfaltando parcelas, levantando naves e instalaciones y dejándolo acondicionado para  albergar una empresa destinada al tratamiento y reciclaje de materia prima plástica.</t>
  </si>
  <si>
    <t>Adecuación de polígono industrial y construcción de instalaciones</t>
  </si>
  <si>
    <t>ARA-2020-0001</t>
  </si>
  <si>
    <t>S.A. MINERA CATALANO-ARAGONESA</t>
  </si>
  <si>
    <t>73261838F</t>
  </si>
  <si>
    <t>73261821J</t>
  </si>
  <si>
    <t>73261815F</t>
  </si>
  <si>
    <t>73261606M</t>
  </si>
  <si>
    <t>73261247Z</t>
  </si>
  <si>
    <t>73261021H</t>
  </si>
  <si>
    <t>73261021B</t>
  </si>
  <si>
    <t>73260745H</t>
  </si>
  <si>
    <t>73259750N</t>
  </si>
  <si>
    <t>73259723P</t>
  </si>
  <si>
    <t>73259675Y</t>
  </si>
  <si>
    <t>73259135H</t>
  </si>
  <si>
    <t>73258882H</t>
  </si>
  <si>
    <t>73258746C</t>
  </si>
  <si>
    <t>73257583F</t>
  </si>
  <si>
    <t>73257369T</t>
  </si>
  <si>
    <t>73257077F</t>
  </si>
  <si>
    <t>73257036N</t>
  </si>
  <si>
    <t>73156538R</t>
  </si>
  <si>
    <t>73156374K</t>
  </si>
  <si>
    <t>73089580L</t>
  </si>
  <si>
    <t>73088010J</t>
  </si>
  <si>
    <t>73086325F</t>
  </si>
  <si>
    <t>73085887Y</t>
  </si>
  <si>
    <t>73085842F</t>
  </si>
  <si>
    <t>73084762P</t>
  </si>
  <si>
    <t>73084557X</t>
  </si>
  <si>
    <t>73083999G</t>
  </si>
  <si>
    <t>73079845J</t>
  </si>
  <si>
    <t>73079423M</t>
  </si>
  <si>
    <t>73079110Z</t>
  </si>
  <si>
    <t>73079033Y</t>
  </si>
  <si>
    <t>73077881G</t>
  </si>
  <si>
    <t>COMPAÑÍA GENERAL MINERA DE TERUEL, S.A.</t>
  </si>
  <si>
    <t>71682234C</t>
  </si>
  <si>
    <t>52624997P</t>
  </si>
  <si>
    <t>Remodelado zona afectada, Acondicionado de la tierra vegetal, Creación de drenajes, Reconstrucción de infraestructuras, Restauración del bosque afectado y Revegetación de la zona.</t>
  </si>
  <si>
    <t>44063;44100</t>
  </si>
  <si>
    <t>Cañizar del Olivar;Estercuel</t>
  </si>
  <si>
    <t>CGMT</t>
  </si>
  <si>
    <t>Remodelado zona afectada, acondicionado de la tierra vegetal, creación de drenajes, reconstrucción de infraestructuras, restauración del bosque afectado y revegetación de la zona.</t>
  </si>
  <si>
    <t>Restauración de Mi viña</t>
  </si>
  <si>
    <t>474-20200000</t>
  </si>
  <si>
    <t>Restauración de dos cortas (Carmen y Pura y Santa María): relleno y remodelado, canales perimetrales y recogida de aguas. Restauración de escombreras. Desmantelamiento y rehabilitación de zona de instalaciones</t>
  </si>
  <si>
    <t>44029;44107</t>
  </si>
  <si>
    <t>Ariño;Foz-Calanda</t>
  </si>
  <si>
    <t>SAMCA</t>
  </si>
  <si>
    <t>Restauración de dos cortas: Carmen y Pura en Foz Calanda y Santa María en Ariño. Las acciones se han centrado en relleno y remodelado, canales perimetrales y recogida de aguas. Restauración de escombreras. Desmantelamiento y rehabilitación de zona de instalaciones</t>
  </si>
  <si>
    <t xml:space="preserve">Restauración de las cortas Carmen y Pura y Santa María </t>
  </si>
  <si>
    <t>474-2019</t>
  </si>
  <si>
    <t>46733638F</t>
  </si>
  <si>
    <t>46524731D</t>
  </si>
  <si>
    <t>39873748M</t>
  </si>
  <si>
    <t>29116943R</t>
  </si>
  <si>
    <t>29116799H</t>
  </si>
  <si>
    <t>29106621Y</t>
  </si>
  <si>
    <t>29105996W</t>
  </si>
  <si>
    <t>29105995R</t>
  </si>
  <si>
    <t>29104535J</t>
  </si>
  <si>
    <t>29100398Q</t>
  </si>
  <si>
    <t>29097238F</t>
  </si>
  <si>
    <t>25477239R</t>
  </si>
  <si>
    <t>25469817P</t>
  </si>
  <si>
    <t>25457477L</t>
  </si>
  <si>
    <t>25456790E</t>
  </si>
  <si>
    <t>25450064N</t>
  </si>
  <si>
    <t>25438024R</t>
  </si>
  <si>
    <t>25183044E</t>
  </si>
  <si>
    <t>25180890F</t>
  </si>
  <si>
    <t>25180166L</t>
  </si>
  <si>
    <t>25177128V</t>
  </si>
  <si>
    <t>25171026X</t>
  </si>
  <si>
    <t>25171025D</t>
  </si>
  <si>
    <t>25167905V</t>
  </si>
  <si>
    <t>25164855A</t>
  </si>
  <si>
    <t>25160076P</t>
  </si>
  <si>
    <t>Rehabilitación de edificio para habilitar dos viviendas para el uso de nuevos pobladores.</t>
  </si>
  <si>
    <t>44237</t>
  </si>
  <si>
    <t>Urrea de Gaén</t>
  </si>
  <si>
    <t>Ayuntamiento de Urrea de Gaén</t>
  </si>
  <si>
    <t>Rehabilitación de edificio en dos viviendas</t>
  </si>
  <si>
    <t>2024-C138</t>
  </si>
  <si>
    <t>Rehabilitación de edificio municipal para crear viviendas que favorezcan la fijación de población</t>
  </si>
  <si>
    <t>AYUNTAMIENTO DE FOZ CALANDA</t>
  </si>
  <si>
    <t>Creación de viviendas</t>
  </si>
  <si>
    <t>2024-C053</t>
  </si>
  <si>
    <t xml:space="preserve">Acondicionamiento de un espacio natural de la entrada de Azaila, en desuso, para crear un espacio de ocio y esparcimiento. </t>
  </si>
  <si>
    <t>44031</t>
  </si>
  <si>
    <t>Azaila</t>
  </si>
  <si>
    <t>Ayuntamiento de Azaila</t>
  </si>
  <si>
    <t>Parque sostenible</t>
  </si>
  <si>
    <t>2024-C048</t>
  </si>
  <si>
    <t>Construcción de una nueva nave para ampliación de las instalaciones</t>
  </si>
  <si>
    <t>PREFABRICADOS MONTALBÁN, S.L.</t>
  </si>
  <si>
    <t>Con el objetivo fundamental de aumentar la competitividad de la organización, se llevan a cabo una serie de inversiones basadas fundamentalmente en la ampliación de las instalaciones existentes en su principal centro de trabajo situado en Montalbán (Teruel). Se trata de la construcción una nave multiusos para mantenimiento de la maquinaria y equipamiento de la planta de fabricación de hormigones; la construcción de unas nuevas oficinas mediante la instalación de un módulo prefabricado con una superficie útil de más de 50 m2; la adquisición e instalación de 2 equipos multi-cambio para cabezas tractoras; la adquisición de una nueva hormigonera y la instalación de un nuevo filtro de mangas para eliminar la emisión de partículas de polvo a la atmósfera.</t>
  </si>
  <si>
    <t>Construcción de una nueva nave, oficinas y equipamiento</t>
  </si>
  <si>
    <t>2023-P215</t>
  </si>
  <si>
    <t>Acondicionamiento de una vivienda para alojamiento de turismo rural</t>
  </si>
  <si>
    <t>44116</t>
  </si>
  <si>
    <t>Gargallo</t>
  </si>
  <si>
    <t>ACTIVIDADES Y SERVICIOS MOLA SL</t>
  </si>
  <si>
    <t>El proyecto, liderado por dos mujeres, engloba diferentes propuestas y tiene como objeto la mejora de la oferta hostelera y de la alojamiento del municipio a través de la modernización de la cocina del único bar del municipio, la compra de un solar para huerto ecológico que nutrirá la cocina y la ampliación de una vivienda de turismo rural, bajo un concepto distinto de ocio complementario al hospedaje con propuestas de actividades tematizadas, práctica de deportes guiados, conocimiento del medio recogiendo productos del huerto ecológico (que surtirá al bar y a los alojados de producto km0), observación de insectos y estrellas, estación de reparación btt, entre otros.</t>
  </si>
  <si>
    <t>2023-P208</t>
  </si>
  <si>
    <t xml:space="preserve">Digitalización integral de la empresa </t>
  </si>
  <si>
    <t>COMUNIDAD DE REGANTES DEL GUADALOPE</t>
  </si>
  <si>
    <t>El proyecto se basa en la digitalización de la empresa, con la compra de nuevos equipos informáticos, la adquisición de programas de gestión y pagina web con comercio on line así como el estudio e implantación de sistemas que garanticen la venta de la producción de la fábrica de bolsas de protección para melocotón, a través de la instalación de sistemas antigranizo y el estudio de antiheladas para garantizar la cosecha del melocotón en la que se destina la venta de bolsas</t>
  </si>
  <si>
    <t>2023-P184</t>
  </si>
  <si>
    <t xml:space="preserve">Digitalización de la empresa </t>
  </si>
  <si>
    <t>44006</t>
  </si>
  <si>
    <t>Alacón</t>
  </si>
  <si>
    <t>ASOCIACIÓN PARA LA RECUPERACIÓN DE OLIVOS YERMOS DE OLIETE</t>
  </si>
  <si>
    <t>Este proyecto mejora la productividad de la conservera ubicada en Alacón y resuelve tres principales dificultades de su actividad: capacidad del asado de los vegetales, con una nueva sala de asado; capacidad de autoclave (máquina para esterilizar tarros) con la adquisición del equipamiento necesario y mejora de la comercialización con la adaptación de la web de venta, introduciendo elementos y aplicaciones innovadoras e incluso permitiendo vender experiencias.</t>
  </si>
  <si>
    <t>2023-P173</t>
  </si>
  <si>
    <t>Creación de un laboratorio de investigación, venta de productos de perfumería y cosmética ecológica</t>
  </si>
  <si>
    <t>44099</t>
  </si>
  <si>
    <t>Escucha</t>
  </si>
  <si>
    <t>AROMA TERUEL S.L.</t>
  </si>
  <si>
    <t>El proyecto se enmarca dentro de la evolución de la empresa hacia una mayor sostenibilidad y respeto por el medio ambiente teniendo como escenario las tierras que durante décadas han sido explotadas por la minería. Esta iniciativa se ubica en la primera fase de un proyecto más amplio y se basa en la caracterización y diagnóstico del estado actual las tierras de explotación minera, la identificación de los agentes implicados y la elaboración del plan de restauración. Todo ello mediante la creación de un laboratorio digitalizado que estudiará las plantas ornamentales con propiedades aromáticas y medicinales que mejor se adapten al medio.</t>
  </si>
  <si>
    <t>Creación de un laboratorio de investigación</t>
  </si>
  <si>
    <t>2023-P164</t>
  </si>
  <si>
    <t>Adquisición de una instalación solar fotovoltaica de autoconsumo en la planta de transformación de áridos y hormigones</t>
  </si>
  <si>
    <t>ARIDOS SEVA, S.L.</t>
  </si>
  <si>
    <t>Áridos Seva es una empresa familiar dedicada a la extracción de áridos y a su transformación así como la fabricación de hormigón. Con esta inversión llevan a cabo la puesta en marcha de un sistema de energía solar que permite generar energía para el autoconsumo de la planta de transformación, ubicada en el municipio de Calanda.</t>
  </si>
  <si>
    <t>Instalación solar fotovoltaica de autoconsumo en la planta de transformación de áridos y hormigones</t>
  </si>
  <si>
    <t>2023-P160</t>
  </si>
  <si>
    <t>Transporte de viajeros por carretera</t>
  </si>
  <si>
    <t>ARAGON SUR BUS S.L.</t>
  </si>
  <si>
    <t>2023-P158.jpg</t>
  </si>
  <si>
    <t>Con esta iniciativa, la empresa lleva a cabo la adquisición de una plataforma tecnológica que soportará todo el sistema de gestión y reservas de viajes. La adquisición de esta plataforma, es del todo necesaria para actualizar, modernizar y adaptar los servicios de transporte a la realidad demográfica actual, con la intención de responder a nuevas necesidades de vertebración del territorio atendiendo especialmente a zonas rurales. A través de la plataforma se mecanizan las reservas de billetes que los pasajeros hacen a través de la página web o telefónicamente, de forma que los conductores al inicio de cada ruta saben cuáles son las localidades en las que deben parar a recoger pasajeros y en cuales no, haciendo los viajes mucho más rápidos y eficientes. Además, permite la expedición y venta de billetes en el propio autobús, el control de pasajeros y de los recorridos y ubicaciones de los autobuses.</t>
  </si>
  <si>
    <t>Mejora tecnológica en el servicio de transporte de viajes</t>
  </si>
  <si>
    <t>2023-P158</t>
  </si>
  <si>
    <t>Centro de investigación e intervención contra la soledad no deseada y unidad de medicina del dolor</t>
  </si>
  <si>
    <t>BIBLU SERVICIOS MÉDICOS AVANZADOS, S.L.</t>
  </si>
  <si>
    <t>2023-P142.jpg</t>
  </si>
  <si>
    <t>El objeto social de Biblu Servicios Médicos Avanzados es el desarrollo de actividades en el campo de la salud, con asistencia en el balneario de Ariño o fuera de éste, apoyados en el producto termal, pero también con las nuevas tecnologías y sistemas más innovadores, basados en la investigación y desarrollo de soluciones para problemas de salud pública. Con el presente proyecto se plantea montar dos nuevas unidades terapéuticas que complementen la oferta propia del Balneario de Ariño, y que beneficien a pacientes durante su estancia en el balneario y a residentes del territorio. Se trata de: Unidad de Medicina del Dolor y el Centro de investigación e intervención contra la soledad no deseada (SND). Se propone la puesta en marcha de estas dos unidades con la mejor base científica y una estrategia marcada por profesionales, e incluso la supervisión por centros referentes españoles externos que evalúen y reorienten la metodología.</t>
  </si>
  <si>
    <t>2023-P142</t>
  </si>
  <si>
    <t xml:space="preserve">Puesta en marcha de una nueva línea de manufactura y acabado del  alabastro. </t>
  </si>
  <si>
    <t>44191</t>
  </si>
  <si>
    <t>Puebla de Híjar, La</t>
  </si>
  <si>
    <t>EXPORTADORA TUROLENSE S.L.</t>
  </si>
  <si>
    <t>2023-P129.jpg</t>
  </si>
  <si>
    <t>Este proyecto pone en marcha una nueva línea de manufactura y acabado del alabastro, dotando a las piezas de alabastro comercializadas de un mayor valor añadido. En esta línea de producción también se pone en marcha inversiones que favorezcan la economía circular, poniendo en valor los residuos producidos</t>
  </si>
  <si>
    <t>2023-P129</t>
  </si>
  <si>
    <t>Construcción de una nave anexa de empresa de lacados y pintura</t>
  </si>
  <si>
    <t>FERNANDO GIMENO SC</t>
  </si>
  <si>
    <t>2023-P115.jpg</t>
  </si>
  <si>
    <t xml:space="preserve">Este proyecto se ha centrado en la construcción de una nave, anexa a la que utilizan actualmente, en unos terrenos que son propiedad de la empresa. Esta nueva instalación permite ampliar el volumen de ventas, adaptándose a la normativa del mercado y a los requisitos medio ambientales, que exigen contar con cabinas presurizadas para la actividad de lacados.  </t>
  </si>
  <si>
    <t>2023-P115</t>
  </si>
  <si>
    <t>Modernización y automatización de producción y etiquetado</t>
  </si>
  <si>
    <t>LA CALANDINA S.C.L.</t>
  </si>
  <si>
    <t>2023-P081.jpg</t>
  </si>
  <si>
    <t>Con este proyecto se ha conseguido la mejora y automatización de la descarga de almendra, para el secadero de frutos secos. Mejora en la sección de aceite con el recubrimiento de los depósitos subterráneos con fibra de vidrio para adaptarlos a las nuevas normativas. También se ha mejorado la línea de envasado de AOVE con la adquisición de una etiquetadora; se ha invertido en la línea de procesado de melocotón en almíbar, para atender las exigencias de los nuevos mercados, así como el aprovechamiento de los residuos del hueso de melocotón para la generación de energía.</t>
  </si>
  <si>
    <t>Modernización y automatización de diferentes líneas de producción agroalimentaria</t>
  </si>
  <si>
    <t>2023-P081</t>
  </si>
  <si>
    <t>Puesta en marcha de un taller de fabricación de muebles. También se realizará venta de muebles de otros fabricantes y el montaje de todo tipo de mobiliario</t>
  </si>
  <si>
    <t>MUEBLES GOAVI, S.L.</t>
  </si>
  <si>
    <t>El proyecto se basa en la creación de una carpintería especializada en la fabricación de mobiliario de cocina, baños y armarios diversos, en el municipio de Utrillas. Para ello, se habilita un local para el taller y almacén, llevando a cabo trabajos de obra civil, instalaciones, además de adquirir maquinaria y utillaje.</t>
  </si>
  <si>
    <t>Creación de fábrica de muebles</t>
  </si>
  <si>
    <t>2023-P061</t>
  </si>
  <si>
    <t>Establecimiento de alojamiento turístico</t>
  </si>
  <si>
    <t>BEATRIZ TOMAS TURON</t>
  </si>
  <si>
    <t>2023-P045.jpg</t>
  </si>
  <si>
    <t>El proyecto se compone de la compra de una vivienda, su restauración bajo principios de mejora de eficiencia energética y su acondicionamiento para ofrecer servicios de Vivienda de turismo rural</t>
  </si>
  <si>
    <t>2023-P045</t>
  </si>
  <si>
    <t>Desarrollo un dispositivo para digitalizar las tareas de riego</t>
  </si>
  <si>
    <t>SOLUCIONES AGRÍCOLAS CULTÍVATE S.L.</t>
  </si>
  <si>
    <t>2023-P036.jpg</t>
  </si>
  <si>
    <t>El nuevo proyecto quiere desarrollar un dispositivo que digitalice y automatice las actuales tareas de riego a pie o manta que actualmente se realizan en los regadíos tradicionales de todas las cuencas hidrográficas mediante medios humanos. La herramienta mejora 3 pilares fundamentales del siglo XXI, la digitalización, el agua y la sostenibilidad medioambiental. El dispositivo estará formado por 2 elementos básicos, que serán: uno o varios sensores en campo que detecte el avance del agua y cuando el campo está regado y un automatismo en la compuerta del campo que abra o cierre la compuerta.</t>
  </si>
  <si>
    <t>2023-P036</t>
  </si>
  <si>
    <t>Acondicionamiento zona de despachos y oficina y adquisición de equipos de sonido y audiovisuales</t>
  </si>
  <si>
    <t>ATRACCIONES AVENIDA, S.L.</t>
  </si>
  <si>
    <t>Atracciones Avenida hace una propuesta de mejora de su actividad con la adquisición de equipos de sonido y estructuras que favorecen la calidad y mejoran la oferta de su empresa con equipos de luces, mesas de control de sonido e iluminación para el desarrollo de grandes espectáculos y la adecuación de una zona de administración y oficinas para el equipo técnico, ubicada en la propia nave de almacenamiento.</t>
  </si>
  <si>
    <t>2023-P009</t>
  </si>
  <si>
    <t>AMPLIACION Y MODERNIZACIÓN DE LAS INSTALACIONES</t>
  </si>
  <si>
    <t>COMERMIN SL</t>
  </si>
  <si>
    <t>https://www.comermin.es/</t>
  </si>
  <si>
    <t>Ampliación y modernización de instalaciones</t>
  </si>
  <si>
    <t>2023-M091</t>
  </si>
  <si>
    <t>AMPLIACIÓN DE INSTALACIONES Y DIGITALIZACION DE SISTEMAS DE RIEGO</t>
  </si>
  <si>
    <t>https://www.agrocultivate.com/</t>
  </si>
  <si>
    <t>Ampliación de instalaciones y digitalización de sistemas de riego</t>
  </si>
  <si>
    <t>Ampliación de instalaciones y desarrollo de proyecto</t>
  </si>
  <si>
    <t>2023-M087</t>
  </si>
  <si>
    <t>ATELIER MARIA FELEZ</t>
  </si>
  <si>
    <t>MARIA FELEZ RETAVE</t>
  </si>
  <si>
    <t>Atelier María Félez</t>
  </si>
  <si>
    <t>2023-M054</t>
  </si>
  <si>
    <t>MEJORAS PARA LA OPTIMIZACION PLENA DE LAS NUEVAS LINEAS DE PRODUCCION</t>
  </si>
  <si>
    <t>SEVASA TECHNOLOGICS</t>
  </si>
  <si>
    <t>Mejoras para la optimización plena de las nuevas líneas de producción</t>
  </si>
  <si>
    <t>Mejora de líneas de producción</t>
  </si>
  <si>
    <t>2023-M040</t>
  </si>
  <si>
    <t>CONSTRUCCIÓN Y EQUIPAMIENTO DE PISTAS DE PÁDEL CUBIERTAS</t>
  </si>
  <si>
    <t>FUNERARIA SAN MACARIO,S.L.</t>
  </si>
  <si>
    <t>Construcción y equipamiento de pistas de pádel cubiertas</t>
  </si>
  <si>
    <t>Pistas de pádel</t>
  </si>
  <si>
    <t>2023-M031</t>
  </si>
  <si>
    <t>AMPLIACIÓN DE NAVE PARA NSTALACIÓN DE ALMACENES INTELIGENTES</t>
  </si>
  <si>
    <t>ALCOMOBI SL</t>
  </si>
  <si>
    <t>https://alcomobi.com/</t>
  </si>
  <si>
    <t>Ampliación de nave para instalación de almacenes inteligentes</t>
  </si>
  <si>
    <t>2023-M026</t>
  </si>
  <si>
    <t>Planta de procesado y reciclaje fotovoltáico</t>
  </si>
  <si>
    <t>CENTRO EUROPEO DE RECICLAJE FOTOVOLTAICO SL</t>
  </si>
  <si>
    <t>2023-G102</t>
  </si>
  <si>
    <t>En Ejecución. Anticipo 288.000</t>
  </si>
  <si>
    <t>Planta de procesado y valorización de diferentes minerales de hierro</t>
  </si>
  <si>
    <t>MAKING BEST COLORS FACTORY SA</t>
  </si>
  <si>
    <t xml:space="preserve">El objetivo principal de estas inversiones es establecer un proceso innovador de separación y concentración de minerales de hierro, de manera que se consiga valorizar los distintos recursos minerales de la zona (Cuencas Mineras de Teruel) que, a día de hoy siguen siendo considerados como rechazo en la extracción minera y que se acumulan en escombreras, diversificando no solo para MBC su cartera de productos sino que además le permitirá obtener una mejora del principal producto que comercializa. Con este nuevo proceso y valorizando estos materiales, una vez reducida su concentración de Hierro, las arcillas rojas podrían tener un valor semejante a las arcillas blancas, puesto que también presentan ese mismo carácter elástico.  </t>
  </si>
  <si>
    <t>2023-G089</t>
  </si>
  <si>
    <t xml:space="preserve">Mejora de  la productividad de la almazara e instalación de maquinaria que favorezca la circularidad de la instalación </t>
  </si>
  <si>
    <t>44172</t>
  </si>
  <si>
    <t>Oliete</t>
  </si>
  <si>
    <t>Asociación para la Recuperación de Olivos Yermos de Oliete es una  organización que se enfoca en la recuperación de olivos abandonados en la región de Oliete, con el objetivo de revitalizar terrenos agrícolas en desuso y promover el desarrollo rural. El proyecto tiene como objetivo mejorar la productividad de la almazara aumentando su capacidad de procesamiento de aceitunas sin comprometer la calidad y el servicio. Se modernizan los equipos de agua caliente mediante aerotermia, y se desarrollará un sistema de Crowdfarming, donde los clientes pueden vincularse a las cosechas de los agricultores.</t>
  </si>
  <si>
    <t xml:space="preserve">Mejora de la productividad de la almazara </t>
  </si>
  <si>
    <t>2023-G088</t>
  </si>
  <si>
    <t>Nuevas líneas de fabricación para llevar a cabo el diseño, fabricación y montaje de piezas de hormigón armado</t>
  </si>
  <si>
    <t>PREFABRICACIONES Y CONTRATAS SA</t>
  </si>
  <si>
    <t>2023-G084.jpg</t>
  </si>
  <si>
    <t>El proyecto se basa en incorporar nuevas líneas de fabricación a la planta de La Puebla de Híjar para llevar a cabo el diseño, fabricación y montaje de piezas de hormigón armado con unas características diferenciadas para su aplicación en nuevos sectores. Por un lado, se plantea el desarrollo de dovelas para la fabricación de nuevas torres eólicas a partir de hormigón armado para destinarlas al nuevo parque eólico a implantar en Teruel. Por otra parte, se llevará a cabo el desarrollo de jácenas para núcleos de ascensores y pilares multiplanta, con los cuales se espera aumentar la durabilidad y la seguridad de dichos elementos. El proyecto supone la Diversificación de la actividad de la Compañía.</t>
  </si>
  <si>
    <t>Implantación de nuevas líneas de producción de prefabricados de hormigón</t>
  </si>
  <si>
    <t>2023-G084</t>
  </si>
  <si>
    <t>Nuevo proceso de fabricación de bioproductos y complejos biodegradables con nueva tecnología patentada para minimizar el impacto medioambiental</t>
  </si>
  <si>
    <t>FERTINAGRO NUTRIGENIA S.L.U.</t>
  </si>
  <si>
    <t>Fertinagro Nutrigenia es una empresa especializada en fertilizantes innovadores para una agricultura sostenible. El proyecto GRANULORGANIA tiene como objetivo ampliar el uso de fertilizantes orgánicos al formato granulado, para adaptarse mejor a las necesidades del sector agrícola, que en su mayoría utiliza equipos diseñados para fertilizantes granulados, en lugar de pellet o polvo. Para lograrlo, se instala una nueva línea de producción de fertilizante orgánico granulado en Utrillas.</t>
  </si>
  <si>
    <t>Nuevo proceso de fabricación de fertilizante orgánico granulado</t>
  </si>
  <si>
    <t>2023-G063</t>
  </si>
  <si>
    <t>Ampliación y modernización del Balneario de Ariño</t>
  </si>
  <si>
    <t>HOTEL BALNEARIO DE ARIÑO S.L</t>
  </si>
  <si>
    <t>2023-G056.jpg</t>
  </si>
  <si>
    <t>El proyecto presentado se refiere a las inversiones e intervenciones necesarias para completar la fase de la ampliación del Balneario, apoyada con otras líneas del ITJ. Actualmente el edificio, de propiedad municipal, se encuentra en proceso de ampliación de superficie, con más zonas de alojamiento, salones, cocinas y ampliación de la zona termal. Una vez ampliado el balneario, gestionado por Hotel Balneario de Ariño, S.L, se equipará  con elementos que permitan la operación, dotando la zona terapéutica con sistemas de entrenamiento y tonificación que utilizan las nuevas tecnologías y la monitorización para un mejor resultado.</t>
  </si>
  <si>
    <t>2023-G056</t>
  </si>
  <si>
    <t>Instalación y puesta en marcha de una planta  de elaboración de materia prima plástica secundaria y de aprovechamiento del rechazo productivo</t>
  </si>
  <si>
    <t>POLITER RECICLAJE, S.L.</t>
  </si>
  <si>
    <t>2023-G016.jpg</t>
  </si>
  <si>
    <t>El proyecto tiene como objetivo la instalación y puesta en marcha de una nueva planta con dos líneas productivas en el municipio de Montalbán, Teruel. La primera línea se centra en la elaboración de materia prima plástica secundaria, específicamente granza de polietileno de baja densidad reciclada (LDPE), obtenida a partir de envases ligeros recuperados de residuos sólidos urbanos (RSU). Esta materia prima se destina a fabricantes de tubería y film a nivel nacional e internacional.</t>
  </si>
  <si>
    <t>Nueva planta  de elaboración de materia prima plástica secundaria y de aprovechamiento del rechazo productivo</t>
  </si>
  <si>
    <t>2023-G016</t>
  </si>
  <si>
    <t>Explotación a cielo abierto de un yacimiento de arcilla</t>
  </si>
  <si>
    <t>44040</t>
  </si>
  <si>
    <t>Berge</t>
  </si>
  <si>
    <t>VESCO CLAYS SPAIN SL</t>
  </si>
  <si>
    <t>VESCO CLAYS SPAIN, S.L., parte del grupo VESCO, es líder en el comercio de arcillas plásticas blancas. Este proyecto consiste en la explotación a cielo abierto de yacimientos de arcilla, con una vida útil estimada de 20 años y una producción creciente. VESCO utilizará medios mecánicos y reutilizará materiales no aprovechables, generando empleo directo e indirecto, impulsando la economía local, mejorando infraestructuras y promoviendo prácticas sostenibles. Se prevé la restauración programada de los terrenos y la implementación de medidas ecológicas. La producción de arcilla se destinará principalmente al mercado español, donde VESCO ya tiene una sólida presencia y confía en el éxito de las arcillas extraídas en Teruel.</t>
  </si>
  <si>
    <t>2023-G012</t>
  </si>
  <si>
    <t xml:space="preserve">Instalación de un aserradero de madera y planta industrial de fabricación de paneles de CLT </t>
  </si>
  <si>
    <t>JV20 FOREST, S.L.</t>
  </si>
  <si>
    <t>2023-G001.jpg</t>
  </si>
  <si>
    <t>Apoyados con esta línea, JV20 pone en marcha un proyecto que  consiste en la creación de un aserradero de madera y una planta industrial para la fabricación de paneles CLT (madera contralaminada). Aunque el objetivo principal es la producción de paneles CLT, la empresa también fabricará y comercializará otros productos derivados de la madera, como vigas laminadas (GLT), listones aserrados, corteza, serrín y astillas. La inversión incluye la compra de terrenos, la construcción de las instalaciones industriales, la adquisición de maquinaria especializada, y la contratación del personal necesario para el correcto funcionamiento del negocio, estableciendo así una empresa independiente.</t>
  </si>
  <si>
    <t>2023-G001</t>
  </si>
  <si>
    <t>NUEVA FÁBRICA DE VIDRIO DE DOBLE ACRISTALAMIENTO Y GRAN FORMATO</t>
  </si>
  <si>
    <t>CRISTALERIA ALCORISA SL</t>
  </si>
  <si>
    <t>http://www.cristaleriaalcorisa.com/</t>
  </si>
  <si>
    <t>Nueva fábrica de vidrio de doble acristalamiento y gran formato</t>
  </si>
  <si>
    <t>Nueva fábrica de vidrio</t>
  </si>
  <si>
    <t>2023-0051</t>
  </si>
  <si>
    <t>En Ejecución. Anticipo 239.085</t>
  </si>
  <si>
    <t>AMPLIACIÓN Y MEJORA DE PROCESO</t>
  </si>
  <si>
    <t>https://ferrobiogroup.com/</t>
  </si>
  <si>
    <t xml:space="preserve">Ampliación y mejora del proceso </t>
  </si>
  <si>
    <t>2023-0044</t>
  </si>
  <si>
    <t>MEJORA DE CAPACIDAD, MANTENIMIENTO Y CALIDAD DE PRODUCTOS E INSTALACIONES</t>
  </si>
  <si>
    <t>JESUS GIL ESCOIN, S.A.</t>
  </si>
  <si>
    <t>https://gilescoin.com/</t>
  </si>
  <si>
    <t>Mejora de capacidad, mantenimiento y calidad de productos e instalaciones</t>
  </si>
  <si>
    <t xml:space="preserve">Mejora de la empresa </t>
  </si>
  <si>
    <t>2023-0026</t>
  </si>
  <si>
    <t>INSTALACION DE PLANTA PARA TRITURACION DE YESO ALABATRINO</t>
  </si>
  <si>
    <t>ARIDOS ARTAL SL</t>
  </si>
  <si>
    <t>https://www.aridosartal.es/</t>
  </si>
  <si>
    <t>Instalación de planta para trituración de yeso alabastrino</t>
  </si>
  <si>
    <t>Planta de trituración de yeso alabastrino</t>
  </si>
  <si>
    <t>2023-0022</t>
  </si>
  <si>
    <t>PLANTA DE VALORIZACIÓN DE RESIDUOS NO PELIGROSOS</t>
  </si>
  <si>
    <t>TRESIDUAL SLU</t>
  </si>
  <si>
    <t>Planta de valorización de residuos no peligrosos</t>
  </si>
  <si>
    <t>2023-0017</t>
  </si>
  <si>
    <t xml:space="preserve">Rehabilitación del emblemático edificio "El Calvario", un edificio construido por los vecinos del pueblo y que va a ser destinado a crear un hotel de tres estrellas, mejorando la calidad de la oferta hostelera del territorio. </t>
  </si>
  <si>
    <t xml:space="preserve">Rehabilitación del Hijarano </t>
  </si>
  <si>
    <t>2022-C253</t>
  </si>
  <si>
    <t xml:space="preserve">CAMINOS MINEROS (CM). Caminos de senderismo o cicloturismo que ponen valor el pasado minero de la comarca </t>
  </si>
  <si>
    <t>COMARCA ANDORRA-SIERRA DE ARCOS</t>
  </si>
  <si>
    <t>Caminos Mineros (CM) es un proyecto de creación de un producto turístico mediante la puesta en valor de los recursos patrimoniales, naturales y paisajísticos derivados de la intensa actividad minera que ha caracterizado a la comarca Andorra Sierra de Arcos. Se trata de corredores peatonales, vías verdes, senderos eco-saludables, paseos recreativos... Es decir, una serie de itinerarios que permiten al visitante combinar el descubrimiento del paisaje antropizado por la actividad minera, el legado patrimonial industrial y la interacción respetuosa con el medio ambiente. Una ventana a la historia minera del carbón. Son espacios que invitan a disfrutar de una experiencia viva y personal, generando reflexión sobre la transformación del paisaje natural y humano que supuso el carbón en esta comarca.  Ofrecen una secuencia de fragmentos escogidos y encapsulados de nuestra memoria minera. En definitiva 5 recorridos completamente señalizados, equipados, tematizados e interpretados que unen los principales hitos mineros de nuestra comarca que combinan el turismo cultural, deportivo y de naturaleza y ponen en valor nuestra historia minera. Los recorridos transitan por Andorra, Alloza, Ariño, Gargallo y Estercuel.</t>
  </si>
  <si>
    <t>Caminos Mineros (CM)</t>
  </si>
  <si>
    <t>2022-C247</t>
  </si>
  <si>
    <t xml:space="preserve">ADECUACIÓN ESPACIO PÚBLICO PARA CENTRO DE I+D+I DE CALANDA. Nuevas instalaciones para un centro de I+D+I que aliviará la saturación del centro existente y permitirá la instalación de nuevos proyectos de innovadores </t>
  </si>
  <si>
    <t>AYUNTAMIENTO DE CALANDA</t>
  </si>
  <si>
    <t>El proyecto Espacio Digital para Emprendedores y Formación tiene como objetivo transformar un antiguo espacio municipal en Calanda, concebido originalmente como aparcamiento, en un Centro de Investigación, Desarrollo e Innovación (I+D+I). Este espacio, con ventanales que maximizará la luz natural, se adecuará para actividades de oficina, laboratorio y pequeños talleres, generando empleos de calidad en sectores como el reciclaje, la movilidad eléctrica y la inclusión social. La iniciativa busca fomentar la innovación y la colaboración entre emprendedores, contribuyendo al desarrollo económico y social de la comunidad, así como al empoderamiento de personas en riesgo de exclusión social. El proyecto crea 13 puestos de trabajo.</t>
  </si>
  <si>
    <t xml:space="preserve">Centro de I+D+i </t>
  </si>
  <si>
    <t>2022-C242</t>
  </si>
  <si>
    <t>PARQUE ESTELAR. Ruta de observación astronómica como actividad turística</t>
  </si>
  <si>
    <t>44173</t>
  </si>
  <si>
    <t>Olmos, Los</t>
  </si>
  <si>
    <t>AYUNTAMIENTO DE LOS OLMOS</t>
  </si>
  <si>
    <t>El proyecto busca impulsar a Los Olmos como un destino turístico orientado a la observación astronómica, mediante la creación de un recorrido circular que conecta distintas instalaciones diseñadas para ofrecer una novedosa experiencia de observación, interpretación y disfrute del cosmos. Este recorrido, que partirá del pueblo de Los Olmos, incluirá zonas de descanso equipadas con bancos, así como puntos de observación de lugares relevantes del paisaje. Además, se instalarán diferentes indicaciones panorámicas y astronómicas, así como paneles explicativos que enriquecerán la experiencia del visitante, permitiendo una conexión más profunda con el entorno natural.</t>
  </si>
  <si>
    <t xml:space="preserve">Parque estelar </t>
  </si>
  <si>
    <t>2022-C231</t>
  </si>
  <si>
    <t xml:space="preserve">CONSOLIDACION DEL TORREON ISLAMICO Y MUSEALIZACION DIGITAL DEL CASTILLO ARZOBISPAL. Restauración de la fortificación islámica y de musealizacion del castillo arzobispal para fomento del turismo </t>
  </si>
  <si>
    <t>2022-C219.jpg</t>
  </si>
  <si>
    <t>Se trata de la restauración de una fortificación islámica del S.VIII, que permita la consolidación del torreón, ubicado en el castillo arzobispal, con el fin de mantenerlo en el tiempo y se complementa con la musealización digital del castillo arzobispal, de estilo gótico civil aragonés, mediante sistemas de realidad virtual.</t>
  </si>
  <si>
    <t xml:space="preserve">Consolidación del torreón islámico y musealización del castillo arzobispal. </t>
  </si>
  <si>
    <t>2022-C219</t>
  </si>
  <si>
    <t>REHABILITACIÓN DE EDIFICIO ATRAPASUEÑOS PARA ESPACIO JOVEN CALLE SAN FRANCISCO Nº 1. Espacio en entorno natural destinado a la formación informal de los jóvenes sobre protección del medioambiente y la lucha contra el cambio climático</t>
  </si>
  <si>
    <t>50101</t>
  </si>
  <si>
    <t>Escatrón</t>
  </si>
  <si>
    <t>AYUNTAMIENTO DE ESCATRÓN</t>
  </si>
  <si>
    <t>2022-C202.jpg</t>
  </si>
  <si>
    <t>Rehabilitación del edificio que albergó la antigua residencia de ingenieros que trabajaban en la central termoeléctrica de Escatrón donde se ha creado Atrapasueño, un centro de encuentro juvenil, con alojamiento, aulas, espacios comunes, zonas ajardinadas y piscina destinado a acoger jóvenes en estancias formativas.</t>
  </si>
  <si>
    <t>Atrapasueños</t>
  </si>
  <si>
    <t>2022-C202</t>
  </si>
  <si>
    <t>Adecuar el camino de acceso al castillo, un camino que es utilizado en actividades culturales de puesta en valor de la historia patrimonial del municipio.</t>
  </si>
  <si>
    <t>Adecuación del camino de acceso al castillo en Castellote</t>
  </si>
  <si>
    <t>2022-C174</t>
  </si>
  <si>
    <t xml:space="preserve">PROYECTO DE EJECUCION DE REFORMA DE EDIFICIO PARA OFICINAS MUNICIPALES, GIMNASIO Y ÁREA DE COWORKING. Centro de asistencia social dotado de gimnasio para rehabilitación y fisioterapia y un espacio de coworking para los jóvenes  </t>
  </si>
  <si>
    <t>Este proyecto ha permitido rehabilitar el edificio del ayuntamiento con el fin de hacer del mismo un espacio polivalente que englobe las actividades de la población, desde culturales a las deportivas, además de aquellas de desarrollo profesional gracias al espacio habilitado para coworking. Con esta intervención se consigue favorecer el acceso de las personas mayores a los servicios municipales y centrar en un único edificio aquellas actividades segregadas en diferentes espacios, fomentando el encuentro interpersonal.</t>
  </si>
  <si>
    <t>Reforma de edificio para oficinas municipales, gimnasio y área de coworking</t>
  </si>
  <si>
    <t>2022-C105</t>
  </si>
  <si>
    <t xml:space="preserve">ESPACIO COWORKING NORTERUEL. Se rehabilita una planta del ayuntamiento, hoy inocupada, para instalar un centro de coworking, con el objetivo de dinamizar la zona y desarrollar intercambios y colaboraciones entre los emprendedores. </t>
  </si>
  <si>
    <t>AYUNTAMIENTO DE LA PUEBLA DE HIJAR</t>
  </si>
  <si>
    <t>Rehabilitación de la planta superior, en desuso, del edificio consistorial en un espacio para el emprendimiento y el desarrollo profesional con un coworking dirigido a empresas y autónomos de la zona que deseen desarrollar su negocio en un recinto innovador.</t>
  </si>
  <si>
    <t xml:space="preserve">Espacio Coworking Norteruel </t>
  </si>
  <si>
    <t>2022-C096</t>
  </si>
  <si>
    <t>PROYECTO BASICO Y DE EJECUCION REHABILITACION DE REFUGIO RURAL DE BERGE ( TERUEL ). Refugio rural para turismo geológico</t>
  </si>
  <si>
    <t>AYUNTAMIENTO DE BERGE</t>
  </si>
  <si>
    <t>La rehabilitación de este santuario Virgen de la Peña supone la actuación en el edificio situado junto a la ermita, de dos plantas y un semisótano, con una superficie de 427 metros cuadrados. La planta baja se convertirá en un comedor con cocina y un pequeño aseo. La primera planta mantendrá una cocina, el almacén los aseos mientras que los espacios diáfanos pasarán a ser seis habitaciones. En el semisótano se habilitarán otras tres habitaciones. 
Además, el proyecto cuenta con la mejora de la accesibilidad al edificio y el entorno.</t>
  </si>
  <si>
    <t>Rehabilitación de refugio rural</t>
  </si>
  <si>
    <t>2022-C083</t>
  </si>
  <si>
    <t>ACTUACIÓN INTEGRAL PARA EL REVERDECIMIENTO URBANO: PARQUE INTERGENERACIONAL Y SENDERO. Espacio recreativo con itinerarios de ejercicios y pistas multideporte adecuados para las diferentes edades, anfiteatro para espectáculos y zona de juegos infantiles</t>
  </si>
  <si>
    <t>AYUNTAMIENTO DE ANDORRA</t>
  </si>
  <si>
    <t>Actuación integral para el reverdecimiento urbano:  Espacio recreativo con itinerarios de ejercicios y pistas multideporte adecuados para las diferentes edades, anfiteatro para espectáculos y zona de juegos infantiles</t>
  </si>
  <si>
    <t xml:space="preserve">Parque intergeneracional y sendero </t>
  </si>
  <si>
    <t>2022-C069</t>
  </si>
  <si>
    <t xml:space="preserve">REHABILITACIÓN ÁREAS RECREATIVA JATIEL. Centro para la realización de actividades sociales, lúdicas y de esparcimiento. Complementa las opciones que ofrece el albergue municipal y supone la puesta en valor del entorno natural.  </t>
  </si>
  <si>
    <t>44129</t>
  </si>
  <si>
    <t>Jatiel</t>
  </si>
  <si>
    <t>AYUNTAMIENTO DE JATIEL</t>
  </si>
  <si>
    <t>ENCONTRO 2024 - Encontro Internacional de Torneiros da Madeira - Xermade</t>
  </si>
  <si>
    <t>El proyecto rehabilita una zona natural en la parte alta del municipio con una antigua edificación, que pasará a ser un espacio en conjunto de ocio y esparcimiento para familias y vecinos del municipio.</t>
  </si>
  <si>
    <t xml:space="preserve">Rehabilitación de áreas recreativas </t>
  </si>
  <si>
    <t>2022-C055</t>
  </si>
  <si>
    <t xml:space="preserve">Acondicionamiento del camino a la antigua romería de Seno con el fin de crear un recorrido que fomente el encuentro social, con la naturaleza y el fomento de la vida saludable. </t>
  </si>
  <si>
    <t>44212</t>
  </si>
  <si>
    <t>Seno</t>
  </si>
  <si>
    <t>Ayuntamiento de Seno</t>
  </si>
  <si>
    <t>Rehabilitación de sendero en Seno</t>
  </si>
  <si>
    <t>2022-C032</t>
  </si>
  <si>
    <t xml:space="preserve">REHABILITACION DE EDIFICIO PARA CENTRO MUNICIPAL ASOCIATIVO. Espacio de coworking en el antiguo hospital de ENDESA para agrupar a las asociaciones dedicadas a la salud y el bienestar para promover la cooperación y optimizar recursos. El centro de salud de Andorra podrá utilizar estas dependencias. </t>
  </si>
  <si>
    <t>Rehabilitación del centro de salud del antiguo poblado de Endesa en Andorra, llamado el hospitalillo. Con este edificio rehabilitado se pretende generar espacio coworking asociativo que permita agrupar a todas aquellas asociaciones locales relacionadas con la salud y el bienestar, optimizando recursos y compartiendo trabajadores sociales, servicios, talleres, espacios, etc. En la planta baja del edificio se van a habilitar espacios comunes a compartir con todas las asociaciones para sus actividades y la primera planta se destinará a despachos de uso comunitario. Junto a esto, el centro contará con espacios para ceder al Centro de salud de Andorra, donde podrá ofrecer nuevos servicios.</t>
  </si>
  <si>
    <t xml:space="preserve">Rehabilitación de edificio para centro municipal asociativo. </t>
  </si>
  <si>
    <t>2022-C029</t>
  </si>
  <si>
    <t>REHABILITACION DE CENTRO INTERADMINISTRATIVO DE SERVICIOS AL CIUDADANO EN ANDORRA. Centralización de servicios de atención al ciudadano facilitando sus gestiones</t>
  </si>
  <si>
    <t>2022-C025</t>
  </si>
  <si>
    <t xml:space="preserve">REHABILITACION EDIFICIO MUNICIPAL PARA 3 VIVIENDAS EN ESTERCUEL. Viviendas de alquiler para a trabajadores de la zona, especialmente del nuevo hotel- restaurante de Estercuel. </t>
  </si>
  <si>
    <t>AYUNTAMIENTO DE ESTERCUEL</t>
  </si>
  <si>
    <t>El proyecto tiene como objetivo aprovechar una estructura parcialmente construida, inicialmente destinada a ser un centro social cuya obra quedó inacabada. Se plantea adaptar esta infraestructura para crear tres viviendas asequibles, con el fin de atraer nuevos pobladores y mejorar el acceso a la vivienda en el municipio. Este proyecto busca completar y adaptar el edificio para convertirlo en viviendas de alquiler asequible, fomentando el crecimiento poblacional y contribuyendo a mitigar el despoblamiento en Estercuel. Enmarcado en la rehabilitación de edificios de uso social, el proyecto contribuirá tanto al desarrollo social como económico de la localidad, promoviendo la reutilización de infraestructuras municipales para fines que beneficien a la comunidad.</t>
  </si>
  <si>
    <t>Rehabilitación de edificio municipal para tres viviendas</t>
  </si>
  <si>
    <t>2022-C022</t>
  </si>
  <si>
    <t xml:space="preserve">REFORMA Y ACONDICIONAMIENTO DE EDIFICIO MUNICIPAL PARA VIVIENDA DESTINADA A NUEVOS POBLADORES. Viviendas en régimen de alquiler social para nuevos pobladores o como alojamiento turístico  </t>
  </si>
  <si>
    <t>44176</t>
  </si>
  <si>
    <t>Palomar de Arroyos</t>
  </si>
  <si>
    <t>AYUNTAMIENTO DE PALOMAR  DE ARROYOS</t>
  </si>
  <si>
    <t>2022-C009.jpg</t>
  </si>
  <si>
    <t>El proyecto convierte la casa de cultura del municipio, en desuso, en viviendas para nuevos pobladores. Con este proyecto se busca dar solución a la falta de vivienda en el municipio. El edificio municipal en cuestión será sometido a reformas y acondicionamiento para destinarlo como vivienda de propiedad municipal. Este inmueble se ofrecerá en régimen de alquiler asequible, facilitando su acceso a personas necesitadas de la población local. Además, estará disponible para nuevos pobladores del municipio, con el fin de fomentar tanto el desarrollo económico como social de la localidad.</t>
  </si>
  <si>
    <t xml:space="preserve">Reforma y acondicionamiento de edificio municipal para vivienda destinada a nuevos pobladores. </t>
  </si>
  <si>
    <t>2022-C009</t>
  </si>
  <si>
    <t>Creación en Andorra un centro de gestión de residuos equipado adecuadamente, que posibilite la recogida selectiva de los residuos y el correcto acondicionamiento o preparado mediante selección, compactado, prensado, empacado o triturado para su posterior traslado a los gestores o puntos de reciclaje definitivos. Actualmente el pequeño tamaño de la empresa limita enormemente nuestra capacidad, y se hace necesario hacer un esfuerzo inversor.</t>
  </si>
  <si>
    <t>GESTION MEDIOAMBIENTAL ANDORRA S.L.</t>
  </si>
  <si>
    <t>La empresa decidió con este proyecto crear en Andorra un centro de gestión de residuos no peligrosos, equipado adecuadamente, que posibilite la recogida selectiva de los residuos y el correcto acondicionamiento o preparado mediante selección, compactado, prensado, empacado o triturado para su posterior traslado a los gestores o puntos de reciclaje definitivos. La inversión se centra en la adquisición de una parcela de 972m2, la construcción de una nave de 627m2 donde ubicar las instalaciones, dos zonas de stocks una cubierta y otra no y de oficina, aseso y almacén interior; la adquisición de bienes de equipo para la gestión de los residuos (recogida, traslado y preparado o acondicionamiento) y para la oficina.</t>
  </si>
  <si>
    <t>Centro de gestión de residuos no peligrosos</t>
  </si>
  <si>
    <t>2021-M127</t>
  </si>
  <si>
    <t>Puesta en marcha un proceso de fabricación de yeso artesano con técnicas tradicionales para su uso en la construcción, utilizando como materias prima el material de rechazo de la extracción de alabastro.</t>
  </si>
  <si>
    <t>NOHUKI YESO ARTESANO DE TERUEL S.L.</t>
  </si>
  <si>
    <t>2021-M126.jpg</t>
  </si>
  <si>
    <t>Con este proyecto se puso en marcha un proceso de fabricación de yeso artesano con técnicas tradicionales para su uso en la construcción, utilizando como materias primas el material de rechazo de la extracción del alabastro. Adquirieron para ello 2000 m2 en la localidad de Albalate del Arzobispo, al lado de la fábrica de alabastro. Se construye un horno tradicional, además de disponer de un molino, una ensacadora y una nave para acopio de material fabricado.</t>
  </si>
  <si>
    <t>Proceso de fabricación de yeso artesano para bioconstrucción</t>
  </si>
  <si>
    <t>2021-M126</t>
  </si>
  <si>
    <t>Adecuación y equipamiento de unas nuevas instalaciones adquiridas por las empresa a los efectos de mejorar e incrementar su producción y calidad del producto.</t>
  </si>
  <si>
    <t>CARNICAS ORTIN SL</t>
  </si>
  <si>
    <t>2021-M084.jpg</t>
  </si>
  <si>
    <t xml:space="preserve">Adecuación y equipamiento de nuevas instalaciones en el municipio de Andorra donde la empresa ha adquirido una nave y va a desarrollar la producción cárnica que realizaba en Ejulve, con unas líneas productivas adecuadas a la demanda de esta empresa. La inversión apoyada se centra en la adecuación de la nave con obra civil e instalaciones eléctricas, sanitarias, etc. según la necesidad de la empresa; la compra de equipamiento para completar el existente en la empresa y mejorar la productividad y la adecuación de las oficinas. </t>
  </si>
  <si>
    <t>Adecuación y equipamiento de unas nuevas instalaciones</t>
  </si>
  <si>
    <t>2021-M084</t>
  </si>
  <si>
    <t>Ampliacion de la pavimentación para almacenar material refractario para la recuperación, considerado residuo no peligroso.</t>
  </si>
  <si>
    <t>RECUPERACIONES MARUGAN SL</t>
  </si>
  <si>
    <t>2021-M057</t>
  </si>
  <si>
    <t>Cerramiento zona de almacenaje de bobinas de papel. Modificacion en instalaciones electricas, de refrigeracion y climatizacion. Adecuacion zona de direccion y sala de reunion. Adecuacion zona de baños y cambio de puerta de almacén</t>
  </si>
  <si>
    <t>La actividad agroalimentaria de la Comunidad de Regantes realizó mejoras en sus instalaciones para adecuarse al mercado y ser más competitivos. Entre las acciones ejecutadas se llevó a cabo la instalación de un panel de 100 mm de espesor para para realizar cerramiento y puerta corredera de apertura manual y modificación del sistema de humidificación en la sala de bobinas de papel. La instalación de sistema de climatización de calor en sala de almacenaje de colas. Modificaciones y mejoras en la puerta principal, con nuevo marco, soportes al techo y motor. Acondicionamiento de escalera de acceso a zona de sala de reuniones. Modificación de instalaciones de tuberías de agua y saneamientos. Modificación de cableados para sistemas de comunicación. Luminarias para alumbrado de oficinas y baños. Equipamiento mobiliario y Compra de fregadora industrial para la limpieza de la nave.</t>
  </si>
  <si>
    <t>Modernización de instalaciones</t>
  </si>
  <si>
    <t>2021-M049</t>
  </si>
  <si>
    <t>Planta de producción de granulado y polvo de caucho a partir del reciclado de nfvu.</t>
  </si>
  <si>
    <t>VALORA TERUEL SL</t>
  </si>
  <si>
    <t>2021-M017</t>
  </si>
  <si>
    <t>Hostal 4 habitaciones dobles para personas con discapacidad habilitado todas las estancias.</t>
  </si>
  <si>
    <t>GANADOS JULIANS.L.</t>
  </si>
  <si>
    <t>2021-M007.jpg</t>
  </si>
  <si>
    <t xml:space="preserve">Con este proyecto se crea una nueva vivienda de turismo rural, adaptado a personas con dificultades de movilidad. Se trata de una vivienda en la que se ha utilizado el reciclaje en algunas de sus instalaciones, se nutren en parte de energía fotovoltaica y apelan al uso de productos ecológicos. La VTR consta de cuatro habitaciones dobles con baño, todas adaptadas, y espacios comunes como terraza y amplio jardín, salón y cocina, además de biblioteca, parque infantil y piscina. </t>
  </si>
  <si>
    <t>Alojamiento turístico adaptado a personas con movilidad reducida</t>
  </si>
  <si>
    <t>2021-M007</t>
  </si>
  <si>
    <t>Espacio único multifuncional para uso como paseo, zonas de descanso y lectura y  zonas de actividades para la salud, como yoga, pilates, etc., así como un ajardinamiento que enriquece la propuesta de descanso que ofrece el balneario.</t>
  </si>
  <si>
    <t>Espacio único multifuncional para uso como paseo, zonas de descanso y lectura y  zonas de actividades para la salud</t>
  </si>
  <si>
    <t>2021-0102</t>
  </si>
  <si>
    <t>Pago a cuenta (50%)</t>
  </si>
  <si>
    <t>Creación de unas instalaciones para la fabricación de reactores que incorporan la tecnología propia de inertización de los RSU que minimiza el impacto de los residuos sobre el territorio, elimina los vectores contaminantes y hace del tratamiento de residuos un proceso limpio y de valorización de sus componentes. La fábrica de reactores incluirá una zona de I+D para uso de producción a pequeña escala que constará de un prototipo de reactor realizado en nuestras etapas de investigación y equipos adicionales necesarios, en la que se llevará a cabo el tratamiento de RSU en condiciones reales para su inertización.</t>
  </si>
  <si>
    <t>THERMOWASTE S.L.</t>
  </si>
  <si>
    <t>2021-0085.jpg</t>
  </si>
  <si>
    <t xml:space="preserve">El proyecto de Thermowaste consiste en la creación de una planta de producción de reactores avanzados que inertizan los residuos sólidos urbanos. Estos reactores, desarrollados con tecnología propia, tratan los RSU de forma limpia y eficiente, eliminando contaminantes y valorizando los subproductos para fomentar la economía circular. Además, incluyen una zona de investigación para probar el tratamiento en condiciones reales, convirtiendo los residuos domésticos en materiales reutilizables, evitando así el uso de vertederos e incineradoras. Cada reactor tiene la capacidad de procesar los residuos de una población de hasta 100.000 habitantes de manera sostenible y autosuficiente. </t>
  </si>
  <si>
    <t>Creación de unas instalaciones para la fabricación de reactores para el tratamiento de residuos.</t>
  </si>
  <si>
    <t>2021-0085</t>
  </si>
  <si>
    <t>Construccion de nave y maquinaria necesaria para descascarado de frutos secos.</t>
  </si>
  <si>
    <t>ALMENDRAS EN GLOBAL, S.L.</t>
  </si>
  <si>
    <t>2021-0055</t>
  </si>
  <si>
    <t>Procesado y regeneración de aceites, para lo que precisa inversiones en adecuar las instalaciones arrendadas por el Ayuntamiento de Andorra. así como el equipamiento y adquisición de bienes de equipo.</t>
  </si>
  <si>
    <t>ECOOIL SA</t>
  </si>
  <si>
    <t>Procesado y regeneración de aceites</t>
  </si>
  <si>
    <t>2021-0053</t>
  </si>
  <si>
    <t>Equipamiento propio de las nuevas zonas ampliadas: habitaciones, restaurante, cocinas, salas de estar, centro termal, ajardinamiento perimetral con iluminación exterior, zona de aparcamiento exterior.</t>
  </si>
  <si>
    <t>Equipamiento propio de las nuevas zonas ampliadas</t>
  </si>
  <si>
    <t>2021-0050</t>
  </si>
  <si>
    <t>Galería de tiro de 600 yardas, una armería y un centro de formación y aventura en el municipio de Estercuel (Teruel)</t>
  </si>
  <si>
    <t>CAUTORREC, S.L.</t>
  </si>
  <si>
    <t>2021-0032</t>
  </si>
  <si>
    <t>Ampliación de la capacidad productiva al aprovechar el rechazo del proceso productivo para la elaboración de una materia prima plástica de nueva concepción "pellet" para su uso en aplicaciones de inyección, en la planta situada en el municipio de Escucha (Teruel)”</t>
  </si>
  <si>
    <t>GENERAL DE POLIMEROS S.L.</t>
  </si>
  <si>
    <t>2021-0031.jpg</t>
  </si>
  <si>
    <t>https://genepol.com/</t>
  </si>
  <si>
    <t>El proyecto ha consistido en la instalación de una nueva línea productiva en la localidad de Escucha (Teruel) para fabricar pellets de polietileno y polipropileno reciclado a partir del rechazo generado en las actuales líneas de producción. Con este avance, se busca reducir drásticamente la cantidad de residuos enviados a vertedero, promoviendo la sostenibilidad ambiental y la economía circular. Esta nueva línea permite aprovechar un residuo sin valor de mercado y transformarlo en un producto comercializable en el sector de plásticos de inyección, utilizado en la fabricación de piezas como palets, cajas para frutas y otros accesorios.</t>
  </si>
  <si>
    <t xml:space="preserve">Ampliación de la capacidad productiva </t>
  </si>
  <si>
    <t>2021-0031</t>
  </si>
  <si>
    <t>Modernización de una de las lineas de producción así como de la instalación de bienes de equipo para su adecuacion a las obligaciones para cumplir con las normas alimentarias. Modernización de instalaciones en temas de seguridad e higiene de la fabrica en general y de eficiencia energetica.</t>
  </si>
  <si>
    <t>2021-0016.jpg</t>
  </si>
  <si>
    <t xml:space="preserve">Jesús Gil Escoin S.A. es una empresa dedicada a la fabricación de bolsas y sacos de papel ubicada en Albalate del Arzobispo. El proyecto, se ha centrado en la modernización de sus procesos de producción para adaptarse a las demandas del mercado, a los avances tecnológicos, buscando implementar políticas de sostenibilidad al sustituir equipos que utilizan combustibles fósiles por alternativas limpias. Se ha actualizado una línea de producción obsoleta para mejorar la productividad y reducir las mermas, también, se han mejorado las instalaciones para aumentar la seguridad del personal y optimizar la imagen corporativa.  </t>
  </si>
  <si>
    <t xml:space="preserve">Modernización de una de las lineas de producción </t>
  </si>
  <si>
    <t>2021-0016</t>
  </si>
  <si>
    <t>Construcción y equipamiento de una planta de fabricación de potasa caustica, hipoclorito sódico e hidrógeno a través de la tecnologia de electrolisis. Estos productos son esenciales y muy demandados para la industria del tratamiento de aguas y de abono y fertilizantes.</t>
  </si>
  <si>
    <t>DERIVADOS ELECTROQUIMICOS DE TERUEL, SL</t>
  </si>
  <si>
    <t>2021-0013.jpg</t>
  </si>
  <si>
    <t>Derivados Electroquímicos de Teruel, S.L. es el único fabricante de potasa caustica de alta calidad en España. El proyecto de Derivados Electroquímicos de Teruel, S.L. tiene como objeto la construcción de una planta para la producción de Potasa Caustica, Hipoclorito Sódico e Hidrógeno, a través de tecnología de electrolisis en Urrea de Gaén. Estos, son productos esenciales y muy demandados para la industria del tratamiento de aguas y de abonos y fertilizantes. La planta se ha diseñado con la premisa de NO generación de vertidos.</t>
  </si>
  <si>
    <t>Construcción y equipamiento de una planta de fabricación de potasa caustica</t>
  </si>
  <si>
    <t>2021-0013</t>
  </si>
  <si>
    <t>La almazara está intimamente ligada con el tejido socio-económico local. Apoya proyectos de protección de olivos milenarios, quiere conectar a agricultores de la aceituna locales y es parte de un proyecto de la economía social.</t>
  </si>
  <si>
    <t>Ampliación de la línea de producción de una almazara social y medioambientalmente sostenible</t>
  </si>
  <si>
    <t>2018-M090</t>
  </si>
  <si>
    <t>Ampliación de fábrica de yesos que produciría Terra Alba</t>
  </si>
  <si>
    <t>TORO GIPS S.L.</t>
  </si>
  <si>
    <t>2018-M070</t>
  </si>
  <si>
    <t>Implantación de empresa procesadora de pistachos</t>
  </si>
  <si>
    <t>AGROALIMENTARIA ANDOVAL S.L.</t>
  </si>
  <si>
    <t>2018-M061.jpg</t>
  </si>
  <si>
    <t xml:space="preserve">El proyecto llevado a cabo por dos jóvenes de Andorra, consiste en la construcción de una nave en el Polígono Industrial La Estación de Andorra, y de toda la maquinaria necesaria para llevar a cabo el procesado, clasificado, secado y almacenamiento del pistacho. Las plantaciones de pistacho en Aragón, y concretamente en el Bajo Aragón, supusieron un creciendo considerablemente. Este producto requiere de secado en menos de 24 horas de la recolección para evitar la aparición de problemas fúngicos que deprecian totalmente el fruto seco. La falta de plantas de procesado en dicha comunidad autónoma llevó a estos jóvenes a crear la primera y revalorizar su producción en el territorio. </t>
  </si>
  <si>
    <t>Implantación de empresa de tratamiento de pistachos</t>
  </si>
  <si>
    <t>2018-M061</t>
  </si>
  <si>
    <t>MODERNIZACIÓN Y MEJORA DEL PROCESO PRODUCTIVO DE EMPRESA DE RECUPERACION DE METALES</t>
  </si>
  <si>
    <t>METALES FRAGMENTADOS S.A.</t>
  </si>
  <si>
    <t>2018-M047.jpg</t>
  </si>
  <si>
    <t xml:space="preserve">La empresa lleva a cabo diferentes inversiones para mejorar su actividad. En primer lugar, la instalación de una línea de colorimetría, con técnicas de separación enfocadas a los aluminios primarios de diferentes series que complementa la planta de tratamiento de chatarra. Además, se realizan inversiones necesarias en equipos de almacenaje, dosificación y transporte de material, así como plataformas metálicas donde instalar los equipos principales. Junto a esto, se realizan inversiones en equipos móviles destinados a carga, alimentación de equipos y transportes internos (pulpo grúa). </t>
  </si>
  <si>
    <t xml:space="preserve">Modernización y mejora del proceso productivo de recuperación de metales </t>
  </si>
  <si>
    <t>2018-M047</t>
  </si>
  <si>
    <t>CENTRO DE FORMACIÓN Y AVENTURA EN ESTERCUEL</t>
  </si>
  <si>
    <t>LA ROCA NEGRA ESTERCUEL, S.L.U.</t>
  </si>
  <si>
    <t>Centro de formación y aventura en Estercuel.</t>
  </si>
  <si>
    <t>2018-M043</t>
  </si>
  <si>
    <t>El proyecto, al quemar biomasa como sistema de calefacción, implica la reducción del gasto electrico de la cooperativa.</t>
  </si>
  <si>
    <t>Modernización de empresa cooperativa que pasaría a reutilizar residuos de la aceituna para generar su propia biomasa</t>
  </si>
  <si>
    <t xml:space="preserve">La modernización de la cooperativa La Calandina se centra en varias acciones. Por un lado, la adquisición de dos tolvas para almacenaje de alperujo, con un separador de hueso de la aceituna para utilizarlo en una caldera de biomasa, que alimenta los sistemas térmicos asociados a la producción de AOVE. Con respecto a la producción de aceituna de mesa, se construyen dos trujales para la conservación de la aceituna, que hasta ese momento se realizaba en bombonas. Instalación de bombonas de gas para el envasado de la aceituna; mejora de almacenamiento en la tienda de recambios y en el almacén de encurtidos con la adquisición de estanterías. Junto a ello, esta inversión contempla la adquisición de un dosificador de peso para el llenado de aceite y un analizador de muestras para el rendimiento de la aceituna. 
</t>
  </si>
  <si>
    <t>Modernización de empresa agroalimentaria</t>
  </si>
  <si>
    <t>2018-M041</t>
  </si>
  <si>
    <t>Ampliación del proceso productivo de re-valorización de baterías</t>
  </si>
  <si>
    <t>RECUPERACIÓN ECOLÓGICA DE BATERÍAS, S.L.</t>
  </si>
  <si>
    <t>2018-M040.jpg</t>
  </si>
  <si>
    <t>La inversión proyectada en  la planta de RECOBAT en Albalate del Arzobispo consiste en la instalación de un nuevo horno, con los consiguientes equipos necesarios para su normal funcionamiento, de forma paralela al existente y manteniendo en funcionamiento el horno actual con su línea de producción asociada. Ha sido necesaria la ampliación de la instalación para una capacidad aproximada de producción de 10.000 toneladas al año de plomo de horno. La distribución de los equipos y elementos más significativos de la planta de producción supone la modificación en la instalación de la nueva línea de fusión dentro de la Nave B, paralelamente a la que hay actualmente en funcionamiento. Para reponer el espacio requerido por los nuevos equipos, se construyó un nuevo cubierto como ampliación de la Nave B en la zona noreste, junto a los equipos de suministro de oxígeno.</t>
  </si>
  <si>
    <t>2018-M040</t>
  </si>
  <si>
    <t>NUEVA INSTALACIÓN DE PLANTA DE GESTIÓN DE RESIDUOS</t>
  </si>
  <si>
    <t>Nueva instalación de planta de gestión de residuos</t>
  </si>
  <si>
    <t>2018-M020</t>
  </si>
  <si>
    <t>Mejora fábrica de pienso para rumiantes que disminuye la demanda energetica de la misma</t>
  </si>
  <si>
    <t>TRANSPORTES LOS GRANJEROS, S.L.</t>
  </si>
  <si>
    <t>2018-0036.jpg</t>
  </si>
  <si>
    <t>El proyecto ha consistido en la construcción de una fábrica de piensos en harina, enfocada principalmente a rumiantes (bovinos, ovinos y caprinos). La planta produce piensos específicos para distintas etapas del ciclo productivo de los animales, con especial atención al engorde de terneros. La fábrica implementa tecnología avanzada para mejorar la eficiencia energética, como el uso de un molino de rodillos, que ahorra un 70% de energía comparado con los molinos tradicionales, y una mezcladora de doble rotor de palas para obtener mezclas más homogéneas y rápidas. Esto garantiza mayor calidad del pienso y mejor digestibilidad para los animales.</t>
  </si>
  <si>
    <t>2018-0036</t>
  </si>
  <si>
    <t>Construcción de una planta de reutilización y reciclado de residuos sólidos urbanos y de plástico post-consumo</t>
  </si>
  <si>
    <t>2018-0029</t>
  </si>
  <si>
    <t>Instalación de una fábrica de noodles</t>
  </si>
  <si>
    <t>NOODLES ANDORRA 2020,SL</t>
  </si>
  <si>
    <t>2018-0027</t>
  </si>
  <si>
    <t>Ampliación línea de empresa que fábrica piezas de madera</t>
  </si>
  <si>
    <t>MADERAS CALATAYUD, S.L.</t>
  </si>
  <si>
    <t>2018-0025</t>
  </si>
  <si>
    <t>MODERNIZACIÓN DE LAS INSTALACIONES Y NUEVAS HABITACIONES PARA MEJORAR LA OFERTA TURISTCA</t>
  </si>
  <si>
    <t>Modernización de las instalaciones y nuevas habitaciones para mejorar la oferta turístca</t>
  </si>
  <si>
    <t>2018-0023</t>
  </si>
  <si>
    <t>CONSTRUCCIÓN DE UNA GALERÍA DE TIRO PARA LARGA DISTANCIA EN ANTIGUA MINA "CORTA GARGALLO OESTE"</t>
  </si>
  <si>
    <t>Construcción de una galería de tiro para larga distancia en antigua mina "Corta Gargallo Oeste"</t>
  </si>
  <si>
    <t>2018-0016</t>
  </si>
  <si>
    <t>LABORATORIO COSMÉTICO PARA LA FABRICACIÓN DE MASCARILLAS FACIALES CON ARCILLAS Y CARBÓN DE LA ZONA</t>
  </si>
  <si>
    <t>AZULTHERMAL S.L</t>
  </si>
  <si>
    <t>Laboratorio cosmético para la fabricación de mascarillas faciales con arcillas y carbón de la zona</t>
  </si>
  <si>
    <t>2018-0012</t>
  </si>
  <si>
    <t>2018-0006.jpg</t>
  </si>
  <si>
    <t>El proyecto ha consistido en la adquisición de nuevos equipos y maquinaria que permitan a la empresa producir de manera autónoma gránulos de polietileno reciclado de baja densidad en su planta de Escucha, Teruel. Esta ampliación ha sido esencial para atender la creciente demanda de nuevos clientes internacionales, especialmente en Europa y Asia, limitada por la capacidad productiva de la empresa. Además, la nueva línea de producción permite procesar no solo el residuo plástico film de la bolsa amarilla (seleccionado previamente), sino también el film de la bolsa negra (residuos mezclados), cuya recuperación es más compleja y rara vez se recicla en la industria. Este avance permite aprovechar parte de las 500.000 toneladas anuales de plásticos de bolsa negra que hoy en día terminan en vertederos o incineración, contribuyendo así a reducir el impacto ambiental.</t>
  </si>
  <si>
    <t>2018-0006</t>
  </si>
  <si>
    <t>Construcción de una planta de fertilizantes organo-minerales</t>
  </si>
  <si>
    <t>FERTILIZANTES ORGANOMINERALES DE ARAGÓN, S.A.</t>
  </si>
  <si>
    <t>2017-0037.jpg</t>
  </si>
  <si>
    <t>https://forgasa.com/</t>
  </si>
  <si>
    <t>Se trata de un complejo industrial ubicado a los pies de la mina Santa María, en la localidad de Ariño (Teruel), donde transforman recursos naturales como la leonardita a través de su centro I+D+i y su línea de producción de fertilizante sólido y líquido.</t>
  </si>
  <si>
    <t>2017-0037</t>
  </si>
  <si>
    <t>18455167J</t>
  </si>
  <si>
    <t>18445672V</t>
  </si>
  <si>
    <t>18443561E</t>
  </si>
  <si>
    <t>18439566Y</t>
  </si>
  <si>
    <t>18439528Z</t>
  </si>
  <si>
    <t>18439154P</t>
  </si>
  <si>
    <t>18438262J</t>
  </si>
  <si>
    <t>18437366Z</t>
  </si>
  <si>
    <t>18433330A</t>
  </si>
  <si>
    <t>18432248W</t>
  </si>
  <si>
    <t>18431587P</t>
  </si>
  <si>
    <t>18430242C</t>
  </si>
  <si>
    <t>18429195P</t>
  </si>
  <si>
    <t>18425749N</t>
  </si>
  <si>
    <t>18425180H</t>
  </si>
  <si>
    <t>17737012X</t>
  </si>
  <si>
    <t>17732492K</t>
  </si>
  <si>
    <t>17724625C</t>
  </si>
  <si>
    <t>17724400W</t>
  </si>
  <si>
    <t>17444342S</t>
  </si>
  <si>
    <t>09803352Q</t>
  </si>
  <si>
    <t>09427924V</t>
  </si>
  <si>
    <t xml:space="preserve"> 73260287C</t>
  </si>
  <si>
    <t>Instalación solar fotovolataica de generación en Diseminado Camino Hondo, Alcorisa, Teruel</t>
  </si>
  <si>
    <t>Sociedad Cooperativa Mudéjar Alumbra</t>
  </si>
  <si>
    <t>Proyecto para Comunidad Ciudadana de Energía situado en terreno industrial y con potencia nominal 100kW. Almacenamiento de 50kWh</t>
  </si>
  <si>
    <t>Instalación solar fotovoltaica de generación en Diseminado Camino Hondo, Alcorisa, Teruel</t>
  </si>
  <si>
    <t>PR-PILOTO-05-2024-000219</t>
  </si>
  <si>
    <t>Proyectos piloto singulares de comunidades energéticas (Programa CE IMPLEMENTA) 5ª Convocatoria</t>
  </si>
  <si>
    <t>Hibridación del Parque Eólico y la Planta Fotovoltaica La Loma mediante incorporación de sistema de almacenamiento energético
El objetivo del presente proyecto es la construcción de un sistema de almacenamiento energético 36 MW / 72 MWh, mediante infraestructuras de baterías Li-ion, junto a la Subestación Eléctrica “La Loma” (20/220 kV) donde la planta FV y el PE La Loma evacúan su energía , para acumular parte de la energía eléctrica generada por el parque eólico y la planta fotovoltaica.</t>
  </si>
  <si>
    <t>44238;44176;44017;44099;44093</t>
  </si>
  <si>
    <t>Utrillas;Palomar de Arroyos;Aliaga;Escucha;Cuevas de Almudén</t>
  </si>
  <si>
    <t>COMIOLICA SLU</t>
  </si>
  <si>
    <t>Hibridación del parque eólico y la planta fotovoltaica La Loma mediante la incorporación de un sistema de almacenamiento energético. El objetivo del presente proyecto es la construcción de un sistema de almacenamiento energético 36 MW / 72 MWh, mediante infraestructuras de baterías Li-ion, junto a la Subestación Eléctrica “La Loma” (20/220 kV) donde la planta FV y el PE La Loma evacúan su energía para acumular parte de la energía eléctrica generada por el parque eólico y la planta fotovoltaica.</t>
  </si>
  <si>
    <t xml:space="preserve">Hibridación del Parque Eólico y la Planta Fotovoltaica La Loma con almacenamiento energético </t>
  </si>
  <si>
    <t>PR-HIALMAC-2023-000309</t>
  </si>
  <si>
    <t>CODIGESTIÓN ANAEBORIA CON BIOMASA ADHERIDA EN DIGESTOR SOTERRADO Y RÉGIMEN PSICRÓFILO "Granulorgania: Nuevos procesos de valorización de subproductos de la industria alimentaria para obtener fertilizantes ecológicos con destino la agricultura ecológica"</t>
  </si>
  <si>
    <t>FERTINAGRO ORGANIA</t>
  </si>
  <si>
    <t>El proyecto implementa Codigestión anaeboria con biomasa adherida en digestor soterrado y régimen psicrófilo en nuevos procesos de valorización de subproductos de la industria alimentaria para obtener fertilizantes ecológicos con destino en la agricultura ecológica</t>
  </si>
  <si>
    <t>Codigestión anaeboria con biomasa en la fabricación de fertilizantes ecológicos</t>
  </si>
  <si>
    <t>PR-BIOGAS-2022-000204</t>
  </si>
  <si>
    <t>CATALINA</t>
  </si>
  <si>
    <t>CI ETF I RENATO PTX HOLDCO S.L.</t>
  </si>
  <si>
    <t>https://catalinaptx.com/es/el-proyecto/</t>
  </si>
  <si>
    <t>La Planta de Producción de Hidrógeno renovable incluye un Electrolizador (Alcalino), destinado a uso industrial (Refinería y Producción de Metanol)</t>
  </si>
  <si>
    <t xml:space="preserve">Catalina </t>
  </si>
  <si>
    <t>PR-H2CLUSTER-2024-000028</t>
  </si>
  <si>
    <t>Desarrollará una electrólisis integrada de 25 MW de potencia, alimentada con fuentes renovables, con la que producirá 15.000 toneladas/año de amoniaco verde como compuesto de fertilizantes.</t>
  </si>
  <si>
    <t xml:space="preserve"> IAM CAECIUS SL, Fertinagro (EDP-Tervalis)</t>
  </si>
  <si>
    <t xml:space="preserve"> Estará asociado a un electrolizador de 25 MW para la producción del hidrógeno verde necesario. Para ejecutar este proceso, se instalarán en Andorra dos plantas. Una de ellas generará energía renovable, eólica y fotovoltaica, que en su conjunto producirán unos 35 MW de potencia. A escasos kilómetros a la redonda se ubicará una planta de electrólisis integrada de 25 MW que recibirá la electricidad para obtener el hidrogeno verde y con él producir 15.000 toneladas anuales de amoniaco verde.</t>
  </si>
  <si>
    <t>Planta de producción de amoniaco verde para autoconsumo en la planta de producción de fertilizantes de Andorra</t>
  </si>
  <si>
    <t>ES46 "Ver-Amonia"</t>
  </si>
  <si>
    <t>Planta de Almacenamiento de electricidad independiente en el nudo Sant Martí (Alcudia, Mallorca, 66 kV)</t>
  </si>
  <si>
    <t>Alcudia</t>
  </si>
  <si>
    <t>07003</t>
  </si>
  <si>
    <t>Alcúdia</t>
  </si>
  <si>
    <t>Balears, Illes</t>
  </si>
  <si>
    <t>MERAK STORAGE 2, S.L.</t>
  </si>
  <si>
    <t>https://energiaestrategica.es/tramitacion-ambiental-almacenamiento/</t>
  </si>
  <si>
    <t>Instalación de almacenamiento Stand-alone en el polígono industrial de Ca na Lloreta (Alcudia) y con conexión ceoncedida en la subestación eléctrica de Sant Martí. Desarrollo y construcción de 80 MWh de almacenamiento mediante baterías de litio.</t>
  </si>
  <si>
    <t>Planta de Almacenamiento de electricidad independiente en el nudo Sant Martí (Alcudia)</t>
  </si>
  <si>
    <t>PR-INTALMAC-2023-000242</t>
  </si>
  <si>
    <t>INTALMAC</t>
  </si>
  <si>
    <t>ALMACENAMIENTO ELECTRICO Y TERMICO</t>
  </si>
  <si>
    <t>Carbón. Obras finalizadas</t>
  </si>
  <si>
    <t>Ejecutado</t>
  </si>
  <si>
    <t>Acondicionamiento de los tramos de los cauces de los arroyos La Raíz y La Braña afectados por las escombreras del Grupo Perfectas – Riotorno (Antracitas de Gillón). T. M. de Cangas del Narcea</t>
  </si>
  <si>
    <t>Confederación Hidrográfica del Cantábrico</t>
  </si>
  <si>
    <t>Acondicionamiento de  los cauces de los arroyos La Raíz y La Braña</t>
  </si>
  <si>
    <t>CONF/2023</t>
  </si>
  <si>
    <t>PRTR - C5</t>
  </si>
  <si>
    <t>RESTAURACIÓN C5 - PRTR</t>
  </si>
  <si>
    <t>HUB INTERURBANO DE RECARGA ULTRA RAPIDA INTEGRANDO RENOVABLES, ALMACENAMIENTO Y ZONA DE DESCANSO EN Camponaraya</t>
  </si>
  <si>
    <t>GRUPO EASYCHARGER, S.A.</t>
  </si>
  <si>
    <t>Hub Interurbano de recarga ultra rápida integrando renovables, almacenamiento y zona de descanso en Camponaraya</t>
  </si>
  <si>
    <t xml:space="preserve">Hub Interurbano de recarga ultra rápida </t>
  </si>
  <si>
    <t>PR-NMN-01-2023-000309</t>
  </si>
  <si>
    <t>Representa el 41,67 % del total de la ayuda concedida al proyecto.
Ayuda total 138.600€ el IDAE remite desglosado por municipio. 
Coste elegible total 304.392.933,97</t>
  </si>
  <si>
    <t>Instalación PILAR (150 MW) Generación de H2 verde para producir combustibles derivados en el valle del río Ebro (HyBERUS)</t>
  </si>
  <si>
    <t>https://www.lacomarca.net/andorra-caspe-fabara-reciben-384-millones-euros-perte-proyectos-hidrogeno-verde/
https://www.elespanol.com/aragon/economia/20250221/proyectos-producir-hidrogeno-verde-aragon-reciben-millones-ayudas-europeas/925907738_0.html</t>
  </si>
  <si>
    <t>Desarrollo y operación de tres instalaciones de producción de Hidrógeno renovable, con un Electrolizador (Alcalino) en cada una de ellas.
Éstas abastecerán a plantas para la fabricación de combustibles derivados, e incluyendo la construcción de una nueva planta de generación renovable como parte del proyecto.</t>
  </si>
  <si>
    <t xml:space="preserve">HyBERUS. Generación de H2 verde para producir combustibles derivados en el valle del río Ebro </t>
  </si>
  <si>
    <t>PR-H2CLUSTER-2024-000073</t>
  </si>
  <si>
    <t>Instalación PILATUS (50 MW) Generación de H2 verde para producir combustibles derivados en el valle del río Ebro (HyBERUS)</t>
  </si>
  <si>
    <t>50102</t>
  </si>
  <si>
    <t>Fabara</t>
  </si>
  <si>
    <t>NUEVA PLANTA PARA ENSAMBLAJE DE ELECTROLIZADORES (ELYSA))</t>
  </si>
  <si>
    <t xml:space="preserve">QUANTUM HYDROGEN 8 S.L. </t>
  </si>
  <si>
    <t>Adquisición de componentes y equipos para una planta de producción de H2 verde en San Roque</t>
  </si>
  <si>
    <t>Planta de producción de H2 verde en San Roque</t>
  </si>
  <si>
    <t>PR-RENOVAL-2024-000089</t>
  </si>
  <si>
    <t>ACERINOX AT Salesol</t>
  </si>
  <si>
    <t>Tec 94, S.A.</t>
  </si>
  <si>
    <t>La actuación tiene como finalidad impulsar el despliegue de soluciones innovadoras de almacenamiento energético, orientadas a mejorar la flexibilidad del sistema eléctrico, facilitar la integración de energías renovables y reforzar la seguridad y eficiencia del suministro energético. El proyecto contribuye a la transición energética y la descarbonización de la economía, en coherencia con el Plan Nacional Integrado de Energía y Clima (PNIEC) y el Objetivo Específico OE 2.3 del Programa Plurirregional de España FEDER 2021 2027, relativo al desarrollo de sistemas y equipos de almacenamiento de energía inteligentes</t>
  </si>
  <si>
    <t>Actuación de almacenamiento energético innovador</t>
  </si>
  <si>
    <t>FEDER-PINALM-2025-002671</t>
  </si>
  <si>
    <t>TELEIRO LOS BARRIOS</t>
  </si>
  <si>
    <t>TELEIRO SOLAR, SL</t>
  </si>
  <si>
    <t>La actuación tiene como finalidad el despliegue de un sistema de almacenamiento energético innovador, orientado a mejorar la flexibilidad y eficiencia del sistema eléctrico, facilitar una mayor integración de energías renovables y reforzar la seguridad del suministro. El proyecto contribuye así a los objetivos de transición energética, descarbonización y modernización del sistema energético, en línea con el Plan Nacional Integrado de Energía y Clima (PNIEC).</t>
  </si>
  <si>
    <t xml:space="preserve"> Implantación de un sistema de almacenamiento energético innovador</t>
  </si>
  <si>
    <t>FEDER-PINALM-2025-001727</t>
  </si>
  <si>
    <t>En ejecución. 
Fecha prevista de finalización: 30/06/2026
Antes era  el expediente CYL 7.2 de Velilla (Palencia)</t>
  </si>
  <si>
    <t xml:space="preserve">CyL 11- Restauración Ambiental de espacios mineros en Santa Cruz de Montesel T.M. de Torre del Bierzo (León) </t>
  </si>
  <si>
    <t>Restauración Ambiental de espacios mineros en Santa Cruz de Montesel</t>
  </si>
  <si>
    <t>CYL 11</t>
  </si>
  <si>
    <t>INSTALACION FOTOVOLTAICA DE AUTOCONSUMO  SIN EXCEDENTES CON ALMACENAMIENTO GAPIBA</t>
  </si>
  <si>
    <t xml:space="preserve">Ganados y piensos del Bajo Aragón S.A. </t>
  </si>
  <si>
    <t>Solar fotovoltaica</t>
  </si>
  <si>
    <t>PR-RENOINN-2024-000586</t>
  </si>
  <si>
    <t>RENOINN</t>
  </si>
  <si>
    <t>Programa de Incentivos de proyectos innovadores de energías renovables y almacenamiento, así como de sistemas térmicos Renovables</t>
  </si>
  <si>
    <t>“Instalación Almacenamiento hibridado FAVEKER N1"</t>
  </si>
  <si>
    <t>ALCORISA</t>
  </si>
  <si>
    <t>GRES DE ARAGON S.A.</t>
  </si>
  <si>
    <t>https://faveker.com/</t>
  </si>
  <si>
    <t xml:space="preserve">Proyecto de almacenamiento hibridado, vinculado a FAVEKER, una marca especializada en soluciones de fachadas ventiladas cerámicas (parte del grupo Gres Aragón), que supone una aplicación industrial de eficiencia energética. </t>
  </si>
  <si>
    <t xml:space="preserve"> “Instalación Almacenamiento hibridado FAVEKER N1"</t>
  </si>
  <si>
    <t>FEDER-PINALM-2025-001652</t>
  </si>
  <si>
    <t>Oficina de Transformación Comunitaria para Comunidad Energética</t>
  </si>
  <si>
    <t>09209</t>
  </si>
  <si>
    <t>Medina de Pomar</t>
  </si>
  <si>
    <t>Burgos</t>
  </si>
  <si>
    <t>ADURIZ SL</t>
  </si>
  <si>
    <t>https://otc.adurizenergia.es/</t>
  </si>
  <si>
    <t>OTC Merindades, la oficina de transformación comunitaria de aduriz energía para impulsar la creación de comunidades energéticas en las merindades.</t>
  </si>
  <si>
    <t>Oficina de transformación comunitaria para comunidad energética</t>
  </si>
  <si>
    <t>PR-OTC-2023-000472</t>
  </si>
  <si>
    <t>Proyecto de descarbonización de calor de procesos con un sistema power-to-heat con almacenamiento térmico en la instalación Dekitra localizada en Lantarón (Álava)</t>
  </si>
  <si>
    <t>01902</t>
  </si>
  <si>
    <t>Lantarón</t>
  </si>
  <si>
    <t>DEKITRA SAU</t>
  </si>
  <si>
    <t>Se trata de una planta de producción de ácidos. Imagen de obras: https://construccionesojembarrena.es/wp-content/uploads/2022/08/IMG_0494-scaled.jpg</t>
  </si>
  <si>
    <t>NH3 4.jpg</t>
  </si>
  <si>
    <t>https://www.grupoacideka.com/dekitra/</t>
  </si>
  <si>
    <t xml:space="preserve">Proyecto de descarbonización de calor de procesos con un sistema power-to heat con almacenamiento térmico en la instalación Dekitra localizada en Lantarón (Álava) </t>
  </si>
  <si>
    <t>Proyecto de descarbonización de calor de procesos</t>
  </si>
  <si>
    <t>PR-INTALMAC-2023-000350</t>
  </si>
  <si>
    <t>GH2 SOTO es un proyecto que integra la producción centralizada de hidrógeno renovable con capacidad 5MW de electrólisis (cuyo suministro de electricidad provenga de plantas de energía renovables) en un emplazamiento anexo al actual Centro de Producción Térmica de Soto de Ribera, localizado en el municipio de Ribera de Arriba (Asturias), así como la distribución del hidrógeno producido a consumidores industriales (offtakers), situados en las proximidades de la Central. Asimismo, el proyecto contempla la instalación de una estación de recarga de H2 destinada a movilidad</t>
  </si>
  <si>
    <t>H2 SOTO, S.A.</t>
  </si>
  <si>
    <t>Producción de H2 verde</t>
  </si>
  <si>
    <t>H2</t>
  </si>
  <si>
    <t>https://espana.edp.com/es/noticias/edp-inicia-la-tramitacion-ambiental-para-producir-hidrogeno-renovable-en-ribera-de-arriba; https://espana.edp.com/es/noticias/edp-completa-la-tramitacion-ambiental-del-proyecto-de-hidrogeno-renovable-de-soto-de?_gl=1*bqigld*_ga*MjExNTI3NDU4OC4xNzM0OTQ5NzUy*_ga_YRDJZ3WS11*MTczNDk0OTc1Mi4xLjEuMTczNDk0OTc1OC4wLjAuMA..</t>
  </si>
  <si>
    <t xml:space="preserve">El proyecto consiste en la instalación de un electrolizador con una potencia de 5 MW  en terrenos anexos al ciclo combinado de Soto de Ribera. El proyecto supone una inversión de más de 22 millones de euros y permitirá producir 600 toneladas anuales de hidrógeno renovable, que podrá tener diferentes usos industriales. </t>
  </si>
  <si>
    <t>Proyecto de hidrógeno verde en Soto de Ribera GH2 SOTO</t>
  </si>
  <si>
    <t>PR-H2PION-2022-000186</t>
  </si>
  <si>
    <t>El objeto del proyecto Asturias H2 Valley, fase 1, consiste en la producción centralizada de hidrógeno verde con capacidad 20MW de electrólisis cuyo suministro de electricidad proviene de plantas renovables (eólica terrestre y solar) en el emplazamiento de la Central Térmica de Aboño, perteneciente al grupo EDP, así como su distribución a la industria química Dupont en la proximidad de la Central.</t>
  </si>
  <si>
    <t>H2 ABOÑO, S.A.U.</t>
  </si>
  <si>
    <t>edp: https://espana.edp.com/es/edp-spain/asturias-h2-valley-proyecto</t>
  </si>
  <si>
    <t>El objeto del proyecto Asturias H2 Valley, fase 1, consiste en la producción centralizada de hidrógeno verde con capacidad 150 MW de electrólisis cuyo suministro de electricidad proviene de plantas renovables (eólica terrestre y solar) en el emplazamiento de la Central Térmica de Aboño, perteneciente al grupo EDP, así como su distribución a la industria química Dupont en la proximidad de la Central. Este proyecto en concreto se corresponde con la subfase 1B, puesta en marcha de 20 MW.</t>
  </si>
  <si>
    <t>Valle de Hidrógeno Asturias  "Asturias H2 Valley"  EDP, fase 1B</t>
  </si>
  <si>
    <t>PR-H2PION-2022-000187</t>
  </si>
  <si>
    <t>El objeto del proyecto Asturias H2 Valley, fase 1b, consiste en la producción centralizada de hidrógeno verde con capacidad 30MW de electrólisis cuyo suministro de electricidad proviene de plantas renovables (eólica terrestre y solar) en el emplazamiento de la Central Térmica de Aboño, perteneciente al grupo EDP, para su distribución a la industria química Dupont en la proximidad de la Central.</t>
  </si>
  <si>
    <t>El objeto del proyecto Asturias H2 Valley, fase 1, consiste en la producción centralizada de hidrógeno verde con capacidad 150 MW de electrólisis cuyo suministro de electricidad proviene de plantas renovables (eólica terrestre y solar) en el emplazamiento de la Central Térmica de Aboño, perteneciente al grupo EDP, así como su distribución a la industria química Dupont en la proximidad de la Central. Este proyecto en concreto se corresponde con la subfase 1c, puesta en marcha de 30 MW.</t>
  </si>
  <si>
    <t>Valle de Hidrógeno Asturias  "Asturias H2 Valley"  EDP fase 1C</t>
  </si>
  <si>
    <t>PR-H2CVAL3-C1-2022-0036</t>
  </si>
  <si>
    <t xml:space="preserve">ES48 “Asturias H2 Valley"- Transformación del la central térmica de Aboño a una planta de producción de Hidrógeno verde mediante electrolisis del agua                                                                                                                          TF-1: Desarrollo de infraestructuras de generación y transporte de hidrógeno: construcción de electrolizadores de alta capacidad </t>
  </si>
  <si>
    <t>Este proyecto forma parte del proyecto ES48 “Asturias H2 Valley" consistente en la tansformación del la central térmica de Aboño a una planta de producción de Hidrógeno verde mediante electrolisis del agua. Se trata de la subfase 1A beneficiaria de la convocatoria IPCEI Hy2USE bajo la tipología de proyecto TF 1: desarrollo de infraestructuras de generación y transporte de hidrógeno: construcción de electrolizadores de alta capacidad. El proyecyo consiste en la puesta en marcha de 100 MW de electrólisis.</t>
  </si>
  <si>
    <t>Valle de Hidrógeno Asturias  "Asturias H2 Valley"  EDP</t>
  </si>
  <si>
    <t>ES48 “Asturias H2 Valley"</t>
  </si>
  <si>
    <t>Musel GreenMet- Electrolizador PEM, destinado a uso Industrial para autoconsumo de hidrógeno verde y producción de metanol renovable para la descarbonización y transformación del puerto de Gijón y de su industria</t>
  </si>
  <si>
    <t>HYMET MUSEL SL</t>
  </si>
  <si>
    <t xml:space="preserve">Producción de H2 </t>
  </si>
  <si>
    <t>H2 2</t>
  </si>
  <si>
    <t>https://www.hy5.energy/projects/#musel-greenmet</t>
  </si>
  <si>
    <t>El proyecto Musel GreenMet, consiste en construir y poner en marvcha una planta para producir hidrógeno y emetanol a partit de dicho hidrógeno. Supondrá una inversión de 263 millones de euros tendrá una capacidad de electrólisis para producción de hidrógeno de 50MW en una primera fase y hasta 100 MW en una segunda. Según una nota de prensa de la compañía, la planta producirá hasta 100.000 toneladas de metanol verde al año. 
La planta estará ubicado en una parcela de 41 hectáreas en la explanada de Aboño del puerto. Está previsto que las obras de construcción se inicien en el tercer trimestre de 2025, con entrada en operación comercial en 2027.</t>
  </si>
  <si>
    <t>Producción de hidrógeno verde y e-metanol -Musel GreenMet</t>
  </si>
  <si>
    <t>PR-H2PION-C2-2023-000161</t>
  </si>
  <si>
    <t>MOOTRIENT</t>
  </si>
  <si>
    <t>Biogás 5</t>
  </si>
  <si>
    <t>La planta de Biogás de Tineo es una instalación en las que mediante procesos de purificación de biogás y procesos de compresión, se consigue tener un biogás comprimido que puede ser utilizado para suministro de camiones, tractores o cualquier otro vehículo adaptado para la propulsión mediante gas natural comprimido. El objetivo de este proyecto es ampliar a 34.000 t/año la capacidad de gestión de residuos agroindustriales en planta, mediante la ejecución de las siguientes instalaciones: 
• Muelle de descarga en depresión, tanque de recepción, pasteurizador, tanque de almacenamiento de digestato.
• Desarrollo de una línea independiente de gestión de 11.000 t/año de purín vacuno para producción de biogás y un material orgánico aplicable como cama de ganado. Las instalaciones a ejecutar son: tanque de recepción, digestor, separador por presión helicoidal, tromel composteador-secador.
• Instalación de un motor de cogeneración de 525 kWe y desarrollo de la infraestructura necesaria para el suministro de biogás excedente a empresas del polígono para la generación de calor renovable.</t>
  </si>
  <si>
    <t>Planta de Biogás MOOTRIENT</t>
  </si>
  <si>
    <t>PR-BIOGAS-2022-000088</t>
  </si>
  <si>
    <t>BESS LLOREDA 1</t>
  </si>
  <si>
    <t>Parque de baterías de almacenamiento eléctrico stand alone (instalación de almacenamiento independiente conectada directamente a la red de transporte o distribución).</t>
  </si>
  <si>
    <t>Baterias IA 1</t>
  </si>
  <si>
    <t> https://www.orkaenergia.com/app/parques/ca22e3a0dd0d86ebbf14c739e802f802   https://www.lne.es/gijon/gijon-oeste/2025/07/23/luz-verde-ubicar-bateria-electrica-119971300.html</t>
  </si>
  <si>
    <t> Proyectos de almacena-miento de energía inde-pendientes "stand alone" con gridforming. La instalación cuenta  con una capacidad de almacenamiento de 22,36 MWh y una potencia de 5 MW. El parque de baterías "Bess Lloreda 1" estará compuesto por una estación de potencia, seis contenedores de baterías de ion-litio, doce convertidores y una línea subterránea de alta tensión de 458 metros que enlazará con la subestación Lloreda. El centro incorporará celdas de interior con aislamiento en SF6 y transformadores de servicios auxiliares.</t>
  </si>
  <si>
    <t> Parque de baterías de almacenamiento eléctrico “BESS LLOREDA 1”</t>
  </si>
  <si>
    <t>FEDER-PINALM-2025-000390</t>
  </si>
  <si>
    <t>BESS PIXIN</t>
  </si>
  <si>
    <t>READY TO BUILD RENEWABLES SLU</t>
  </si>
  <si>
    <t> Parque de baterías de almacenamiento eléctrico stand alone (instalación de almacenamiento independiente conectada directamente a la red de transporte o distribución).</t>
  </si>
  <si>
    <t> https://www.orkaenergia.com/app/parques/83bbf790fa283f7dbb2c334471be09db   https://actualidad.asturias.es/-/el-gobierno-de-asturias-concede-autorizaci%C3%B3n-para-la-construcci%C3%B3n-de-dos-parques-de-bater%C3%ADas-en-suelo-industrial-en-corvera-y-siero</t>
  </si>
  <si>
    <t> Proyectos de almacenamiento de energía independientes "stand alone. Parque de baterías de 5,5 MW con capacidad para absorber o entregar esta potencia durante cuatro horas, Cuenta con seis plataformas formadas por diez racks, un sistema de evacuación mediante una línea de 736 m completamente subterránea y que estará conectado con la subestación eléctrica de Trasona</t>
  </si>
  <si>
    <t> Parque de baterías de almacenamiento eléctrico “BESS PIXIN”</t>
  </si>
  <si>
    <t>FEDER-PINALM-2025-001000</t>
  </si>
  <si>
    <t>BROA-TRAS</t>
  </si>
  <si>
    <t>BROADVIEW Corporate Services SL</t>
  </si>
  <si>
    <t xml:space="preserve"> https://www.lne.es/corvera/2025/12/11/corvera-suma-nuevas-inversiones-millonarias-124690423.html </t>
  </si>
  <si>
    <t> Proyectos de almacena-miento de energía inde-pendientes "stand alone" con gridforming. Parque de baterías de 40MW</t>
  </si>
  <si>
    <t> Parque de baterías de almacenamiento eléctrico “BROA-TRAS”</t>
  </si>
  <si>
    <t>FEDER-PINALM-2025-002214</t>
  </si>
  <si>
    <t>BESS Lloreda 2 - Sistema de almacenamiento de energía con baterías Lloreda 2</t>
  </si>
  <si>
    <t>IBERENOVA PROMOCIONES S.A.</t>
  </si>
  <si>
    <t> Parque de baterías de almacenamiento eléctrico</t>
  </si>
  <si>
    <t>https://www.orkaenergia.com/app/parques/a99bdf79daa4c54f54fafb017c4c997c</t>
  </si>
  <si>
    <t>sistema de almacenamiento con capacidad de 22,36 MWh, y una potencia instalada en inversores de 5 MVA. El proyecto, ‘Bess Lloreda 2’ constará de una estación de potencia, con un transformador y dos inversores, doce convertidores DC/DC, seis contenedores y sesenta racks de 373 kWh de energía instalada.</t>
  </si>
  <si>
    <t> Parque de baterías de almacenamiento eléctrico “BESS LLOREDA 2”</t>
  </si>
  <si>
    <t>PR-INTALMAC-2023-000025</t>
  </si>
  <si>
    <t xml:space="preserve"> FIB002: Optimización Energética en Tabiella - Implementación de  una Planta de Almacenamiento Independiente con Baterías</t>
  </si>
  <si>
    <t>FIELD IBERIA BESS 2, S.L.</t>
  </si>
  <si>
    <t>https://www.boe.es/diario_boe/txt.php?id=BOE-A-2024-25852</t>
  </si>
  <si>
    <t>El proyecto tiene por objeto el desarrollo de una planta de almacenamiento energético Stand-Alone a través de baterías electroquímicas (ion litio-ferrofosfato), denominada Tabiella Bess, con una potencia instalada en baterías de 100,2 MWp y una capacidad de almacenamiento de energía total de 200,4 MWh. La energía almacenada en la planta se evacuará mediante una línea subterránea de media tensión hasta la Subestación 30/132 kV «Tabiella Bess». Desde esta SET, mediante una línea subterránea de alta tensión de 132 kV y 1,47 km de longitud, se evacuará la energía hasta la SET existente «Tabiella» 132 kV, propiedad de E-Redes.</t>
  </si>
  <si>
    <t>PR-INTALMAC-2023-000133</t>
  </si>
  <si>
    <t>BESS LA CORREDORIA</t>
  </si>
  <si>
    <t>BENBROS S.T., S.L</t>
  </si>
  <si>
    <t>https://sede.asturias.es/es/bopa-disposiciones?p_p_id=pa_sede_bopa_web_portlet_SedeBopaDispositionWeb&amp;p_p_lifecycle=0&amp;_pa_sede_bopa_web_portlet_SedeBopaDispositionWeb_mvcRenderCommandName=%2Fdisposition%2Fdetail&amp;p_r_p_dispositionText=2024-03590&amp;p_r_p_dispositionReference=2024-03590&amp;p_r_p_dispositionDate=06%2F05%2F2024</t>
  </si>
  <si>
    <t>Instalación:
• Parque de Baterías BESS Corredoria 20 MVA/59,18 MWh, formado por 5 bloques de potencia, cada uno de ellos con 2 inversores de 2 MVA de potencia nominal, 1 transformador de 4 MVA ONAN y relación de transformación 0,69/22 kV con aislamiento en aceite y las celdas de MT de aislamiento en SF6 de protección. Incluye un total de 43 módulos de baterías de litio ferrofosfato (LFP), de 1,376 MWh de capacidad de almacenamiento cada uno y de dimensiones 3620 x 2100 x 2590 mm (2 bloques de potencia con 10 módulos de baterías, 1 con 9 y 2 con 7).
• Centro de protección y medida, que consta de la siguiente aparamenta eléctrica: tres celdas de línea para entrada de la línea de MT desde el parque de baterías, salida hacia la subestación Corredoria (propiedad de E-REDES) y servicios auxiliares, una celda de protección y una celda de medida, todas ellas de 36 kV de nivel de aislamiento y con aislamiento en SF6. En el mismo edificio se instalarán los sistemas de control y monitorización y los servicios auxiliares, alimentados con un transformador 22/0,420 kV de 250 kVA de potencia.
• Línea subterránea de alta tensión de 22 kV de simple circuito, con un conductor por fase, con una longitud total de 1.026 metros y conductor de aluminio HEPR 18/30 kV 3 x (1x630 mm²), directamente enterrada y bajo tubo hormigonado para cruce de caminos, desde el centro de protección y medida hasta una nueva posición de 22 kV a instalar en la subestación Corredoria (se tramitará en proyecto independiente por la compañía distribuidora E-REDES).
Emplazamiento: El sistema de almacenamiento estará situado en la parcela con referencia catastral 0372001TP7007S0000PF y la línea de evacuación discurre desde la misma hasta la subestación de Corredoria, todo ello en la zona de La Corredoria, en el concejo de Oviedo.
Objeto: Almacenamiento de energía eléctrica para favorecer la penetración de las energías renovables en el mix de generación.</t>
  </si>
  <si>
    <t> Parque de baterías de almacenamiento eléctrico "BESS LA CORREDORIA"</t>
  </si>
  <si>
    <t>PR-INTALMAC-2023-000232</t>
  </si>
  <si>
    <t>INDUS MERES</t>
  </si>
  <si>
    <t>INDUS POWER, S.L.</t>
  </si>
  <si>
    <t>https://sede.asturias.es/bopa-disposiciones?p_p_id=pa_sede_bopa_web_portlet_SedeBopaDispositionWeb&amp;p_p_lifecycle=0&amp;_pa_sede_bopa_web_portlet_SedeBopaDispositionWeb_mvcRenderCommandName=%2Fdisposition%2Fdetail&amp;p_r_p_dispositionText=2024-10558&amp;p_r_p_dispositionReference=2024-10558&amp;p_r_p_dispositionDate=12/12/2024</t>
  </si>
  <si>
    <t>Instalación:
• Planta de almacenamiento de energía mediante baterías denominada INDUS MERES 12,24 MW/50,51 MWh, formado por dos bloques de potencia (SKIDS), cada uno de los cuales tiene 2 convertidores de potencia y 1 transformador 690 V/22.000 kV de 8,78 MVA ONAN y a cada uno de los que se conectan 4 contenedores de baterías con una capacidad de energía total de 25,255 MWh y 6,12 MW de potencia instalada. Cada contenedor de baterías incluye 15 o 16 racks de baterías de tecnología de iones litio y tiene unas dimensiones de 12,2 x 2,444 x 2,9 (m).
• Centro de seccionamiento ubicado en un edificio prefabricado, que alojará la aparamenta de alta tensión para el acoplamiento de los bloques y la conexión a la red existente. Este centro estará equipado con celdas de alta tensión (24 kV) con aislamiento en gas libre de SF6, que incluyen:
— Tres celdas de línea con interruptor-seccionador (dos de entrada y una de salida)
— Dos celdas con interruptor automático (una para protección principal y otra para servicios auxiliares).
— Una celda de medida
— Dos espacios de reserva no equipados.
Además, en este edificio se instalará un transformador para los servicios auxiliares y un cuadro de distribución de baja tensión.
• Línea subterránea de alta tensión de 22 kV, simple circuito, con una longitud de 3,332 km, con cable de potencia RHZ1-2OL 18/30 kV 1x400 + H16Cu (excepto un tramo de perforación horizontal dirigida que se hará con cable de 630 mm²), que discurrirá a través de una canalización tipo zanja bajo tubo hormigonada desde el centro de seccionamiento hasta la subestación Meres 22 kV (propiedad de E-REDES).
Emplazamiento: La planta de almacenamiento de energía mediante baterías estará ubicada en la parcela con referencia catastral 9162016TP7087S0001PQ, clasificado como suelo urbano y destinado a uso industrial y la línea soterrada de evacuación discurrirá desde la misma hasta la subestación Meres 22 kV de E-REDES, todo ello en el concejo de Siero.
Objeto: Almacenamiento de energía eléctrica para optimizar su uso, mejorar la eficiencia en el suministro eléctrico y favorecer la penetración de las energías renovables en el mix de generación.</t>
  </si>
  <si>
    <t> Parque de baterías de almacenamiento eléctrico "INDUS MERES"</t>
  </si>
  <si>
    <t>PR-INTALMAC-2023-000121</t>
  </si>
  <si>
    <t>FRAGONIA SIERO</t>
  </si>
  <si>
    <t>FRAGONIA POWER, S.L.</t>
  </si>
  <si>
    <t>https://sede.asturias.es/ast/bopa-disposiciones?p_p_id=pa_sede_bopa_web_portlet_SedeBopaDispositionWeb&amp;p_p_lifecycle=0&amp;_pa_sede_bopa_web_portlet_SedeBopaDispositionWeb_mvcRenderCommandName=%2Fdisposition%2Fdetail&amp;p_r_p_dispositionText=2023-09851&amp;p_r_p_dispositionReference=2023-09851&amp;p_r_p_dispositionDate=13/11/2023
https://sede.asturias.es/bopa/2024/05/09/2024-03731.pdf</t>
  </si>
  <si>
    <t xml:space="preserve">El proyecto, estará formada por dos bloques de contenedores de baterías de 12,24 megavatios </t>
  </si>
  <si>
    <t> Parque de baterías de almacenamiento eléctrico "FRAGONIA SIERO "</t>
  </si>
  <si>
    <t>PR-INTALMAC-2023-000117</t>
  </si>
  <si>
    <t>TUYA CORREDORIA 1</t>
  </si>
  <si>
    <t>TUYA POWER, S.L.</t>
  </si>
  <si>
    <t>Parque de Baterías Tuya Corredoria 1 44,32 MW/167,04 MWh, estará diseñada con una potencia instalada en baterías de 44,784 MWcc y una capacidad total de almacenamiento a inicio de vida en torno a 167,04 MWh. Estará compuesta por 43 contenedores, cada uno con 14 o 16 strings de baterías con;
-1 bloque con 3 contenedores de baterías, 1 convertidor de potencia y 1 transformador 690 V/30.000 kV de 2,865 MVA ONAN.
-5 bloques con 8 contenedores de baterías, 2 convertidores de potencia y 1 transformador 690 V/30.000 kV de 8,78 MVA ONAN. Cada contenedor de baterías incluye 14 o 16 racks (o cubos) de baterías de tecnología de iones litio y tiene unas dimensiones de 12,192 x 2,438 x 3,2 (m).
-Subestación 30/132 kV SET Tuya Corredoria 1, de tipo intemperie en 132 kV y de interior en 30 kV, que elevará la tensión durante los procesos de descarga de energía eléctrica de las baterías de 30 kV a 132 kV.
-1 transformador bidireccional (T-1) de potencia trifásico 30/132 kV 40/50 MVA, refrigeración ONAN/ONAF, intemperie y aislado en aceite mineral.</t>
  </si>
  <si>
    <t> Parque de baterías de almacenamiento eléctrico "TUYA CORREDORIA 1"</t>
  </si>
  <si>
    <t>PR-INTALMAC-2023-000119</t>
  </si>
  <si>
    <t>RAITAN ST1</t>
  </si>
  <si>
    <t>Atlantica Energía Sostenible España, S.L.U.</t>
  </si>
  <si>
    <t>Parque de Baterías Raitán ST 1 15MW/60,056 MWh, formado por dos bloques de potencia (SKID), cada uno de los cuales está constituido por 8 contenedores de baterías . El parque de baterías estará ubicado en la parcela del polígono industrial de Sovilla y la línea de evacuación discurrirá desde el parque de baterías hasta la Subestación de Santa Cruz, al otro lado de la carretera AS-112.</t>
  </si>
  <si>
    <t> Parque de baterías de almacenamiento eléctrico "RAITAN ST1"</t>
  </si>
  <si>
    <t>PR-INTALMAC-2023-000053</t>
  </si>
  <si>
    <t>INSTALACIÓN DE ALMACENAMIENTO STAND ALONE CON CAPACIDAD INSTALADA 20,00 MWh SIENDO LA POTENCIA NOMINAL DE CARGA/DESCARGA 5,00 MW, DENOMINADA PB IM2 LLOREDA Y UBICADA EN EL TÉRMINO MUNICIPAL DE GIJÓN (ASTURIAS)</t>
  </si>
  <si>
    <t>IM2 ENERGÍA SOLAR PROYECTO 7, S.L.</t>
  </si>
  <si>
    <t xml:space="preserve">Instalación de almacenamiento stand alone con capacidad instalada 20,00 MWhsiendo la potencia máxima de carga/descarga , denominada PB IM2 LLOREDA y ubicada en el término municipal de Gijón </t>
  </si>
  <si>
    <t> Parque de baterías de almacenamiento eléctrico "PB IM2 LLOREDA"</t>
  </si>
  <si>
    <t>PR-INTALMAC-2023-000315</t>
  </si>
  <si>
    <t>INSTALACIÓN DE ALMACENAMIENTO STAND ALONE CON CAPACIDAD INSTALADA 60,00 MWh SIENDO LA POTENCIA MÁXIMA DE CARGA/DESCARGA 15,00 MW, DENOMINADA PB IM2 HUERNA Y UBICADA EN EL TÉRMINO MUNICIPAL DE LENA (ASTURIAS).</t>
  </si>
  <si>
    <t>Instalación de almacenamiento stand alone con capacidad instalada 60,00 MWh siendo la potencia máxima de carga/descarga 15,00 MW, denominada PB IM2 HUERNA y ubicada en el término municipal de Lena</t>
  </si>
  <si>
    <t> Parque de baterías de almacenamiento eléctrico "PB IM2 HUERNA"</t>
  </si>
  <si>
    <t>PR-INTALMAC-2023-000281</t>
  </si>
  <si>
    <t>INSTALACIÓN DE ALMACENAMIENTO STAND ALONE CON CAPACIDAD INSTALADA 20,00 MWh SIENDO LA POTENCIA NOMINAL DE CARGA/DESCARGA 5,00 MW, DENOMINADA PB IM2 FAISÁN Y UBICADA EN EL TÉRMINO MUNICIPAL DE GIJÓN (ASTURIAS)</t>
  </si>
  <si>
    <t>Instalación de almacenamiento stand alone con capacidad instalada 20,00 MWh siendo la potencia nominal de carga/descarga 5,00 MW, denominada PB IM2 FAISÁN y ubicada en el término municipal de Gijón (Asturias)</t>
  </si>
  <si>
    <t> Parque de baterías de almacenamiento eléctrico "PB IM2 FAISÁN"</t>
  </si>
  <si>
    <t>PR-INTALMAC-2023-000309</t>
  </si>
  <si>
    <t>MEJORANA ALIMERKA</t>
  </si>
  <si>
    <t>MEJORANA POWER, S.L.</t>
  </si>
  <si>
    <t>Instalación:
• Parque de Baterías Mejorana Alimerka 26,8 MW/108,86 MWh, formado por cuatro bloques de potencia (SKIDS) de las siguientes características:
— 1 bloque con 3 contenedores de baterías, 1 convertidor de potencia y 1 transformador 645 V/30.000 kV de 4,105 MVA ONAN.
— 3 bloques con 6 contenedores de baterías cada uno, 2 convertidores de potencia y 1 transformador 645 V/30.000 kV de 8,21 MVA ONAN.
Cada contenedor de baterías incluye 18 racks (o cubos) de baterías de tecnología de iones litio y tiene unas dimensiones de 12,192 x 2,438 x 3,2 (m).
• Subestación 30/50 kV SET Mejorana Alimerka, de tipo intemperie en 50 kV y de interior en 30 kV, que elevará la tensión durante los procesos de descarga de energía eléctrica de las baterías de 30 kV a 50 kV, compuesta por:
— 1 transformador bidireccional (T-1) de potencia trifásico 30/50 kV 30/40 MVA, refrigeración ONAN/ONAF, intemperie y aislado en aceite mineral.
— Parque de 50 kV con configuración eléctrica de simple barra con 1 posición de protección por interruptor automático para la línea de alimentación procedente del transformador de potencia, 2 posiciones de entrada/salida de la línea de evacuación y 1 posición de medida de tensión en barras. La línea de evacuación desde este parque de 50 kV hasta el punto de conexión proporcionado por Hidrocantábrico Distribución Eléctrica en el apoyo existente AP401002 de la línea aérea (50 kV) Corredoria-Pumarín es objeto de otro expediente independiente a tramitar por la distribuidora.
— Sistema de 30 kV con configuración eléctrica de simple barra, formado por un conjunto de celdas aisladas en SF6 con las siguientes funciones: 4 celdas de protección por interruptor automático para las líneas de la instalación de almacenamiento, 1 celda de medida de tensión en barras, 1 celda de protección por interruptor automático para la línea de alimentación procedente del transformador 30/50 kV, 1 celda de protección por interruptor automático de la batería de condensadores y 1 celda de protección por ruptor-fusible para el transformador de servicios auxiliares. El sistema de 30 kV se complementa con un transformador de servicios auxiliares, batería de condensadores y 1 reactancia trifásica de puesta a tierra (TZ) en la salida de 30 kV del transformador de potencia.
— Se dispondrá un edificio dotado de sala de control y sala de celdas con una sola planta, donde se ubicarán las celdas de 30 kV, el transformador de servicios auxiliares, los cuadros y equipos de control, armarios de protecciones, cuadros de distribución de servicios auxiliares y equipos de medida y comunicaciones.
Emplazamiento: Parcelas 11079 y 79, Polígono 9, Polvorina, Ricao, Concejo de Llanera.
Objeto: Almacenamiento de energía eléctrica para favorecer la penetración de las energías renovables en el mix de generación.</t>
  </si>
  <si>
    <t> Parque de baterías de almacenamiento eléctrico "MEJORANA ALIMERKA"</t>
  </si>
  <si>
    <t>PR-INTALMAC-2023-000118</t>
  </si>
  <si>
    <t>GALBANO SANMI</t>
  </si>
  <si>
    <t>GALBANO POWER, S.L.</t>
  </si>
  <si>
    <t xml:space="preserve">El  Parque de Baterías Galbano Sanmi 12,24 MW/49,25 MWh, formado por dos bloques de potencia de las siguientes características:
– 1 bloque con una capacidad de energía de 17,280 MWh y 4,39 MVA de potencia, con 4 contenedores de baterías, 1 convertidores de potencia y 1 transformador 690 V/22.000 kV de 4,39 MVA ONAN.
– 1 bloque con una capacidad de energía de 32,256 MWh y 8,78 MVA de potencia, con 8 contenedores de baterías, 2 convertidores de potencia y 1 transformador 690 V/22.000 kV de 8,78 MVA ONAN.
 -Línea subterránea de alta tensión de 22 kV de doble circuito, con una longitud de 1,816 km </t>
  </si>
  <si>
    <t> Parque de baterías de almacenamiento eléctrico "GALBANO SANMI"</t>
  </si>
  <si>
    <t>PR-INTALMAC-2023-000115</t>
  </si>
  <si>
    <t>GALBANO SANGUEL</t>
  </si>
  <si>
    <t>Parque de baterías de iones de litio formado por dos bloques de contenedores de baterías de 9,18 MW</t>
  </si>
  <si>
    <t> Parque de baterías de almacenamiento eléctrico "GALBANO SANGUEL"</t>
  </si>
  <si>
    <t>PR-INTALMAC-2023-000116</t>
  </si>
  <si>
    <t>BESS MIERES</t>
  </si>
  <si>
    <t>BESS DEVELOPMENT 1, S.L.</t>
  </si>
  <si>
    <t>La infraestructura cuenta con una potencia instalada de 12,00 MW y una capacidad de almacenamiento energético de 46 MWh.</t>
  </si>
  <si>
    <t> Parque de baterías de almacenamiento eléctrico "BESS MIERES"</t>
  </si>
  <si>
    <t>PR-INTALMAC-2023-000207</t>
  </si>
  <si>
    <t>Almacenamiento eléctrico El Acibu (15 MW)</t>
  </si>
  <si>
    <t>EDP RENOVABLES ESPAÑA, S.L</t>
  </si>
  <si>
    <t>Iniciativa El Acibu, con 16 MW de potencia instalada y 68,16 MWh de almacenamiento</t>
  </si>
  <si>
    <t> Parque de baterías de almacenamiento eléctrico  "El Acibu"</t>
  </si>
  <si>
    <t>PR-INTALMAC-2023-000103</t>
  </si>
  <si>
    <t>LA CARDOSA I</t>
  </si>
  <si>
    <t>ASOCIACIÓN GRADORRENOVABLES</t>
  </si>
  <si>
    <t> Instalación Fotovoltaica de autoconsumo, sobre tejado de nave</t>
  </si>
  <si>
    <t>SFV Tejado IA</t>
  </si>
  <si>
    <t xml:space="preserve"> https://www.lne.es/grado/2025/02/16/cardosa-contara-primera-comunidad-energetica-114343494.html </t>
  </si>
  <si>
    <t> La asociación GRADO RENOVABLES desea convertirse en comunidad energética y para ello ha decidido realizar una instalación fotovoltaica de autoconsumo colectivo con compensación de excedentes para alimentar a los partícipes de la comunidad. El proyecto está diseñado para un tejado de una nave en el polígono de La Cardosa y podrá abastecer a aquellas edificaciones que estén en un radio de hasta dos kilómetros de las placas.</t>
  </si>
  <si>
    <t> Comunidad energética LA CARDOSA I</t>
  </si>
  <si>
    <t>PR-PILOTO-05-2024-000147</t>
  </si>
  <si>
    <t>CE IMPLEMENTA 6</t>
  </si>
  <si>
    <t>Instalación de planta de reciclaje</t>
  </si>
  <si>
    <t>09219</t>
  </si>
  <si>
    <t>Miranda de Ebro</t>
  </si>
  <si>
    <t>RENOVA RECYCLING, S.L</t>
  </si>
  <si>
    <t>2023-G076.jpg</t>
  </si>
  <si>
    <t>Una planta de reciclaje en Miranda ocupará más de 12.000 metros en el polígono de Ircio | Noticias Diario de Burgos</t>
  </si>
  <si>
    <t>2023-G076</t>
  </si>
  <si>
    <t>Adquisición de maquinaria para nuevas líneas de producción y modernización de la fábrica.</t>
  </si>
  <si>
    <t>GALLETAS CORAL, S.A</t>
  </si>
  <si>
    <t>https://www.transicionjusta.gob.es/Documents/el_instituto/Convenios_transicion_justa/common/MINMIS_TJ/Resolucion_concesion%20def_MINIMIS%202023%20TJ__con%20anexos%20Fda.pdf</t>
  </si>
  <si>
    <t>Las inversiones que se proyectan continúan con la modernización de la fábrica mediante la incorporación de equipos más eficientes que contribuyen con la línea estratégica europea hacia fábricas más sostenibles y que avancen en el freno al cambio climático.las inversiones a realizar, consiste en: La incorporación de un equipo de aspiración de vacío para la dosificación de materia prima en la línea TFT, línea de producción de barquillo boer. La incorporación de moldes cerámicos para las líneas de mirandinas y bizcochos. Implementación de controladores de peso para las líneas de mirandinas y bizcochos. Y la incorporación de una nueva línea de producto para la elaboración de pastas de té y desayuno.</t>
  </si>
  <si>
    <t>2023-P181</t>
  </si>
  <si>
    <t>OTC OCCIDENTE</t>
  </si>
  <si>
    <t>AYUNTAMIENTO DE VALDES</t>
  </si>
  <si>
    <t>OTCs</t>
  </si>
  <si>
    <t>https://www.otcoccidente.com/</t>
  </si>
  <si>
    <t>Oficina de Transición Comunitaria "OTC OCCIDENTE"</t>
  </si>
  <si>
    <t>PR-OTC-2023-000555</t>
  </si>
  <si>
    <t>Adquisición de nueva maquinaria para realizar operaciones de moldeado y corte de piezas metálicas.</t>
  </si>
  <si>
    <t>MUVELASA S.L.</t>
  </si>
  <si>
    <t>https://www.muvelasa.com/</t>
  </si>
  <si>
    <t>2023-P041</t>
  </si>
  <si>
    <t>DH FONDÓN FASE III</t>
  </si>
  <si>
    <t>HULLERAS DEL NORTE S.A., S.M.E. (HUNOSA)</t>
  </si>
  <si>
    <t>https://www.hunosa.es/2024/11/25/hunosa-abre-la-licitacion-de-la-fase-iii-de-la-red-de-calor-del-pozo-fondon-en-langreo/</t>
  </si>
  <si>
    <t>Este proyecto corresponde con la Fase III de  un plan para  la creación de una red de calor que aprovecha el recurso geotérmico del agua de mina del Pozo Fondón y biomasa (potencia total 3 MW). A partir de una determinada profundidad, la temperatura el subsuelo es constante con independencia de la estación. En el subsuelo existe, pues, un recurso con abundante energía a una temperatura que por sí solo no es útil para climatizar, pero sí para ser procesado en una bomba de calor geotérmica, la cual transforma la energía de baja a alta temperatura, apta para climatizar.
HUNOSA aprovecha el calor del interior de la tierra a través del agua con la que se inundan las minas para crear esa red de calor. Este proyecto se encuentra en desarrollo e implica su extensión de la red de calor.hacia el distrito langreano de Sama. Se podía desarrollar una red que suministrara energía a lo largo de las calles Covadonga, Adolfo García Arbesú o Nalona dirigiéndose al centro de Sama. En esta zona existen multitud de edificios de viviendas además de edificios públicos. Otra posibilidad, no incompatible con la que se acaba de mencionar, es desarrollar la red hacia la margen derecha del río Nalón, atravesando el río por uno de los puentes existentes, para dar servicio a toda la zona escolar ubicada en esta área.</t>
  </si>
  <si>
    <t>Red de calor Fondón fase III</t>
  </si>
  <si>
    <t>PR-RENORED-2022-000040</t>
  </si>
  <si>
    <t>RENORED</t>
  </si>
  <si>
    <t>Programas de Incentivos a proyectos de redes de calor y frío que utilicen fuentes de energía renovable</t>
  </si>
  <si>
    <t>LÍNEA B: DESCABONIZACIÓN DEN LA TJ, Proyecto de innovación regulatoria desarrollado en virtud del Real Decreto 568/2022, de 11 de julio</t>
  </si>
  <si>
    <t>ALMACENAMIENTO CIUDADANO</t>
  </si>
  <si>
    <t>Gestión red IA 1</t>
  </si>
  <si>
    <t>https://www.facebook.com/EnergiaIDAE/videos/el-proyecto-almacenamiento-ciudadano-de-edp-espa%C3%B1a-forma-parte-del-programa-de-a/1746485919608234/</t>
  </si>
  <si>
    <t>Democratización del acceso a las ventajas de la generación distribuida para todos los ciudadanos, independientemente de la vivienda que habiten mediante la incorporación de soluciones de almacenamiento en batería. Compatibilizará equipos de almacenamiento que gestionen la demanda del cliente con el vertido de excedentes a la red. Se trata de un sistema similar al autoconsumo.</t>
  </si>
  <si>
    <t>Almacenamiento ciudadano</t>
  </si>
  <si>
    <t>PR-NMN-01-2023-000194</t>
  </si>
  <si>
    <t>WAVEASTUR - Instalación de 3 
convertidores de energía 
undimotriz (WEC) de 350 kW cada uno, en aguas del Puerto de Avilés</t>
  </si>
  <si>
    <t>DURO FELGUERA GREEN TECH SA</t>
  </si>
  <si>
    <t>undimotriz IA</t>
  </si>
  <si>
    <t>https://www.durofelguera.com/el-proyecto-waveastur-obtiene-una-importante-ayuda-del-programa-renmarinas/</t>
  </si>
  <si>
    <t>Instalación de 3 convertidores de energía undimotriz (WEC) de 350 kW cada uno, en aguas del Puerto de Avilés</t>
  </si>
  <si>
    <t xml:space="preserve">WAVEASTUR - </t>
  </si>
  <si>
    <t>PR-RENMARDEM-2023-000057</t>
  </si>
  <si>
    <t>Construcción de una nueva fábrica de elaboración de quesos artesanos de_x000D_ leche de oveja.</t>
  </si>
  <si>
    <t>09060</t>
  </si>
  <si>
    <t>Busto de Bureba</t>
  </si>
  <si>
    <t>LAFUENTE CARRERAS JOSÉ LORENZO Y CARLOS SC</t>
  </si>
  <si>
    <t>https://www.diariodeburgos.es/noticia/zf629a963-f1b6-0ebb-916cd62276fe3ad9/202312/9-empresas-recibiran-15-millones-en-ayudas-para-inversiones</t>
  </si>
  <si>
    <t>Ejecución de una nueva nave para la elaboración de quesos artesanos de leche de oveja, en la misma se realizará el desarrollo de la actividad de elaboración de los productos indicados y las actividades complementarias de formación y divulgación del proceso de elaboración de los distintos quesos elaborados.</t>
  </si>
  <si>
    <t>Construcción de una nueva fábrica de elaboración de quesos artesanos de</t>
  </si>
  <si>
    <t>2023-P116</t>
  </si>
  <si>
    <t xml:space="preserve">REHABILITACION BAJO CUBIERTA EDIFICIO CAZADORES. Espacio para la pernoctación de cazadores y visitantes que alargaría las estancias en el municipio  </t>
  </si>
  <si>
    <t>09102</t>
  </si>
  <si>
    <t>Cillaperlata</t>
  </si>
  <si>
    <t>AYUNTAMIENTO CILLAPERLATA</t>
  </si>
  <si>
    <t>https://www.burgosconecta.es/provincia/cillaperlata-convertira-casa-cazadores-alojamiento-turistico-20231218160124-nt.html</t>
  </si>
  <si>
    <t xml:space="preserve">Rehabilitacion bajo cubierta edificio cazadores. espacio para la pernoctación de cazadores y visitantes que alargaría las estancias en el municipio  </t>
  </si>
  <si>
    <t>Rehabilitacion bajo cubierta edificio cazadores</t>
  </si>
  <si>
    <t>2022-C138</t>
  </si>
  <si>
    <t>SUNWAFE – Construcción y puesta en funcionamiento de una nueva instalación para la fabricación de lingotes de cristal de silicio y obleas de silicio fotovoltaico</t>
  </si>
  <si>
    <t>SUNWAFE SL</t>
  </si>
  <si>
    <t>Fábrica FV 3</t>
  </si>
  <si>
    <t>https://sunwafe.com/sunwafe-awarded-200-million-grant/</t>
  </si>
  <si>
    <t>Fabricación de lingotes y obleas de silicio, componentes esenciales para la fabricación de paneles FV</t>
  </si>
  <si>
    <t>Planta de fabricación de obleas de siliceo</t>
  </si>
  <si>
    <t>PR-RENOVAL-2024-000038</t>
  </si>
  <si>
    <t>Adquisición de maquinaria  para poder personalizar el producto según las necesidades del cliente</t>
  </si>
  <si>
    <t>09213</t>
  </si>
  <si>
    <t>Merindad de Cuesta-Urria</t>
  </si>
  <si>
    <t>MADERAS ALONSO LLORENTE S.L.</t>
  </si>
  <si>
    <t>https://sede.transicionjusta.gob.es/es-es/Documents/PPEE_TJ/20231222%20Propuesta%20provisional%20MINIMIS%202023%20TJ.pdf</t>
  </si>
  <si>
    <t>2023-P118</t>
  </si>
  <si>
    <t>LÍNEA C. STARTUPS PARA LA TRANSICIÓN ENERGÉTICA</t>
  </si>
  <si>
    <t>Desarrollo de una nueva generación de tecnología de red para la gestión integral de la flexibilidad</t>
  </si>
  <si>
    <t>Plexigrid SL</t>
  </si>
  <si>
    <t>https://plexigrid.com/wp-content/uploads/2025/06/Nuevos-Modelos-de-Negocios_Nota-de-Prensa.pdf</t>
  </si>
  <si>
    <t>Siguiente generación de controladores de planta distribuidos incluyendo capacidades de grid-forming de integración de capacidades de gestión de energía.</t>
  </si>
  <si>
    <t>Controladores de planta de gestión energética que aporten estabilidad a la red.</t>
  </si>
  <si>
    <t>PR-NMN-01-2023-000284</t>
  </si>
  <si>
    <t>PARQUE URBANO EN VILLANUEVA DE TEBA (BURGOS). Urbanización y ajardinamiento del centro del pueblo</t>
  </si>
  <si>
    <t>09454</t>
  </si>
  <si>
    <t>Villanueva de Teba</t>
  </si>
  <si>
    <t>AYUNTAMIENTO DE VILLANUEVA DE TEBA</t>
  </si>
  <si>
    <t>2022-C020.jpg</t>
  </si>
  <si>
    <t>https://planderecuperacion.gob.es/como-acceder-a-los-fondos/convocatorias/PLC/14450976/acondicionamiento-parque-urbano-villanueva-de-teba</t>
  </si>
  <si>
    <t>Parque urbano en Villanueva de teba (burgos). urbanización y ajardinamiento del centro del pueblo</t>
  </si>
  <si>
    <t xml:space="preserve">Parque urbano en Villanueva de teba (burgos). </t>
  </si>
  <si>
    <t>2022-C020</t>
  </si>
  <si>
    <t>REFORMA EDIFICIO MUNICIPAL PARA CENTRO SOCIAL DE PERSONAS MAYORES,EMPRENDIMIENTO Y ESPACIO EXPOSTIVO. Centro social para mayores, áreas de coworking y emprendimiento, sala expositiva y zonas de lectura e internet que aseguren el acceso universal a las nuevas tecnologías.</t>
  </si>
  <si>
    <t>09251</t>
  </si>
  <si>
    <t>Pancorbo</t>
  </si>
  <si>
    <t>AYUNTAMIENTO DE PANCORBO</t>
  </si>
  <si>
    <t>2022-C034.jpg</t>
  </si>
  <si>
    <t>https://planderecuperacion.gob.es/como-acceder-a-los-fondos/convocatorias/PLC/13593957/obras-de-reforma-de-edificio-municipal-para-centro-social-de-personas-mayores-emprendimiento-y-espacio-expositivo-en-plaza-mayor-n-6-de-pancorbo-financiado-con-el-plan-de-recuperacion-transformacion-y-resiliencia-financiado-por-la-union-europea-next-generation-eu</t>
  </si>
  <si>
    <t>Reforma edificio municipal para centro social de personas mayores,emprendimiento y espacio expostivo. centro social para mayores, áreas de coworking y emprendimiento, sala expositiva y zonas de lectura e internet que aseguren el acceso universal a las nuevas tecnologías.</t>
  </si>
  <si>
    <t>Reforma edificio municipal para centro social .</t>
  </si>
  <si>
    <t>2022-C034</t>
  </si>
  <si>
    <t>Beneficiarios: (RENFE+ENAGÁS+Segula Tecnologías+H2 Vector energy+Táctica Tic)</t>
  </si>
  <si>
    <t>Diseño y desarrollo del primer tren BiModo propulsado por hidrógeno (H2BIMODO)</t>
  </si>
  <si>
    <t>Renfe Operadora</t>
  </si>
  <si>
    <t>Tren H2 IA</t>
  </si>
  <si>
    <t>https://magazine.mafex.es/h2bimodo-proyecto-pionero-en-el-uso-del-hidrogeno-liquido-en-trenes-de-viajeros/</t>
  </si>
  <si>
    <t>Desarrollo de una solución óptima, eficaz y eficiente para la adaptación de un tren eléctrico al que se incorporará un nuevo MODO de tracción (BiModo) que pueda traccionar con energía procedente de hidrógeno VERDE líquido y/o con Baterías de esta misma fuente. 
El proyecto consiste en transformar una unidad autopropulsada 100% eléctrica de la serie 436 de Renfe (antigua 3600 de FEVE) con el objetivo de que pueda traccionar por vías electrificadas y no electrificadas mediante la energía de la catenaria (en el primer caso) y un nuevo sistema híbrido independiente de pila de hidrógeno y baterías (para el segundo caso). El proyecto se ejecuta en consorcio junto con RENFE (líder del proyecto), Enagás, Táctica TIC, H2Vector, y RENFE Viajeros; y, en él, SEGULA se encarga del desarrollo de toda la ingeniería de transformación de la unidad de material rodante, incluyendo la definición, diseño e integración del sistema H2 en la unidad como expertos en el sector hidrógeno en movilidad.</t>
  </si>
  <si>
    <t>H2BIMODO: Tren con nuevo sistema híbrido independiente de pila de hidrógeno y baterías</t>
  </si>
  <si>
    <t>PR-H2CVAL2-C1-2022-0067</t>
  </si>
  <si>
    <t>H2CVAL2</t>
  </si>
  <si>
    <t>Resolución Ayuda solicitada 199.962,94 €  Coste subvencionable 580.612,50 €
El IDAE informa que En Resolución de modificación de proyecto de 13/05/25 se reduce el coste elegible a 87,909,64, pero mantenemos los datos de la resolución definitiva
https://sede.idae.gob.es/sites/default/files/documentos/2023/OTCs/OTC_Prop_Resol_Definitiva_Adjudicacion_publicacion_sede.pdf</t>
  </si>
  <si>
    <t>FUNDACIÓN ASTURIANA DE LA ENERGÍA</t>
  </si>
  <si>
    <t>https://faen.es/comunidades-energeticas-otc/</t>
  </si>
  <si>
    <t>La Fundación Asturiana de la Energía ha sido reconocida Oficina de Transformación Comunitaria para la promoción y dinamización de comunidades energéticas, figura creada por IDAE (Instituto para la Diversificación y el Ahorro de la Energía del Gobierno de España) para la promoción, fomento y apoyo de las comunidades energéticas, en el marco del Plan de Recuperación, Transformación y Resiliencia financiado por la Unión Europea – NextGenerationEU.
FAEN ofrece un servicio específico orientado a apoyar las iniciativas de Comunidades Energéticas, no solo desde una perspectiva técnica y financiera (desarrollando planes de negocio, viabilidad y financiación), sino también desde un marco legal, regulatorio y de políticas; acompañando todo el proceso desde la etapa preliminar de estudio y vinculación, pasos jurídico-administrativos constitutivos, hasta la implementación final de un modelo de gobierno adecuado y prestación de asesoría legal.</t>
  </si>
  <si>
    <t>Oficina de Transición Comunitaria FAEN</t>
  </si>
  <si>
    <t>PR-OTC-2023-000454</t>
  </si>
  <si>
    <t>Luz verde en diciembre 2025 https://www.lne.es/cuencas/2025/12/08/luz-verde-central-hidroelectrica-generara-124567046.html</t>
  </si>
  <si>
    <t>Aprovechamiento pie de presa de Rioseco</t>
  </si>
  <si>
    <t>Hidroeléctria 4</t>
  </si>
  <si>
    <t>https://edp.com/es/europa/espana/proyectos/mejora-instalaciones/edp-sumara-3-mw-de-potencia-en-la-central-hidraulica</t>
  </si>
  <si>
    <t>Hidroeléctrica con una potencia total de la actuación de 3.300kW (3,3MW) y  una capacidad de almaceamiento total de la actuación de 1.650kW (1,65MW)</t>
  </si>
  <si>
    <t>Hidroeléctrica en Sobreescobio</t>
  </si>
  <si>
    <t>PR-RENOINN-2024-000264</t>
  </si>
  <si>
    <t>CAÑO IMPROVEMENT</t>
  </si>
  <si>
    <t>Pequeña Hidroeléctrica IA</t>
  </si>
  <si>
    <t>https://edp.com/es/europa/espana/proyectos/mejora-instalaciones/central-hidraulica-cano</t>
  </si>
  <si>
    <t xml:space="preserve"> La central de Caño evoluciona: más rendimiento, más flexibilidad.
La central hidráulica de Caño se ha modernizado para avanzar hacia un modelo energético más sostenible, reforzando nuestra apuesta por la energía limpia y el aprovechamiento responsable de los recursos</t>
  </si>
  <si>
    <t>CAÑO IMPROVEMENT: Renovación de central hidroléctrica EL Caño</t>
  </si>
  <si>
    <t>PR-REPOTEN-2023-000208</t>
  </si>
  <si>
    <t>CENTRO DE TURISMO Y EMPRENDIMIENTO CASA SALAZAR. Zona para visitantes que ofrecerá una experiencia virtual de la vida del municipio en la Edad Media. Espacio de coworking y formación para la recualificación profesional de mujeres y jóvenes.</t>
  </si>
  <si>
    <t>09134</t>
  </si>
  <si>
    <t>Frías</t>
  </si>
  <si>
    <t>AYUNTAMIENTO DE FRIAS</t>
  </si>
  <si>
    <t>2022-C097.jpg</t>
  </si>
  <si>
    <t>https://cronicadelasmerindades.com/frias-recibira-mas-de-800-000-euros-para-la-creacion-de-un-espacio-coworking-y-la-rehabilitacion-del-monasterio-de-santa-maria-de-vadillo/</t>
  </si>
  <si>
    <t>Centro de turismo y emprendimiento casa salazar. zona para visitantes que ofrecerá una experiencia virtual de la vida del municipio en la edad media. espacio de coworking y formación para la recualificación profesional de mujeres y jóvenes.</t>
  </si>
  <si>
    <t>Centro de turismo y emprendimiento Casa Salazar.</t>
  </si>
  <si>
    <t>2022-C097</t>
  </si>
  <si>
    <t>REHABILITACION DE FACHADA DE LA CASA CONSISTORIAL DE QUINTANAELEZ. Alberga servicios municipales, sanitarios y centro social. Permitirá el acceso internet universal</t>
  </si>
  <si>
    <t>09283</t>
  </si>
  <si>
    <t>Quintanaélez</t>
  </si>
  <si>
    <t>AYUNTAMIENTO DE QUINTANAELEZ</t>
  </si>
  <si>
    <t>2022-C012.jpg</t>
  </si>
  <si>
    <t>https://contrataciondelestado.es/FileSystem/servlet/GetDocumentByIdServlet?DocumentIdParam=DWJ/B0yJaL8kPcnZFKXJPVSbMC8fFTt33472kEf/1BkHFGrWC1sI/SUC82UEmAlraO9gQF8xEtTwJluYFQ3ViUuH8d7Edzq8KdPsV24wC64%3D&amp;cifrado=QUC1GjXXSiLkydRHJBmbpw%3D%3D</t>
  </si>
  <si>
    <t>Rehabilitación de las fachadas de la casa consistorial, que alberga las instalaciones del ayuntamiento, consultorio médico y centro social, para mejorar sus condiciones térmicas</t>
  </si>
  <si>
    <t>Rehabilitación del edificio del Ayuntamiento</t>
  </si>
  <si>
    <t>2022-C012</t>
  </si>
  <si>
    <t>En la resolución aparece como Castilla y León, ya que el coordinador es de allí (fundación Cidaut) pero se desarrollará en las instalaciones de Cogersa en Gijón</t>
  </si>
  <si>
    <t>COLHIBRI: Investigación en nuevos procesos basados en tecnologías del H2 para la cogeneración eficiente, económica y segura con biogás</t>
  </si>
  <si>
    <t>FUNDACION CIDAUT G47448519/ A33068578 (Cogersa)/ B02891307 (Imasa) / B20973871 (Inbiogás) / B87737888</t>
  </si>
  <si>
    <t>H2 3</t>
  </si>
  <si>
    <t>https://colhibri.es/</t>
  </si>
  <si>
    <t xml:space="preserve">El objetivo perseguido en COLHIBRI es disponer de una alternativa sostenible y económicamente viable a las plantas actuales de cogeneración con Motores de Combustión Interna Alternativos (MCIA) basada en tecnologías del H2 pues aportan grandes ventajas en términos de eficiencia energética y emisiones.
El proyecto COLHIBRI propone acelerar la investigación industrial en el ámbito de la cogeneración de calor y electricidad a partir de biogás mediante la generación de H2, proponiendo una cadena de valor alternativa que comprende la producción de H2 verde en base a bioprocesos y su uso para la producción de energía eléctrica mediante el uso de nuevas pilas de combustible. Entre las principales ventajas asociadas de este proceso alternativo se encuentran la eliminación de las emisiones contaminantes producidas en la combustión del biogás, un aumento significativo del rendimiento a energía eléctrica y la integración energética de los procesos que mejora la eficiencia energética del conjunto.   
</t>
  </si>
  <si>
    <t>INVESTIGACIÓN EN NUEVAS TECNOLOGÍAS PARA LA COGENERACIÓN LIMPIA MEDIANTE H2 VERDE A PARTIR DE BIOGÁS – "COLHIBRI"</t>
  </si>
  <si>
    <t>PR-H2CVAL4-C1-2022-0054</t>
  </si>
  <si>
    <t>Resolución definitiva: Coste subvencionable 135.001,67 € Ayuda propuesta concesión 81.001,00 €
https://sede.idae.gob.es/sites/default/files/2024-02/CEI_PILOTOS_03_ResolucionDefinitiva_Adjudicacion_SEE.pdf</t>
  </si>
  <si>
    <t>Proyecto Piloto Innovador de la Comunidad Energética ASOLEYAR Santa Bárbara Gijón El propósito de este proyecto es “hacer barrio”, contribuir a una transición justa, obtener un porcentaje de energía que consumen sus cerca de 50 socias y socios de forma limpia, ser un referente para que otros barrios de Gijón se animen a imitar la iniciativa y ayudar a combatir la pobreza energética entre sus residentes.</t>
  </si>
  <si>
    <t>Comunidad Energética ASOLEYAR (G44730455)</t>
  </si>
  <si>
    <t>https://asoleyar.org/</t>
  </si>
  <si>
    <t>El propósito de este proyecto es “hacer barrio”, contribuir a una transición justa, obtener un porcentaje de energía que consumen sus cerca de 50 socias y socios de forma limpia, ser un referente para que otros barrios de Gijón se animen a imitar la iniciativa y ayudar a combatir la pobreza energética entre sus residentes.</t>
  </si>
  <si>
    <t>Proyecto "Hacer Barrio" de la Comunidad Energética ASOLEYAR</t>
  </si>
  <si>
    <t>PR-PILOTO-03-2023-000146</t>
  </si>
  <si>
    <t>CE IMPLEMENTA 3</t>
  </si>
  <si>
    <t>Evolucionar la tecnología de almacenamiento de redosx de vanadio conectada a red desde un TRL</t>
  </si>
  <si>
    <t>CAUDAL-ABOÑO</t>
  </si>
  <si>
    <t>EDP ESPAÑA SAU ; Hydraredox Ivria; Inerco</t>
  </si>
  <si>
    <t>Baterias IA 2</t>
  </si>
  <si>
    <t>edp: https://espana.edp.com/es/historias/proyecto-redox2025</t>
  </si>
  <si>
    <t>El objetivo principal del proyecto es evolucionar la tecnología de almacenamiento de flujo redox de vanadio con tecnología española. Este sistema de almacenamiento estará conectado a la red. Tendrá una potencia de 0,25 MW y una capacidad de almacenamiento de 1,05 MWh (4,2 horas de descarga de energía). La energía procederá de los excedentes de generación renovable. Con esta iniciativa se estudiará su posterior escalabilidad a proyectos mayores, ya sean 'stand-alone' (conectados a la red y operados de forma autónoma) o integrados en parques de generación renovable (fotovoltaica, eólica...).</t>
  </si>
  <si>
    <t>REDOX2025: Evolución de tecnología de almacenamiento de flujo redox de vanadio
en el hub energético de Soto de Ribera (Asturias) para almacenamiento de energía y
conexión a red</t>
  </si>
  <si>
    <t>PR-IDALMAC-C1-2022-000106</t>
  </si>
  <si>
    <t>IDALMAC</t>
  </si>
  <si>
    <t>I+D ALMACENAMIENTO ENERGÉTICO</t>
  </si>
  <si>
    <t>Centro de producción, ensamblaje y logística de estructuras eólicas offshore</t>
  </si>
  <si>
    <t>DEA ASTURICA SA,</t>
  </si>
  <si>
    <t>Fábrica eólico offshore IA</t>
  </si>
  <si>
    <t>Factoría para la eólica marina</t>
  </si>
  <si>
    <t>Planta de estructuras para parques eólicos en El Musel</t>
  </si>
  <si>
    <t>PR-RENOVAL-2024-000072</t>
  </si>
  <si>
    <t xml:space="preserve">VIVERO DE MICROEMPRESAS (REHABILITACIÓN SENPA). Vivero de microempresas a precios reducidos para favorecer la innovación y el emprendimiento enfocado a empresas agrarias de la zona, entre otros  </t>
  </si>
  <si>
    <t>Zorita</t>
  </si>
  <si>
    <t>19192</t>
  </si>
  <si>
    <t>Mondéjar</t>
  </si>
  <si>
    <t>Guadalajara</t>
  </si>
  <si>
    <t>AYUNTAMIENTO DE MONDÉJAR</t>
  </si>
  <si>
    <t>2022-C163.jpg</t>
  </si>
  <si>
    <t xml:space="preserve">Vivero de microempresas a precios reducidos para favorecer la innovación y el emprendimiento enfocado a empresas agrarias de la zona, entre otros  </t>
  </si>
  <si>
    <t>Vivero de microempresas en un antiguo edificio del Senpa.</t>
  </si>
  <si>
    <t>2022-C163</t>
  </si>
  <si>
    <t>PROYECTO DE RENOVACIÓN TECNOLÓGICA Y MEDIOAMBIENTAL DE LA CH LA PARAYA</t>
  </si>
  <si>
    <t>REPSOL</t>
  </si>
  <si>
    <t>Se trata de un proyecto de renovación tecnológica y medioambiental de un complejo hidraúlico preesistente. La central está formada por tres presas (el azud de Viescas en el río Llananzanes, el azud de Lorria en el río del mismo nombre y el azud de Carbayalín en el curso alto del río Aller), dos canales de derivación que suman más de 6,6 kilómetros, una tubería forzada de casi 700 metros y la central hidráulica en La Paraya, que alberga dos turbinas y tiene una potencia instalada de más de 3,3 megavatios.
La renovación incluye la mejora de los accesos a las instalaciones; la automatización de los azudes en los tres ríos; la implantación de sistemas de regulación y control de los caudales ecológicos en los tres puntos de toma; el acondicionamiento de canales (renovando los revestimientos impermeables y tapando los tramos en los que discurre en sección abierta), y el refuerzo de la tubería forzada en el tramo comprendido entre la cámara de carga y el cruce con la carretera de acceso a Llananzanes. Adicionalmente, aporta estudio de gestión de residuos de construcción.</t>
  </si>
  <si>
    <t>Renovación de la Central Hidroeléctrica La Paraya</t>
  </si>
  <si>
    <t>PR-REPOTEN-2023-000090</t>
  </si>
  <si>
    <t xml:space="preserve">REHABILITACIÓN Y ACONDICIONAMIENTO DE CENTRO DE DÍA EN EDIFICIO DE TITULARIDAD MUNICIPAL. Centro de día para mayores con 50 plazas que ayude a fijar población, dinamizar la economía local y promover el empleo femenino </t>
  </si>
  <si>
    <t>19176</t>
  </si>
  <si>
    <t>Mazuecos</t>
  </si>
  <si>
    <t>AYUNTAMIENTO DE MAZUECOS</t>
  </si>
  <si>
    <t>Centro de día para mayores con 50 plazas que ayude a fijar población, dinamizar la economía local y promover el empleo femenino</t>
  </si>
  <si>
    <t>Rehabilitación y acondicionamiento de centro de día en edificio de titularidad municipal</t>
  </si>
  <si>
    <t>2022-C117</t>
  </si>
  <si>
    <t>REHABILITACION INTEGRAL Y ENERGETICA DE EDIFICIO MUNICIPAL DE SAYATON. Rehabilitación energética innovadora para el edificio que alberga el centro de salud y dos viviendas sociales. El objetivo es obtener el certificado EnerPHit</t>
  </si>
  <si>
    <t>19252</t>
  </si>
  <si>
    <t>Sayatón</t>
  </si>
  <si>
    <t>AYUNTAMIENTO DE SAYATON</t>
  </si>
  <si>
    <t>2022-C014.jpg</t>
  </si>
  <si>
    <t>Rehabilitación energética innovadora para el edificio que alberga el centro de salud y dos viviendas sociales. El objetivo es obtener el certificado EnerPHit</t>
  </si>
  <si>
    <t>Rehabilitación integral y energética de un edificio municipal de Sayatón.</t>
  </si>
  <si>
    <t>2022-C014</t>
  </si>
  <si>
    <t>REHABILITACION INTEGRAL Y ENERGETICA DE POSADA EN ZORITA DE LOS CANES. Alojamiento turístico con instalaciones renovables. Foco de desarrollo turístico para el municipio</t>
  </si>
  <si>
    <t>19335</t>
  </si>
  <si>
    <t>Zorita de los Canes</t>
  </si>
  <si>
    <t>AYUNTAMIENTO DE ZORITA DE LOS CANES</t>
  </si>
  <si>
    <t>2022-C019.jpg</t>
  </si>
  <si>
    <t>Mejora del equipamiento turístico a partir de La Posada de Zorita de los Canes. Se realizarán adaptaciones para que sea más sostenible y se mejorará la instalación existente.</t>
  </si>
  <si>
    <t>Rehabilitación integral y energética de posada en Zorita de los Canes.</t>
  </si>
  <si>
    <t>2022-C019</t>
  </si>
  <si>
    <t>Rehabilitación del horno para la elaboración y la venta de pan y otros productos básicos. Se trata de un servicio inexistente en la zona</t>
  </si>
  <si>
    <t>09077</t>
  </si>
  <si>
    <t>Cascajares de Bureba</t>
  </si>
  <si>
    <t>AYUNTAMIENTO DE CASCAJARES DE BUREBA</t>
  </si>
  <si>
    <t>2022-C007.jpg</t>
  </si>
  <si>
    <t>Rehabilitación del horno para la elaboración y la venta de pan y otros productos básicos. se trata de un servicio inexistente en la zona</t>
  </si>
  <si>
    <t>Rehabilitación del horno comunal</t>
  </si>
  <si>
    <t>2022-C007</t>
  </si>
  <si>
    <t>Recuperación del antiguo cuartel de la Guardia Civil en la localidad de Oña, con la intención de destinar las 5 viviendas a un uso de viviendas sociales.</t>
  </si>
  <si>
    <t>09238</t>
  </si>
  <si>
    <t>Oña</t>
  </si>
  <si>
    <t>Ayuntamiento de Oña</t>
  </si>
  <si>
    <t>2024-C044.jpg</t>
  </si>
  <si>
    <t> Recuperación del antiguo cuartel de la Guardia Civil en la localidad de Oña, con la intención de destinar las 5 viviendas a un uso de viviendas sociales. intervención integral que dotará al municipio de parque público de vivienda</t>
  </si>
  <si>
    <t>Rehabilitación del antiguo cuartel para viviendas sociales</t>
  </si>
  <si>
    <t>2024-C044</t>
  </si>
  <si>
    <t>Rehabilitación de las antiguas dependencias anexas a las escuelas municipales para viviendas de nuevos pobladores</t>
  </si>
  <si>
    <t>19152</t>
  </si>
  <si>
    <t>Illana</t>
  </si>
  <si>
    <t>Ayuntamiento de Illana</t>
  </si>
  <si>
    <t>2024-C011.jpg</t>
  </si>
  <si>
    <t> Rehabilitación de las antiguas dependencias anexas a las escuelas municipales para viviendas de nuevos pobladores</t>
  </si>
  <si>
    <t>Rehabilitación de viviendas para nuevos pobladores</t>
  </si>
  <si>
    <t>2024-C011</t>
  </si>
  <si>
    <t>Rehabilitación de vivienda como casa rural</t>
  </si>
  <si>
    <t>01055</t>
  </si>
  <si>
    <t>Valdegovía/Gaubea</t>
  </si>
  <si>
    <t>MENDIKO OSTATU ETXEA S.L.</t>
  </si>
  <si>
    <t>Se trata de la creación de una nueva casa rural en uno de los municipios con mayor poder de atracción de la Cuadrilla de Añana, muy próxima al Valle Salado.</t>
  </si>
  <si>
    <t>2023-P089</t>
  </si>
  <si>
    <t xml:space="preserve">REHABILITACIÓN DE EDIFICIO MUNICIPAL. Viviendas sociales para nuevos pobladores (3) con sistemas de eficiencia energetica y aerotermia, y rehabilitación de una dependencia dependencia municipal </t>
  </si>
  <si>
    <t>19022</t>
  </si>
  <si>
    <t>Almonacid de Zorita</t>
  </si>
  <si>
    <t>AYUNTAMIENTO DE ALMONACID DE ZORITA</t>
  </si>
  <si>
    <t>2022-C060.jpg</t>
  </si>
  <si>
    <t xml:space="preserve">Viviendas sociales para nuevos pobladores con sistemas de eficiencia energetica y aerotermia, y rehabilitación de una dependencia dependencia municipal </t>
  </si>
  <si>
    <t>Rehabilitación de un edificio municipal en  viviendas sociales</t>
  </si>
  <si>
    <t>2022-C060</t>
  </si>
  <si>
    <t>REHABILITACIÓN EDIFICIO MUNICIPAL (ANTIGUAS ESCUELAS) PARA LA CREACIÓN DE UN ESPACIO PARA SU USO EN LA INNOVACIÓN DIGITAL, PROMOCIÓN DEL EMPRENDIMIENTO Y DESARROLLO ECONÓMICO PARA POTENCIAR LA DISMINUCIÓN DE BRECHA DIGITAL Y FACILITAR EL ACCESO Y CONOCIMIENTO A LAS MUJERES A LAS NUEVAS TECNOLOGÍAS. Espacio para la innovación digital, el emprendimiento y el desarrollo económico. Su accesibilidad favorerá la disminución de la brecha digital y el acceso de las mujeres al emprendimiento y las nuevas tecnologías</t>
  </si>
  <si>
    <t>19150</t>
  </si>
  <si>
    <t>Hueva</t>
  </si>
  <si>
    <t>AYUNTAMIENTO DE HUEVA</t>
  </si>
  <si>
    <t>2022-C126.jpg</t>
  </si>
  <si>
    <t>Espacio para la innovación digital, el emprendimiento y el desarrollo económico. Su accesibilidad favorerá la disminución de la brecha digital y el acceso de las mujeres al emprendimiento y las nuevas tecnologías</t>
  </si>
  <si>
    <t>Rehabilitación de un edificio municipal (antiguas escuelas) para la creación de un espacio para su uso en la innovación digital</t>
  </si>
  <si>
    <t>2022-C126</t>
  </si>
  <si>
    <t xml:space="preserve">REHABILITACION DE EDIFICACION DE LAS ANTIGUAS ESCUELAS MUNICIPALES
PARA VIVIENDAS NUEVOS POBLADORES. Viviendas para nuevos pobladores (2) con sistemas de eficiencia energética y aerotermia. </t>
  </si>
  <si>
    <t>19301</t>
  </si>
  <si>
    <t>Valdeconcha</t>
  </si>
  <si>
    <t>AYUNTAMIENTO DE VALDECONCHA</t>
  </si>
  <si>
    <t>2022-C062.jpg</t>
  </si>
  <si>
    <t>Dos viviendas para nuevos pobladores contarán con sistemas de eficiencia energética y aerotermia</t>
  </si>
  <si>
    <t>Rehabilitación de edificación de las antiguas escuelas municipales para viviendas nuevos pobladores</t>
  </si>
  <si>
    <t>2022-C062</t>
  </si>
  <si>
    <t xml:space="preserve">EJECUCIÓN PARA REGENERACIÓN MEDIOAMBIENTAL DEL HUMEDAL Y SU ENTORNO EN POLÍGONO INDUSTRIAL LA COBA. Adecuación de este nuevo hábitat para preservar la flora, la fauna y prepararlo para su uso social </t>
  </si>
  <si>
    <t>01047</t>
  </si>
  <si>
    <t>Ribera Baja/Erriberabeitia</t>
  </si>
  <si>
    <t>Ayuntamiento de Ribera Baja/ Erriberabeitia</t>
  </si>
  <si>
    <t>2022-C155.jpg</t>
  </si>
  <si>
    <t xml:space="preserve">Adecuación de este nuevo hábitat para preservar la flora, la fauna y prepararlo para su uso social </t>
  </si>
  <si>
    <t>Regeneración medioambiental de un humedal y su entorno en el polígono industrial La Coba.</t>
  </si>
  <si>
    <t>2022-C155</t>
  </si>
  <si>
    <t xml:space="preserve">REFORMA Y REHABILITACION RESIDENCIA VALLE DE TOBALINA. Huerto en el jardín y estación de recarga de vehículos eléctricos son algunas de las novedades con las que contará esta residencia qa la que se dotará con instalaciones de eficiencia energética. </t>
  </si>
  <si>
    <t>09412</t>
  </si>
  <si>
    <t>Valle de Tobalina</t>
  </si>
  <si>
    <t>AYUNTAMIENTO VALLE DE TOBALINA</t>
  </si>
  <si>
    <t>2022-C225.jpg</t>
  </si>
  <si>
    <t xml:space="preserve">Reforma y rehabilitacion residencia valle de tobalina. huerto en el jardín y estación de recarga de vehículos eléctricos son algunas de las novedades con las que contará esta residencia qa la que se dotará con instalaciones de eficiencia energética. </t>
  </si>
  <si>
    <t>Reforma y rehabilitacion residencia Valle de Tobalina.</t>
  </si>
  <si>
    <t>2022-C225</t>
  </si>
  <si>
    <t>REFORMA DE EDIFICIO PÚBLICO PARA VIVIENDAS SOCIALES EN GARCINARRO - EL
VALLE DE ALTOMIRA. Viviendas sociales para nuevos pobladores con rehabilitación energética y un sistema de recuperación de las aguas pluviales.</t>
  </si>
  <si>
    <t>16173</t>
  </si>
  <si>
    <t>Valle de Altomira, El</t>
  </si>
  <si>
    <t>Cuenca</t>
  </si>
  <si>
    <t>AYUNTAMIENTO DE EL VALLE DE ALTOMIRA</t>
  </si>
  <si>
    <t>Viviendas sociales para nuevos pobladores con rehabilitación energética y un sistema de recuperación de las aguas pluviales.</t>
  </si>
  <si>
    <t>Reforma de un edificio público para viviendas sociales en Garcinarro – El Valle de Altomira.</t>
  </si>
  <si>
    <t>2022-C061</t>
  </si>
  <si>
    <t>PLANTA DE ACOPIO TEMPORAL DE RESTOS VEGETALES, PARA LA GESTIÓN DE MONTES, JARDINERÍA Y RESTOS AGRÍCOLAS DE EL MUNICIPIO DE ENCÍO. La planta permitirá el acopio temporal de biomasa, el triturado y su transformación como recurso para agricultores locales o empresas que utilicen biomasa</t>
  </si>
  <si>
    <t>09120</t>
  </si>
  <si>
    <t>Encío</t>
  </si>
  <si>
    <t>AYUNTAMIENTO DE ENCIO</t>
  </si>
  <si>
    <t>Planta de acopio temporal de restos vegetales, para la gestión de montes, jardinería y restos agrícolas de el municipio de encío. la planta permitirá el acopio temporal de biomasa, el triturado y su transformación como recurso para agricultores locales o empresas que utilicen biomasa</t>
  </si>
  <si>
    <t>Planta de acopio temporal de restos vegetale.</t>
  </si>
  <si>
    <t>2022-C192</t>
  </si>
  <si>
    <t>OTC Ceder Merindades</t>
  </si>
  <si>
    <t>CEDER Merindades</t>
  </si>
  <si>
    <t>Se proyecta un espacio físico y virtual, dotado de los recursos y personal necesarios para llevar a cabo, públicamente, tanto labores de difusión sobre el concepto y los aspectos relacionados con comunidades energéticas, como labores de asesoramiento y acompañamiento, para fortalecer el sistema de apoyo a los actores interesados, principalmente ciudadanos, pymes y entidades locales, con el fin de fomentar la creación y desarrollo de comunidades energéticas.</t>
  </si>
  <si>
    <t>PR-OTC-2023-000527</t>
  </si>
  <si>
    <t>MADRID  53%/ ASTURIAS (LENA)  47% 
LÍNEA B: DESCARBONIZACIÓN para la TJ,  Proyecto Se ha procedido a modificar la ayuda concedida y la intensidad de ayuda, en aplicación de los artículos 36, 36 bis y 41 del Reglamento General de Exención por Categorías, según el compromiso de ejecutar 8/15 del proyecto en Madrid y 7/15 en Asturias
Coste elegible total: 3.097.500
Ayuda total: 816.350</t>
  </si>
  <si>
    <t>OPTIMIZACIÓN DE RECARGA MOVILIDAD CON REDUCCIÓN DE DEMANDA DE RED, BASADO EN SOLUCINES DE ALMACENAMIENTO Y FOTOVOLTAICA</t>
  </si>
  <si>
    <t>Cargador eléctrico IA</t>
  </si>
  <si>
    <t>Demostración de la viabilidad de la implantación de los sistemas de recarga de vehículos eléctricos a partir de la generación renovable distribuida y los sistemas de almacenamiento energético que integre las ventajas para el usuario a la vez que minimiza el impacto de la carga simultánea de multitud de vehículos eléctricos.</t>
  </si>
  <si>
    <t>Optimización de recarga movilidad con reducción de demanda de red, basado en soluciones de almacenamiento y fotovoltaica</t>
  </si>
  <si>
    <t>PR-NMN-01-2023-000195</t>
  </si>
  <si>
    <t>Modernización y ampliación de un camping para destacionalizar la actividad de la empresa</t>
  </si>
  <si>
    <t>GAUBEA KANPINA S,L.</t>
  </si>
  <si>
    <t>2023-P147.jpg</t>
  </si>
  <si>
    <t>Creación de un espacio multieventos en la actual carpa del complejo, permitiendo la actividad durante más meses al año. Climatización del agua de la piscina existente, mejorando las posibilidades de uso de la misma y extendiendo los periódos de estancia. Ampliación del número de parcelas de larga estancia, logrando una ocupación mayor durante más meses al año y estabilizando el empleo de la plantilla.</t>
  </si>
  <si>
    <t>2023-P147</t>
  </si>
  <si>
    <t xml:space="preserve">Modernización de centro de embalaje de huevos </t>
  </si>
  <si>
    <t>19021</t>
  </si>
  <si>
    <t>Almoguera</t>
  </si>
  <si>
    <t>GRANJAS SEGURA S.A.</t>
  </si>
  <si>
    <t>Mejora en uno de los procesos que crea mayores pérdidas a las empresas dedicadas a la ovoproducción, permitiendo una mayor ratio de éxito y evitando la rotura del stock</t>
  </si>
  <si>
    <t>2023-P113</t>
  </si>
  <si>
    <t>Se plantea la necesidad de mejorar la empresa para poder seguir siendo competitiva</t>
  </si>
  <si>
    <t>HOSTELERIA BALDOMINOS, S.L</t>
  </si>
  <si>
    <t>2023-P099.jpg</t>
  </si>
  <si>
    <t>Mejora de los equipos, sustitución de maquinaria poco eficiente, mejora de los útiles de la empresa.</t>
  </si>
  <si>
    <t>Mejoras en la competitividad de la empresa</t>
  </si>
  <si>
    <t>2023-P099</t>
  </si>
  <si>
    <t>Ampliación de capacidad productiva de empresa de fabricación de estructuras de madera y piezas de carpintería y ebanistería</t>
  </si>
  <si>
    <t>AMERICAN LH SL</t>
  </si>
  <si>
    <t>2023-P057.jpg</t>
  </si>
  <si>
    <t>Mejoras en la capacidad de producción de la empresa, dedicada a la fabricación de módulos para Passivhaus</t>
  </si>
  <si>
    <t>2023-P057</t>
  </si>
  <si>
    <t>Resolución definitiva 
Ayuda concedida 3.707.400,00 
Coste subvencionable 7.239.800,00 
CEI_PILOTOS_02_ResolPresIDAE.pdf</t>
  </si>
  <si>
    <t>Ayuntamiento de Medina de Pomar</t>
  </si>
  <si>
    <t xml:space="preserve">Comunidad energética impulsada desde el Ayuntamiento de Medina, cuenta con 5 CIF implicados y proppone una descarbonización profunda de las principales instalaciones municipales. Especialmente de los colegios, piscinas y edificios públicos. </t>
  </si>
  <si>
    <t>Medina Genera</t>
  </si>
  <si>
    <t>PR-PILOTO-02-2022-000108</t>
  </si>
  <si>
    <t>CE IMPLEMENTA 2</t>
  </si>
  <si>
    <t>Proyectos piloto singulares de comunidades energéticas (Programa CE IMPLEMENTA) 2ª convocatoria</t>
  </si>
  <si>
    <t>La Coruxera Improvement.</t>
  </si>
  <si>
    <t>NALÓN</t>
  </si>
  <si>
    <t>La Coruxera Improvement: Renovación de central hidroléctrica LA Coruxera</t>
  </si>
  <si>
    <t>PR-REPOTEN-2023-000182</t>
  </si>
  <si>
    <t>LÍNEA B. DESCARBONIZACIÓN EN LA TRANSICIÓN ENERGÉTICA</t>
  </si>
  <si>
    <t>Hub de innovación en la integración y digitalización de las energías renovables para la generación de calor renovable para la industria farmacéutica en Asturias</t>
  </si>
  <si>
    <t>IBERDROLA CLIENTES, S.A.U.</t>
  </si>
  <si>
    <t>Hub de innovación en la integración y digitalización de las energías renovables</t>
  </si>
  <si>
    <t>PR-NMN-01-2023-000354</t>
  </si>
  <si>
    <t xml:space="preserve">ESPACIO DE COWORKING EN ALBALATE DE ZORITA. Espacio de coworking para el libre acceso de los ciudadanos a servicios digitales y reducir la brecha digital  </t>
  </si>
  <si>
    <t>19006</t>
  </si>
  <si>
    <t>Albalate de Zorita</t>
  </si>
  <si>
    <t>AYUNTAMIENTO DE ALBALATE DE ZORITA</t>
  </si>
  <si>
    <t>2022-C114.jpg</t>
  </si>
  <si>
    <t xml:space="preserve">Espacio de coworking para el libre acceso de los ciudadanos a servicios digitales y reducir la brecha digital  </t>
  </si>
  <si>
    <t>Espacio de coworking en Albalate de Zorita.</t>
  </si>
  <si>
    <t>2022-C114</t>
  </si>
  <si>
    <t>EDIFICIO PARA CENTRO POLIFUNCIONAL SITO EN LA PLAZA DE LA FUENTE Nº 3 DE SANTA GADEA DEL CID, BURGOS. Centro multiusos con área para  personas mayores con actividades orientadas a crear relaciones intergeneracionales</t>
  </si>
  <si>
    <t>09347</t>
  </si>
  <si>
    <t>Santa Gadea del Cid</t>
  </si>
  <si>
    <t>AYUNTAMIENTO DE SANTA GADEA DEL CID</t>
  </si>
  <si>
    <t>2022-C133.jpg</t>
  </si>
  <si>
    <t>Edificio para centro polifuncional sito en la plaza de la fuente nº 3 de santa gadea del cid, burgos. centro multiusos con área para  personas mayores con actividades orientadas a crear relaciones intergeneracionales</t>
  </si>
  <si>
    <t xml:space="preserve">Edificio para centro polifuncional </t>
  </si>
  <si>
    <t>2022-C133</t>
  </si>
  <si>
    <t xml:space="preserve">DINAMIZACION TURISTICA EN EL ESPACIO NATURAL "MONTES OBARENES". Mejoras estructurales en los espacios públicos de varios municipios y oferta de mobilidad sostenible para dinamizar el turismo </t>
  </si>
  <si>
    <t>09255</t>
  </si>
  <si>
    <t>Partido de la Sierra en Tobalina</t>
  </si>
  <si>
    <t>AYUNTAMIENTO PARTIDO DE LA SIERRA EN TOBALINA</t>
  </si>
  <si>
    <t xml:space="preserve">Dinamizacion turistica en el espacio natural "montes obarenes". mejoras estructurales en los espacios públicos de varios municipios y oferta de mobilidad sostenible para dinamizar el turismo </t>
  </si>
  <si>
    <t xml:space="preserve">Dinamizacion turistica en el espacio natural "montes obarenes". </t>
  </si>
  <si>
    <t>2022-C077</t>
  </si>
  <si>
    <t>SIGUIENTE GENERACIÓN DE CONTROLADORES DE PLANTA DISTRIBUIDOS INCLUYENDO CAPACIDADES DE GRID-FORMING E INTEGRACIÓN DE CAPACIDADES DE GESTIÓN DE ENERGÍA</t>
  </si>
  <si>
    <t>ENFASYS INGENIERIA S.L.</t>
  </si>
  <si>
    <t>PR-NMN-01-2023-000386</t>
  </si>
  <si>
    <t>Construcción de  un complejo turístico rural de 4 estrellas con instalaciones modernas y sostenibles</t>
  </si>
  <si>
    <t>El proyecto pretende ser un referente turístico en la zona y permitir la celebración de eventos y formaciones de mayor tamaño.</t>
  </si>
  <si>
    <t>2023-G114</t>
  </si>
  <si>
    <t>COMUNIDAD ENERGÉTICA LOCAL DE RIBERA BAAJ/ERRIBERABEITIA</t>
  </si>
  <si>
    <t>Álava</t>
  </si>
  <si>
    <t>ASOCIACIÓN CELR COMUNIDAD ENERGÉTICA LOCAL DE RIBERA BAJA/ERRIBERABEITIA</t>
  </si>
  <si>
    <t>Implantación de 3 instalaciones fotovoltaicas compartidas con almacenamiento detrás del contador.</t>
  </si>
  <si>
    <t>COMUNIDAD ENERGÉTICA LOCAL DE RIBERA BAJA/ERRIBERABEITIA</t>
  </si>
  <si>
    <t>PR-PILOTO-05-2024-000320</t>
  </si>
  <si>
    <t/>
  </si>
  <si>
    <t>Comunidad Energética de Añana/ Añanako Ekiola</t>
  </si>
  <si>
    <t>Ayuntamiento de Lantarón</t>
  </si>
  <si>
    <t>Finalmente no se va a desarrollar, se ha trasladado que no se podía conectar a red con un coste realista.</t>
  </si>
  <si>
    <t>PR-PILOTO-02-2022-000056</t>
  </si>
  <si>
    <t>Rehabilitación y acondicionamiento parcial del colegio público con destino a un centro de emprendimiento y la innovacción digital</t>
  </si>
  <si>
    <t>2024-C023.jpg</t>
  </si>
  <si>
    <t> Rehabilitación y acondicionamiento parcial del colegio público con destino a un centro de emprendimiento y la innovacción digital, el mismo se ubicará en el ala izquierda del centro educativo</t>
  </si>
  <si>
    <t>Centro de emprendimiento en el colegio de Oña</t>
  </si>
  <si>
    <t>2024-C023</t>
  </si>
  <si>
    <t xml:space="preserve">CENTRO DE ACTIVIDADES DE FOMENTO DEL AUTOEMPLEO Y DEL EMPRENDIMIENTO. Espacio multifuncional destinado a fomentar el autoempleo y centro de apoyo para la integración de la mujer rural como un activo económico, social y cultural </t>
  </si>
  <si>
    <t>19327</t>
  </si>
  <si>
    <t>Yebra</t>
  </si>
  <si>
    <t>AYUNTAMIENTO DE YEBRA</t>
  </si>
  <si>
    <t>2022-C008.jpg</t>
  </si>
  <si>
    <t xml:space="preserve">Espacio multifuncional destinado a fomentar el autoempleo y centro de apoyo para la integración de la mujer rural como un activo económico, social y cultural </t>
  </si>
  <si>
    <t>Centro de actividades de fomento del autoempleo y del emprendimiento.</t>
  </si>
  <si>
    <t>2022-C008</t>
  </si>
  <si>
    <t xml:space="preserve">CENTRO CULTURAL VADILLO. Espacio cultural con auditorio y sala de conciertos que se replicará en versión metaverso como atractivo añadido </t>
  </si>
  <si>
    <t>2022-C168.jpg</t>
  </si>
  <si>
    <t xml:space="preserve">Centro cultural vadillo. espacio cultural con auditorio y sala de conciertos que se replicará en versión metaverso como atractivo añadido </t>
  </si>
  <si>
    <t>Centro cultural Vadillo</t>
  </si>
  <si>
    <t>2022-C168</t>
  </si>
  <si>
    <t>CEL TODA BURGOS</t>
  </si>
  <si>
    <t>09907;09018;09025;09029;09048;09083;09086;09098;09105;09128;09131;09134;09216;09221;09227;09250;09304;09321;09354;09361;09377;09394;09414;09422;09449;09903</t>
  </si>
  <si>
    <t>Alfoz de Quintanadueñas;Aranda de Duero;Arija;Atapuerca;Belorado;Castil de Peones;Castrillo del Val;Cerezo de Río Tirón;Ciruelos de Cervera;Frandovínez;Fresnillo de las Dueñas;Frías;Merindad de Valdeporres;Modúbar de la Emparedada;Montorio;Pampliega;Rabé de las Calzadas;Roa;Santa Olalla de Bureba;Sargentes de la Lora;Tardajos;Trespaderne;Valle de Valdelaguna;Vid de Bureba, La;Villanueva de Argaño;Villarcayo de Merindad de Castilla la Vieja</t>
  </si>
  <si>
    <t>ASOCIACIÓN COMUNIDAD ENERGETICA LOCAL TODA BURGOS – CEL TODA BURGOS</t>
  </si>
  <si>
    <t>Comunidad Energética desarrollada desde la Cámara de Comercio de Burgos, su implantación es de carácter provincial. Implica a 3 ayuntamientos de la ZTJ: Frías, Trespaderne y Medina de Pomar; y busca la creación de grupos locales en colaboración con las entidades municipales para potenciar la figura de las CEL.</t>
  </si>
  <si>
    <t>PR-PILOTO-06-2024-000023</t>
  </si>
  <si>
    <t>Proyectos piloto singulares de comunidades energéticas (Programa CE IMPLEMENTA) 6ª convocatoria</t>
  </si>
  <si>
    <t>Ampliación y modernización de clínica veterinaria con la adquisición de aparatos de diagnóstico de última generación</t>
  </si>
  <si>
    <t>MR. VET MERINDADES S.L.</t>
  </si>
  <si>
    <t>Ampliación y modernización de clínica veterinaria.</t>
  </si>
  <si>
    <t>2023-P040</t>
  </si>
  <si>
    <t>Ampliación de nave de empresa dedicada a las instalaciones electricas</t>
  </si>
  <si>
    <t>ILUMINACIONES LUVISAZ S.L.</t>
  </si>
  <si>
    <t>El proyecto busca mejorar las instalaciones y permitir una especialización en la iluminación navieña, la reutilización de materiales y la creación de nuevos productos.</t>
  </si>
  <si>
    <t>2023-P093</t>
  </si>
  <si>
    <t>En fecha 29/10/2024 se emite una segunda resolución otorgando una ayuda de 611.632,36€</t>
  </si>
  <si>
    <t>Instalación de un secadero vertical por atomización para producción de huevo en polvo</t>
  </si>
  <si>
    <t>AVICOLA MONDEJANA SL</t>
  </si>
  <si>
    <t>Ampliación de las líneas de negocio</t>
  </si>
  <si>
    <t>2023-G045</t>
  </si>
  <si>
    <t>PRECISE CNC, S.L.</t>
  </si>
  <si>
    <t>2023-P051</t>
  </si>
  <si>
    <t>Adquisición de equipos para aumentar la capacidad productiva</t>
  </si>
  <si>
    <t>DESARROLLOS MECÁNICOS INDUSTRIALES MIRANDESES SL</t>
  </si>
  <si>
    <t>2023-P076</t>
  </si>
  <si>
    <t xml:space="preserve">ACTUACIÓN INTEGRAL DEL ACONDICIONAMIENTO, REGENERACIÓN, MEJORA AMBIENTAL Y PUESTA EN VALOR EN SOBRÓN. Adecuación de este nuevo hábitat para preservar la flora, la fauna y prepararlo para su uso social </t>
  </si>
  <si>
    <t>AYUNTAMIENTO DE LANTARÓN</t>
  </si>
  <si>
    <t>Iniciativa vinculada al museo del agua (único en el País Vasco) con el patrimonio natural exterior a través de una pasarela, infraestructura necesaria para no cruzar la carretera, y así mismo, al dotar al espacio de una alternativa de ocio (escaperoom) vinculada al agua, sirve para desestacionarlizar la oferta</t>
  </si>
  <si>
    <t xml:space="preserve">Acondicionamiento, regeneración, mejora ambiental y puesta en valor en Sobrón. </t>
  </si>
  <si>
    <t>2022-C251</t>
  </si>
  <si>
    <t>Reforma y rehabilitación del inmueble para uso de dependencias municipales, coworking y usos múltiples</t>
  </si>
  <si>
    <t>Ayuntamiento de Busto de Bureba</t>
  </si>
  <si>
    <t>2022-C024.jpg</t>
  </si>
  <si>
    <t>Se habilitará el botiquín de la localidad en la planta baja, y se aprovecharán las plantas superiores para contar con un espacio de usos múltiples y un coworking en la localidad</t>
  </si>
  <si>
    <t> Edificio para uso de dependencias municipales, coworking y usos múltiples</t>
  </si>
  <si>
    <t>2022-C024</t>
  </si>
  <si>
    <t>Observaciones</t>
  </si>
  <si>
    <t>Objetivo del proyecto</t>
  </si>
  <si>
    <t>Superficie (Ha) restaurada</t>
  </si>
  <si>
    <t>Ayuda actual</t>
  </si>
  <si>
    <t xml:space="preserve">Motivo </t>
  </si>
  <si>
    <t>Situación del Proyecto</t>
  </si>
  <si>
    <t>Empleo en ejecución (construción)</t>
  </si>
  <si>
    <t xml:space="preserve">Empleo femenino </t>
  </si>
  <si>
    <t>Empleo a crear (operación)</t>
  </si>
  <si>
    <t>Subvención aprobada</t>
  </si>
  <si>
    <t>Prestamo concedido</t>
  </si>
  <si>
    <t>Inversión subvencionable</t>
  </si>
  <si>
    <t>Año RD</t>
  </si>
  <si>
    <t>Fecha RD</t>
  </si>
  <si>
    <t>Sector</t>
  </si>
  <si>
    <t>Síntesis</t>
  </si>
  <si>
    <t>Zona</t>
  </si>
  <si>
    <t>Grupo</t>
  </si>
  <si>
    <t>COD_INE</t>
  </si>
  <si>
    <t>Municipio</t>
  </si>
  <si>
    <t>Provincia</t>
  </si>
  <si>
    <t>CCAA</t>
  </si>
  <si>
    <t>Beneficiario</t>
  </si>
  <si>
    <t>Descripción fotografía</t>
  </si>
  <si>
    <t>FOTOGRAFÍAS</t>
  </si>
  <si>
    <t>LINKS</t>
  </si>
  <si>
    <t>DESCRIPCIÓN</t>
  </si>
  <si>
    <t>TÍTULO PROYECTO</t>
  </si>
  <si>
    <t>Año Conv.</t>
  </si>
  <si>
    <t>Ref. Proyecto</t>
  </si>
  <si>
    <t>Procedencia de las ayudas</t>
  </si>
  <si>
    <t>Línea de Ayuda</t>
  </si>
  <si>
    <t>PLAN</t>
  </si>
  <si>
    <t>Priorización TJ</t>
  </si>
  <si>
    <t>Tipo</t>
  </si>
  <si>
    <t>ORG</t>
  </si>
  <si>
    <t>Ficha</t>
  </si>
  <si>
    <t xml:space="preserve">VISOR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</si>
</sst>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14" x14ac:knownFonts="1">
    <font>
      <sz val="11"/>
      <color theme="1"/>
      <name val="Aptos Narrow"/>
      <family val="2"/>
      <scheme val="minor"/>
    </font>
    <font>
      <sz val="11"/>
      <color theme="1"/>
      <name val="Aptos Narrow"/>
      <family val="2"/>
      <scheme val="minor"/>
    </font>
    <font>
      <sz val="10"/>
      <name val="MS Sans Serif"/>
    </font>
    <font>
      <sz val="11"/>
      <name val="Aptos Narrow"/>
      <family val="2"/>
      <scheme val="minor"/>
    </font>
    <font>
      <b/>
      <sz val="10"/>
      <name val="MS Sans Serif"/>
    </font>
    <font>
      <sz val="11"/>
      <name val="Aptos Narrow"/>
      <family val="2"/>
    </font>
    <font>
      <sz val="10"/>
      <name val="Times New Roman"/>
      <family val="1"/>
    </font>
    <font>
      <b/>
      <sz val="10"/>
      <name val="Times New Roman"/>
      <family val="1"/>
    </font>
    <font>
      <sz val="11"/>
      <name val="Aptos"/>
      <family val="2"/>
    </font>
    <font>
      <u/>
      <sz val="10"/>
      <color theme="10"/>
      <name val="MS Sans Serif"/>
    </font>
    <font>
      <u/>
      <sz val="10"/>
      <name val="MS Sans Serif"/>
    </font>
    <font>
      <sz val="10"/>
      <name val="Aptos Narrow"/>
      <family val="2"/>
    </font>
    <font>
      <sz val="10"/>
      <name val="Aptos"/>
      <family val="2"/>
    </font>
    <font>
      <sz val="8"/>
      <name val="MS Sans Serif"/>
    </font>
  </fonts>
  <fills count="5">
    <fill>
      <patternFill patternType="none"/>
    </fill>
    <fill>
      <patternFill patternType="gray125"/>
    </fill>
    <fill>
      <patternFill patternType="solid">
        <fgColor rgb="FFC0E6F5"/>
        <bgColor rgb="FFC0E6F5"/>
      </patternFill>
    </fill>
    <fill>
      <patternFill patternType="solid">
        <fgColor theme="9"/>
        <bgColor indexed="64"/>
      </patternFill>
    </fill>
    <fill>
      <patternFill patternType="solid">
        <fgColor theme="5"/>
        <bgColor indexed="64"/>
      </patternFill>
    </fill>
  </fills>
  <borders count="6">
    <border>
      <left/>
      <right/>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bottom style="medium">
        <color rgb="FFE5E5E5"/>
      </bottom>
      <diagonal/>
    </border>
    <border>
      <left/>
      <right/>
      <top style="thin">
        <color rgb="FF44B3E1"/>
      </top>
      <bottom style="thin">
        <color rgb="FF44B3E1"/>
      </bottom>
      <diagonal/>
    </border>
    <border>
      <left/>
      <right style="thin">
        <color rgb="FF000000"/>
      </right>
      <top style="thin">
        <color rgb="FF000000"/>
      </top>
      <bottom/>
      <diagonal/>
    </border>
  </borders>
  <cellStyleXfs count="7">
    <xf numFmtId="0" fontId="0" fillId="0" borderId="0"/>
    <xf numFmtId="0" fontId="2" fillId="0" borderId="0"/>
    <xf numFmtId="0" fontId="1" fillId="0" borderId="0"/>
    <xf numFmtId="0" fontId="1" fillId="0" borderId="0"/>
    <xf numFmtId="44" fontId="2" fillId="0" borderId="0" applyFont="0" applyFill="0" applyBorder="0" applyAlignment="0" applyProtection="0"/>
    <xf numFmtId="0" fontId="1" fillId="0" borderId="0"/>
    <xf numFmtId="0" fontId="9" fillId="0" borderId="0" applyNumberFormat="0" applyFill="0" applyBorder="0" applyAlignment="0" applyProtection="0"/>
  </cellStyleXfs>
  <cellXfs count="66">
    <xf numFmtId="0" fontId="0" fillId="0" borderId="0" xfId="0"/>
    <xf numFmtId="0" fontId="2" fillId="0" borderId="0" xfId="1"/>
    <xf numFmtId="4" fontId="2" fillId="0" borderId="0" xfId="1" applyNumberFormat="1"/>
    <xf numFmtId="14" fontId="2" fillId="0" borderId="0" xfId="1" applyNumberFormat="1"/>
    <xf numFmtId="0" fontId="3" fillId="0" borderId="0" xfId="2" applyFont="1"/>
    <xf numFmtId="49" fontId="2" fillId="0" borderId="0" xfId="1" applyNumberFormat="1"/>
    <xf numFmtId="0" fontId="2" fillId="2" borderId="0" xfId="1" applyFill="1" applyAlignment="1">
      <alignment wrapText="1"/>
    </xf>
    <xf numFmtId="0" fontId="4" fillId="0" borderId="0" xfId="1" applyFont="1"/>
    <xf numFmtId="3" fontId="2" fillId="0" borderId="0" xfId="1" applyNumberFormat="1"/>
    <xf numFmtId="0" fontId="2" fillId="0" borderId="0" xfId="1" applyAlignment="1">
      <alignment wrapText="1"/>
    </xf>
    <xf numFmtId="0" fontId="3" fillId="0" borderId="0" xfId="3" applyFont="1"/>
    <xf numFmtId="4" fontId="5" fillId="0" borderId="0" xfId="1" applyNumberFormat="1" applyFont="1"/>
    <xf numFmtId="0" fontId="5" fillId="0" borderId="0" xfId="1" applyFont="1"/>
    <xf numFmtId="14" fontId="5" fillId="0" borderId="0" xfId="1" applyNumberFormat="1" applyFont="1"/>
    <xf numFmtId="49" fontId="5" fillId="0" borderId="0" xfId="1" applyNumberFormat="1" applyFont="1"/>
    <xf numFmtId="4" fontId="2" fillId="0" borderId="0" xfId="4" applyNumberFormat="1" applyFont="1" applyFill="1"/>
    <xf numFmtId="44" fontId="2" fillId="0" borderId="0" xfId="4" applyFont="1" applyFill="1"/>
    <xf numFmtId="0" fontId="5" fillId="0" borderId="0" xfId="1" applyFont="1" applyAlignment="1">
      <alignment horizontal="center"/>
    </xf>
    <xf numFmtId="0" fontId="2" fillId="0" borderId="0" xfId="1" applyAlignment="1">
      <alignment vertical="center" wrapText="1"/>
    </xf>
    <xf numFmtId="0" fontId="7" fillId="0" borderId="0" xfId="1" applyFont="1"/>
    <xf numFmtId="1" fontId="2" fillId="0" borderId="0" xfId="1" applyNumberFormat="1"/>
    <xf numFmtId="4" fontId="2" fillId="0" borderId="0" xfId="4" applyNumberFormat="1" applyFont="1" applyFill="1" applyBorder="1"/>
    <xf numFmtId="44" fontId="2" fillId="0" borderId="0" xfId="4" applyFont="1" applyFill="1" applyBorder="1"/>
    <xf numFmtId="14" fontId="2" fillId="0" borderId="1" xfId="1" applyNumberFormat="1" applyBorder="1"/>
    <xf numFmtId="0" fontId="2" fillId="0" borderId="1" xfId="1" applyBorder="1"/>
    <xf numFmtId="4" fontId="2" fillId="0" borderId="1" xfId="1" applyNumberFormat="1" applyBorder="1"/>
    <xf numFmtId="0" fontId="2" fillId="0" borderId="2" xfId="1" applyBorder="1"/>
    <xf numFmtId="49" fontId="2" fillId="0" borderId="2" xfId="1" applyNumberFormat="1" applyBorder="1"/>
    <xf numFmtId="0" fontId="6" fillId="0" borderId="1" xfId="1" applyFont="1" applyBorder="1" applyAlignment="1">
      <alignment vertical="center"/>
    </xf>
    <xf numFmtId="0" fontId="7" fillId="0" borderId="0" xfId="1" applyFont="1" applyAlignment="1">
      <alignment vertical="center" wrapText="1"/>
    </xf>
    <xf numFmtId="0" fontId="2" fillId="0" borderId="3" xfId="1" applyBorder="1"/>
    <xf numFmtId="0" fontId="2" fillId="0" borderId="4" xfId="1" applyBorder="1"/>
    <xf numFmtId="0" fontId="2" fillId="0" borderId="5" xfId="1" applyBorder="1"/>
    <xf numFmtId="49" fontId="2" fillId="0" borderId="5" xfId="1" applyNumberFormat="1" applyBorder="1"/>
    <xf numFmtId="4" fontId="3" fillId="0" borderId="1" xfId="2" applyNumberFormat="1" applyFont="1" applyBorder="1"/>
    <xf numFmtId="0" fontId="3" fillId="0" borderId="0" xfId="5" applyFont="1"/>
    <xf numFmtId="0" fontId="5" fillId="0" borderId="1" xfId="1" applyFont="1" applyBorder="1"/>
    <xf numFmtId="4" fontId="8" fillId="0" borderId="0" xfId="1" applyNumberFormat="1" applyFont="1"/>
    <xf numFmtId="0" fontId="6" fillId="0" borderId="0" xfId="1" applyFont="1"/>
    <xf numFmtId="4" fontId="3" fillId="0" borderId="0" xfId="2" applyNumberFormat="1" applyFont="1"/>
    <xf numFmtId="0" fontId="5" fillId="0" borderId="0" xfId="1" applyFont="1" applyAlignment="1">
      <alignment wrapText="1"/>
    </xf>
    <xf numFmtId="0" fontId="2" fillId="0" borderId="0" xfId="1" applyAlignment="1">
      <alignment horizontal="left"/>
    </xf>
    <xf numFmtId="0" fontId="5" fillId="0" borderId="0" xfId="1" applyFont="1" applyAlignment="1">
      <alignment horizontal="left" vertical="center" wrapText="1"/>
    </xf>
    <xf numFmtId="49" fontId="5" fillId="0" borderId="0" xfId="1" applyNumberFormat="1" applyFont="1" applyAlignment="1">
      <alignment horizontal="left" vertical="center" wrapText="1"/>
    </xf>
    <xf numFmtId="0" fontId="6" fillId="0" borderId="0" xfId="1" applyFont="1" applyAlignment="1">
      <alignment vertical="center"/>
    </xf>
    <xf numFmtId="0" fontId="5" fillId="0" borderId="0" xfId="1" applyFont="1" applyAlignment="1">
      <alignment horizontal="left"/>
    </xf>
    <xf numFmtId="4" fontId="2" fillId="0" borderId="0" xfId="1" applyNumberFormat="1" applyAlignment="1">
      <alignment vertical="center"/>
    </xf>
    <xf numFmtId="0" fontId="2" fillId="0" borderId="0" xfId="1" applyAlignment="1">
      <alignment horizontal="left" vertical="top" wrapText="1"/>
    </xf>
    <xf numFmtId="0" fontId="10" fillId="0" borderId="0" xfId="6" applyFont="1" applyFill="1"/>
    <xf numFmtId="0" fontId="11" fillId="0" borderId="0" xfId="1" applyFont="1"/>
    <xf numFmtId="0" fontId="8" fillId="0" borderId="0" xfId="1" applyFont="1" applyAlignment="1">
      <alignment vertical="center"/>
    </xf>
    <xf numFmtId="4" fontId="2" fillId="0" borderId="0" xfId="1" applyNumberFormat="1" applyAlignment="1">
      <alignment horizontal="right" vertical="center"/>
    </xf>
    <xf numFmtId="14" fontId="3" fillId="0" borderId="0" xfId="2" applyNumberFormat="1" applyFont="1"/>
    <xf numFmtId="0" fontId="5" fillId="0" borderId="0" xfId="1" applyFont="1" applyAlignment="1">
      <alignment vertical="center"/>
    </xf>
    <xf numFmtId="4" fontId="5" fillId="0" borderId="0" xfId="1" applyNumberFormat="1" applyFont="1" applyAlignment="1">
      <alignment horizontal="right" vertical="center"/>
    </xf>
    <xf numFmtId="0" fontId="2" fillId="0" borderId="0" xfId="1" applyAlignment="1">
      <alignment vertical="center"/>
    </xf>
    <xf numFmtId="0" fontId="10" fillId="0" borderId="0" xfId="6" applyFont="1" applyFill="1" applyBorder="1" applyAlignment="1">
      <alignment vertical="center"/>
    </xf>
    <xf numFmtId="0" fontId="12" fillId="0" borderId="0" xfId="1" applyFont="1" applyAlignment="1">
      <alignment vertical="center"/>
    </xf>
    <xf numFmtId="49" fontId="4" fillId="0" borderId="0" xfId="1" applyNumberFormat="1" applyFont="1"/>
    <xf numFmtId="0" fontId="2" fillId="3" borderId="0" xfId="1" applyFill="1" applyAlignment="1">
      <alignment wrapText="1"/>
    </xf>
    <xf numFmtId="4" fontId="2" fillId="0" borderId="0" xfId="1" applyNumberFormat="1" applyAlignment="1">
      <alignment wrapText="1"/>
    </xf>
    <xf numFmtId="14" fontId="2" fillId="0" borderId="0" xfId="1" applyNumberFormat="1" applyAlignment="1">
      <alignment wrapText="1"/>
    </xf>
    <xf numFmtId="0" fontId="13" fillId="4" borderId="0" xfId="1" applyFont="1" applyFill="1" applyAlignment="1">
      <alignment wrapText="1"/>
    </xf>
    <xf numFmtId="0" fontId="2" fillId="4" borderId="0" xfId="1" applyFill="1" applyAlignment="1">
      <alignment wrapText="1"/>
    </xf>
    <xf numFmtId="49" fontId="2" fillId="0" borderId="0" xfId="1" applyNumberFormat="1" applyAlignment="1">
      <alignment wrapText="1"/>
    </xf>
    <xf numFmtId="0" fontId="2" fillId="2" borderId="0" xfId="1" applyFill="1"/>
  </cellXfs>
  <cellStyles count="7">
    <cellStyle name="Hipervínculo 3" xfId="6" xr:uid="{20F3B107-9E69-465B-A44B-422EFA5457FF}"/>
    <cellStyle name="Moneda 2" xfId="4" xr:uid="{78C20AE8-B613-4188-ADB3-CB00D2453CFC}"/>
    <cellStyle name="Normal" xfId="0" builtinId="0"/>
    <cellStyle name="Normal 11 4 2 2" xfId="2" xr:uid="{AB4FF1DC-62CB-4F16-973C-363ECAB4C711}"/>
    <cellStyle name="Normal 2 2" xfId="1" xr:uid="{6C54E6F4-4870-4B85-9AE6-40F8AAB3639C}"/>
    <cellStyle name="Normal 2 4 2 2" xfId="5" xr:uid="{7EDA016C-8174-429F-8E21-CE3A856D2D30}"/>
    <cellStyle name="Normal 8 4 2 2" xfId="3" xr:uid="{3797E0FE-8995-49F4-9E00-2C4A02AA1D5D}"/>
  </cellStyles>
  <dxfs count="80">
    <dxf>
      <font>
        <color rgb="FF9C0006"/>
      </font>
      <fill>
        <patternFill>
          <bgColor rgb="FFFFC7CE"/>
        </patternFill>
      </fill>
    </dxf>
    <dxf>
      <font>
        <strike val="0"/>
        <outline val="0"/>
        <shadow val="0"/>
        <vertAlign val="baseline"/>
        <color auto="1"/>
      </font>
      <numFmt numFmtId="4" formatCode="#,##0.00"/>
    </dxf>
    <dxf>
      <font>
        <strike val="0"/>
        <outline val="0"/>
        <shadow val="0"/>
        <vertAlign val="baseline"/>
        <color auto="1"/>
      </font>
      <fill>
        <patternFill patternType="none">
          <bgColor auto="1"/>
        </patternFill>
      </fill>
    </dxf>
    <dxf>
      <font>
        <strike val="0"/>
        <outline val="0"/>
        <shadow val="0"/>
        <vertAlign val="baseline"/>
        <color auto="1"/>
      </font>
      <numFmt numFmtId="4" formatCode="#,##0.00"/>
    </dxf>
    <dxf>
      <font>
        <strike val="0"/>
        <outline val="0"/>
        <shadow val="0"/>
        <vertAlign val="baseline"/>
        <color auto="1"/>
      </font>
      <fill>
        <patternFill patternType="none">
          <bgColor auto="1"/>
        </patternFill>
      </fill>
    </dxf>
    <dxf>
      <font>
        <strike val="0"/>
        <outline val="0"/>
        <shadow val="0"/>
        <vertAlign val="baseline"/>
        <color auto="1"/>
      </font>
      <numFmt numFmtId="4" formatCode="#,##0.00"/>
    </dxf>
    <dxf>
      <font>
        <strike val="0"/>
        <outline val="0"/>
        <shadow val="0"/>
        <vertAlign val="baseline"/>
        <color auto="1"/>
      </font>
      <fill>
        <patternFill patternType="none">
          <bgColor auto="1"/>
        </patternFill>
      </fill>
    </dxf>
    <dxf>
      <font>
        <strike val="0"/>
        <outline val="0"/>
        <shadow val="0"/>
        <vertAlign val="baseline"/>
        <color auto="1"/>
      </font>
      <numFmt numFmtId="4" formatCode="#,##0.00"/>
    </dxf>
    <dxf>
      <font>
        <strike val="0"/>
        <outline val="0"/>
        <shadow val="0"/>
        <vertAlign val="baseline"/>
        <color auto="1"/>
      </font>
      <numFmt numFmtId="4" formatCode="#,##0.00"/>
      <fill>
        <patternFill patternType="none">
          <bgColor auto="1"/>
        </patternFill>
      </fill>
    </dxf>
    <dxf>
      <font>
        <strike val="0"/>
        <outline val="0"/>
        <shadow val="0"/>
        <vertAlign val="baseline"/>
        <color auto="1"/>
      </font>
    </dxf>
    <dxf>
      <font>
        <strike val="0"/>
        <outline val="0"/>
        <shadow val="0"/>
        <vertAlign val="baseline"/>
        <color auto="1"/>
      </font>
      <fill>
        <patternFill patternType="none">
          <bgColor auto="1"/>
        </patternFill>
      </fill>
    </dxf>
    <dxf>
      <font>
        <strike val="0"/>
        <outline val="0"/>
        <shadow val="0"/>
        <vertAlign val="baseline"/>
        <color auto="1"/>
      </font>
    </dxf>
    <dxf>
      <font>
        <strike val="0"/>
        <outline val="0"/>
        <shadow val="0"/>
        <vertAlign val="baseline"/>
        <color auto="1"/>
      </font>
      <fill>
        <patternFill patternType="none">
          <bgColor auto="1"/>
        </patternFill>
      </fill>
    </dxf>
    <dxf>
      <font>
        <strike val="0"/>
        <outline val="0"/>
        <shadow val="0"/>
        <vertAlign val="baseline"/>
        <color auto="1"/>
      </font>
    </dxf>
    <dxf>
      <font>
        <strike val="0"/>
        <outline val="0"/>
        <shadow val="0"/>
        <vertAlign val="baseline"/>
        <color auto="1"/>
      </font>
      <fill>
        <patternFill patternType="none">
          <bgColor auto="1"/>
        </patternFill>
      </fill>
    </dxf>
    <dxf>
      <font>
        <strike val="0"/>
        <outline val="0"/>
        <shadow val="0"/>
        <vertAlign val="baseline"/>
        <color auto="1"/>
      </font>
      <numFmt numFmtId="4" formatCode="#,##0.00"/>
    </dxf>
    <dxf>
      <font>
        <strike val="0"/>
        <outline val="0"/>
        <shadow val="0"/>
        <vertAlign val="baseline"/>
        <color auto="1"/>
      </font>
      <numFmt numFmtId="0" formatCode="General"/>
      <fill>
        <patternFill patternType="none">
          <bgColor auto="1"/>
        </patternFill>
      </fill>
    </dxf>
    <dxf>
      <font>
        <strike val="0"/>
        <outline val="0"/>
        <shadow val="0"/>
        <vertAlign val="baseline"/>
        <color auto="1"/>
      </font>
      <numFmt numFmtId="4" formatCode="#,##0.00"/>
    </dxf>
    <dxf>
      <font>
        <strike val="0"/>
        <outline val="0"/>
        <shadow val="0"/>
        <vertAlign val="baseline"/>
        <color auto="1"/>
      </font>
      <fill>
        <patternFill patternType="none">
          <bgColor auto="1"/>
        </patternFill>
      </fill>
    </dxf>
    <dxf>
      <font>
        <strike val="0"/>
        <outline val="0"/>
        <shadow val="0"/>
        <vertAlign val="baseline"/>
        <color auto="1"/>
      </font>
      <numFmt numFmtId="4" formatCode="#,##0.00"/>
    </dxf>
    <dxf>
      <font>
        <strike val="0"/>
        <outline val="0"/>
        <shadow val="0"/>
        <vertAlign val="baseline"/>
        <color auto="1"/>
      </font>
      <numFmt numFmtId="4" formatCode="#,##0.00"/>
      <fill>
        <patternFill patternType="none">
          <bgColor auto="1"/>
        </patternFill>
      </fill>
    </dxf>
    <dxf>
      <font>
        <strike val="0"/>
        <outline val="0"/>
        <shadow val="0"/>
        <vertAlign val="baseline"/>
        <color auto="1"/>
      </font>
      <numFmt numFmtId="4" formatCode="#,##0.00"/>
    </dxf>
    <dxf>
      <font>
        <strike val="0"/>
        <outline val="0"/>
        <shadow val="0"/>
        <vertAlign val="baseline"/>
        <color auto="1"/>
      </font>
      <numFmt numFmtId="4" formatCode="#,##0.00"/>
      <fill>
        <patternFill patternType="none">
          <bgColor auto="1"/>
        </patternFill>
      </fill>
    </dxf>
    <dxf>
      <font>
        <strike val="0"/>
        <outline val="0"/>
        <shadow val="0"/>
        <vertAlign val="baseline"/>
        <color auto="1"/>
      </font>
      <numFmt numFmtId="4" formatCode="#,##0.00"/>
    </dxf>
    <dxf>
      <font>
        <strike val="0"/>
        <outline val="0"/>
        <shadow val="0"/>
        <vertAlign val="baseline"/>
        <color auto="1"/>
      </font>
      <numFmt numFmtId="4" formatCode="#,##0.00"/>
      <fill>
        <patternFill patternType="none">
          <bgColor auto="1"/>
        </patternFill>
      </fill>
    </dxf>
    <dxf>
      <font>
        <strike val="0"/>
        <outline val="0"/>
        <shadow val="0"/>
        <vertAlign val="baseline"/>
        <color auto="1"/>
      </font>
      <numFmt numFmtId="3" formatCode="#,##0"/>
    </dxf>
    <dxf>
      <font>
        <strike val="0"/>
        <outline val="0"/>
        <shadow val="0"/>
        <vertAlign val="baseline"/>
        <color auto="1"/>
      </font>
      <numFmt numFmtId="0" formatCode="General"/>
      <fill>
        <patternFill patternType="none">
          <bgColor auto="1"/>
        </patternFill>
      </fill>
    </dxf>
    <dxf>
      <font>
        <strike val="0"/>
        <outline val="0"/>
        <shadow val="0"/>
        <vertAlign val="baseline"/>
        <color auto="1"/>
      </font>
      <numFmt numFmtId="3" formatCode="#,##0"/>
    </dxf>
    <dxf>
      <font>
        <strike val="0"/>
        <outline val="0"/>
        <shadow val="0"/>
        <vertAlign val="baseline"/>
        <color auto="1"/>
      </font>
      <numFmt numFmtId="19" formatCode="dd/mm/yyyy"/>
      <fill>
        <patternFill patternType="none">
          <bgColor auto="1"/>
        </patternFill>
      </fill>
    </dxf>
    <dxf>
      <font>
        <strike val="0"/>
        <outline val="0"/>
        <shadow val="0"/>
        <vertAlign val="baseline"/>
        <color auto="1"/>
      </font>
      <numFmt numFmtId="4" formatCode="#,##0.00"/>
    </dxf>
    <dxf>
      <font>
        <strike val="0"/>
        <outline val="0"/>
        <shadow val="0"/>
        <vertAlign val="baseline"/>
        <color auto="1"/>
      </font>
      <fill>
        <patternFill patternType="none">
          <bgColor auto="1"/>
        </patternFill>
      </fill>
    </dxf>
    <dxf>
      <font>
        <strike val="0"/>
        <outline val="0"/>
        <shadow val="0"/>
        <vertAlign val="baseline"/>
        <color auto="1"/>
      </font>
      <numFmt numFmtId="4" formatCode="#,##0.00"/>
    </dxf>
    <dxf>
      <font>
        <strike val="0"/>
        <outline val="0"/>
        <shadow val="0"/>
        <vertAlign val="baseline"/>
        <color auto="1"/>
      </font>
      <fill>
        <patternFill patternType="none">
          <bgColor auto="1"/>
        </patternFill>
      </fill>
    </dxf>
    <dxf>
      <font>
        <strike val="0"/>
        <outline val="0"/>
        <shadow val="0"/>
        <vertAlign val="baseline"/>
        <color auto="1"/>
      </font>
    </dxf>
    <dxf>
      <font>
        <strike val="0"/>
        <outline val="0"/>
        <shadow val="0"/>
        <vertAlign val="baseline"/>
        <color auto="1"/>
      </font>
      <fill>
        <patternFill patternType="none">
          <bgColor auto="1"/>
        </patternFill>
      </fill>
    </dxf>
    <dxf>
      <font>
        <strike val="0"/>
        <outline val="0"/>
        <shadow val="0"/>
        <vertAlign val="baseline"/>
        <color auto="1"/>
      </font>
    </dxf>
    <dxf>
      <font>
        <strike val="0"/>
        <outline val="0"/>
        <shadow val="0"/>
        <vertAlign val="baseline"/>
        <color auto="1"/>
      </font>
      <numFmt numFmtId="0" formatCode="General"/>
      <fill>
        <patternFill patternType="none">
          <bgColor auto="1"/>
        </patternFill>
      </fill>
    </dxf>
    <dxf>
      <font>
        <strike val="0"/>
        <outline val="0"/>
        <shadow val="0"/>
        <vertAlign val="baseline"/>
        <color auto="1"/>
      </font>
    </dxf>
    <dxf>
      <font>
        <strike val="0"/>
        <outline val="0"/>
        <shadow val="0"/>
        <vertAlign val="baseline"/>
        <color auto="1"/>
      </font>
      <numFmt numFmtId="0" formatCode="General"/>
      <fill>
        <patternFill patternType="none">
          <bgColor auto="1"/>
        </patternFill>
      </fill>
    </dxf>
    <dxf>
      <font>
        <strike val="0"/>
        <outline val="0"/>
        <shadow val="0"/>
        <vertAlign val="baseline"/>
        <color auto="1"/>
      </font>
    </dxf>
    <dxf>
      <font>
        <strike val="0"/>
        <outline val="0"/>
        <shadow val="0"/>
        <vertAlign val="baseline"/>
        <color auto="1"/>
      </font>
      <fill>
        <patternFill patternType="none">
          <bgColor auto="1"/>
        </patternFill>
      </fill>
    </dxf>
    <dxf>
      <font>
        <strike val="0"/>
        <outline val="0"/>
        <shadow val="0"/>
        <vertAlign val="baseline"/>
        <color auto="1"/>
      </font>
    </dxf>
    <dxf>
      <font>
        <strike val="0"/>
        <outline val="0"/>
        <shadow val="0"/>
        <vertAlign val="baseline"/>
        <color auto="1"/>
      </font>
      <fill>
        <patternFill patternType="none">
          <bgColor auto="1"/>
        </patternFill>
      </fill>
    </dxf>
    <dxf>
      <font>
        <strike val="0"/>
        <outline val="0"/>
        <shadow val="0"/>
        <vertAlign val="baseline"/>
        <color auto="1"/>
      </font>
    </dxf>
    <dxf>
      <font>
        <strike val="0"/>
        <outline val="0"/>
        <shadow val="0"/>
        <vertAlign val="baseline"/>
        <color auto="1"/>
      </font>
      <fill>
        <patternFill patternType="none">
          <bgColor auto="1"/>
        </patternFill>
      </fill>
    </dxf>
    <dxf>
      <font>
        <strike val="0"/>
        <outline val="0"/>
        <shadow val="0"/>
        <vertAlign val="baseline"/>
        <color auto="1"/>
      </font>
    </dxf>
    <dxf>
      <font>
        <strike val="0"/>
        <outline val="0"/>
        <shadow val="0"/>
        <vertAlign val="baseline"/>
        <color auto="1"/>
      </font>
      <fill>
        <patternFill patternType="none">
          <bgColor auto="1"/>
        </patternFill>
      </fill>
    </dxf>
    <dxf>
      <font>
        <strike val="0"/>
        <outline val="0"/>
        <shadow val="0"/>
        <vertAlign val="baseline"/>
        <color auto="1"/>
      </font>
    </dxf>
    <dxf>
      <font>
        <strike val="0"/>
        <outline val="0"/>
        <shadow val="0"/>
        <vertAlign val="baseline"/>
        <color auto="1"/>
      </font>
      <numFmt numFmtId="0" formatCode="General"/>
      <fill>
        <patternFill patternType="none">
          <bgColor auto="1"/>
        </patternFill>
      </fill>
    </dxf>
    <dxf>
      <font>
        <strike val="0"/>
        <outline val="0"/>
        <shadow val="0"/>
        <vertAlign val="baseline"/>
        <color auto="1"/>
      </font>
    </dxf>
    <dxf>
      <font>
        <strike val="0"/>
        <outline val="0"/>
        <shadow val="0"/>
        <vertAlign val="baseline"/>
        <color auto="1"/>
      </font>
      <numFmt numFmtId="0" formatCode="General"/>
      <fill>
        <patternFill patternType="none">
          <bgColor auto="1"/>
        </patternFill>
      </fill>
    </dxf>
    <dxf>
      <font>
        <strike val="0"/>
        <outline val="0"/>
        <shadow val="0"/>
        <vertAlign val="baseline"/>
        <color auto="1"/>
      </font>
    </dxf>
    <dxf>
      <font>
        <strike val="0"/>
        <outline val="0"/>
        <shadow val="0"/>
        <vertAlign val="baseline"/>
        <color auto="1"/>
      </font>
      <numFmt numFmtId="0" formatCode="General"/>
      <fill>
        <patternFill patternType="none">
          <bgColor auto="1"/>
        </patternFill>
      </fill>
    </dxf>
    <dxf>
      <font>
        <strike val="0"/>
        <outline val="0"/>
        <shadow val="0"/>
        <vertAlign val="baseline"/>
        <color auto="1"/>
      </font>
    </dxf>
    <dxf>
      <font>
        <strike val="0"/>
        <outline val="0"/>
        <shadow val="0"/>
        <u val="none"/>
        <vertAlign val="baseline"/>
        <sz val="10"/>
        <color auto="1"/>
      </font>
      <numFmt numFmtId="0" formatCode="General"/>
      <fill>
        <patternFill patternType="none">
          <bgColor auto="1"/>
        </patternFill>
      </fill>
    </dxf>
    <dxf>
      <font>
        <strike val="0"/>
        <outline val="0"/>
        <shadow val="0"/>
        <vertAlign val="baseline"/>
        <color auto="1"/>
      </font>
    </dxf>
    <dxf>
      <font>
        <strike val="0"/>
        <outline val="0"/>
        <shadow val="0"/>
        <u val="none"/>
        <vertAlign val="baseline"/>
        <sz val="10"/>
        <color auto="1"/>
      </font>
      <numFmt numFmtId="0" formatCode="General"/>
      <fill>
        <patternFill patternType="none">
          <bgColor auto="1"/>
        </patternFill>
      </fill>
    </dxf>
    <dxf>
      <font>
        <strike val="0"/>
        <outline val="0"/>
        <shadow val="0"/>
        <vertAlign val="baseline"/>
        <color auto="1"/>
      </font>
    </dxf>
    <dxf>
      <font>
        <strike val="0"/>
        <outline val="0"/>
        <shadow val="0"/>
        <vertAlign val="baseline"/>
        <color auto="1"/>
      </font>
      <fill>
        <patternFill patternType="none">
          <bgColor auto="1"/>
        </patternFill>
      </fill>
    </dxf>
    <dxf>
      <font>
        <strike val="0"/>
        <outline val="0"/>
        <shadow val="0"/>
        <vertAlign val="baseline"/>
        <color auto="1"/>
      </font>
    </dxf>
    <dxf>
      <font>
        <strike val="0"/>
        <outline val="0"/>
        <shadow val="0"/>
        <vertAlign val="baseline"/>
        <color auto="1"/>
      </font>
      <fill>
        <patternFill patternType="none">
          <bgColor auto="1"/>
        </patternFill>
      </fill>
    </dxf>
    <dxf>
      <font>
        <strike val="0"/>
        <outline val="0"/>
        <shadow val="0"/>
        <vertAlign val="baseline"/>
        <color auto="1"/>
      </font>
    </dxf>
    <dxf>
      <font>
        <b val="0"/>
        <i val="0"/>
        <strike val="0"/>
        <condense val="0"/>
        <extend val="0"/>
        <outline val="0"/>
        <shadow val="0"/>
        <u val="none"/>
        <vertAlign val="baseline"/>
        <sz val="10"/>
        <color auto="1"/>
        <name val="MS Sans Serif"/>
        <scheme val="none"/>
      </font>
      <numFmt numFmtId="0" formatCode="General"/>
      <fill>
        <patternFill patternType="none">
          <bgColor auto="1"/>
        </patternFill>
      </fill>
    </dxf>
    <dxf>
      <font>
        <strike val="0"/>
        <outline val="0"/>
        <shadow val="0"/>
        <vertAlign val="baseline"/>
        <color auto="1"/>
      </font>
    </dxf>
    <dxf>
      <font>
        <strike val="0"/>
        <outline val="0"/>
        <shadow val="0"/>
        <vertAlign val="baseline"/>
        <color auto="1"/>
      </font>
      <fill>
        <patternFill patternType="none">
          <bgColor auto="1"/>
        </patternFill>
      </fill>
    </dxf>
    <dxf>
      <font>
        <strike val="0"/>
        <outline val="0"/>
        <shadow val="0"/>
        <vertAlign val="baseline"/>
        <color auto="1"/>
      </font>
    </dxf>
    <dxf>
      <font>
        <strike val="0"/>
        <outline val="0"/>
        <shadow val="0"/>
        <vertAlign val="baseline"/>
        <color auto="1"/>
      </font>
      <fill>
        <patternFill patternType="none">
          <bgColor auto="1"/>
        </patternFill>
      </fill>
    </dxf>
    <dxf>
      <font>
        <strike val="0"/>
        <outline val="0"/>
        <shadow val="0"/>
        <vertAlign val="baseline"/>
        <color auto="1"/>
      </font>
    </dxf>
    <dxf>
      <font>
        <strike val="0"/>
        <outline val="0"/>
        <shadow val="0"/>
        <vertAlign val="baseline"/>
        <color auto="1"/>
      </font>
      <fill>
        <patternFill patternType="none">
          <bgColor auto="1"/>
        </patternFill>
      </fill>
    </dxf>
    <dxf>
      <font>
        <strike val="0"/>
        <outline val="0"/>
        <shadow val="0"/>
        <vertAlign val="baseline"/>
        <color auto="1"/>
      </font>
    </dxf>
    <dxf>
      <font>
        <strike val="0"/>
        <outline val="0"/>
        <shadow val="0"/>
        <vertAlign val="baseline"/>
        <color auto="1"/>
      </font>
      <fill>
        <patternFill patternType="none">
          <bgColor auto="1"/>
        </patternFill>
      </fill>
    </dxf>
    <dxf>
      <font>
        <strike val="0"/>
        <outline val="0"/>
        <shadow val="0"/>
        <vertAlign val="baseline"/>
        <color auto="1"/>
      </font>
    </dxf>
    <dxf>
      <font>
        <strike val="0"/>
        <outline val="0"/>
        <shadow val="0"/>
        <vertAlign val="baseline"/>
        <color auto="1"/>
      </font>
      <fill>
        <patternFill patternType="none">
          <bgColor auto="1"/>
        </patternFill>
      </fill>
    </dxf>
    <dxf>
      <font>
        <strike val="0"/>
        <outline val="0"/>
        <shadow val="0"/>
        <vertAlign val="baseline"/>
        <color auto="1"/>
      </font>
      <numFmt numFmtId="30" formatCode="@"/>
    </dxf>
    <dxf>
      <font>
        <strike val="0"/>
        <outline val="0"/>
        <shadow val="0"/>
        <vertAlign val="baseline"/>
        <color auto="1"/>
      </font>
      <numFmt numFmtId="30" formatCode="@"/>
      <fill>
        <patternFill patternType="none">
          <bgColor auto="1"/>
        </patternFill>
      </fill>
    </dxf>
    <dxf>
      <font>
        <strike val="0"/>
        <outline val="0"/>
        <shadow val="0"/>
        <vertAlign val="baseline"/>
        <color auto="1"/>
      </font>
    </dxf>
    <dxf>
      <font>
        <strike val="0"/>
        <outline val="0"/>
        <shadow val="0"/>
        <vertAlign val="baseline"/>
        <color auto="1"/>
      </font>
      <fill>
        <patternFill patternType="none">
          <bgColor auto="1"/>
        </patternFill>
      </fill>
    </dxf>
    <dxf>
      <font>
        <strike val="0"/>
        <outline val="0"/>
        <shadow val="0"/>
        <vertAlign val="baseline"/>
        <color auto="1"/>
      </font>
    </dxf>
    <dxf>
      <font>
        <strike val="0"/>
        <outline val="0"/>
        <shadow val="0"/>
        <vertAlign val="baseline"/>
        <color auto="1"/>
      </font>
      <fill>
        <patternFill patternType="none">
          <bgColor auto="1"/>
        </patternFill>
      </fill>
    </dxf>
    <dxf>
      <font>
        <strike val="0"/>
        <outline val="0"/>
        <shadow val="0"/>
        <vertAlign val="baseline"/>
        <color auto="1"/>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Usuario/Desktop/GALICIA_CTJ/1.%20ITJ/12_IND_AYUDAS/20260401_Ayudas%20INDICADORES_MINEROS_TJ_2.xlsx" TargetMode="External"/><Relationship Id="rId2" Type="http://schemas.openxmlformats.org/officeDocument/2006/relationships/externalLinkPath" Target="file:///C:\Users\Usuario\Desktop\GALICIA_CTJ\1.%20ITJ\12_IND_AYUDAS\20260401_Ayudas%20INDICADORES_MINEROS_TJ_2.xlsx" TargetMode="External"/><Relationship Id="rId1" Type="http://schemas.openxmlformats.org/officeDocument/2006/relationships/externalLinkPath" Target="/Users/Usuario/Desktop/GALICIA_CTJ/1.%20ITJ/12_IND_AYUDAS/20260401_Ayudas%20INDICADORES_MINEROS_TJ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os tabla 3 anteriores"/>
      <sheetName val="Datos para ITJ-26-02-26"/>
      <sheetName val="Tabla3"/>
      <sheetName val="td"/>
      <sheetName val="MUNICIPIOS 2025"/>
      <sheetName val="MINEROS 2025"/>
      <sheetName val="MINEROS 2024"/>
      <sheetName val="IND CULTURAL"/>
      <sheetName val="Tabla CULTURA"/>
      <sheetName val="CON_INE_2024"/>
      <sheetName val="td_ft_visor"/>
      <sheetName val="INDICADORES participación"/>
      <sheetName val="Beneficiarios"/>
      <sheetName val="MUNICIPIOS"/>
      <sheetName val="Indicadores VISOR"/>
      <sheetName val="nº entidades"/>
      <sheetName val="20260401_Ayudas INDICADORES_MIN"/>
    </sheetNames>
    <sheetDataSet>
      <sheetData sheetId="0" refreshError="1"/>
      <sheetData sheetId="1">
        <row r="2">
          <cell r="B2" t="str">
            <v>FEDER-AGE-2017-000143</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85BA6A-E8BA-4BF4-B251-253F17533BE1}" name="Tabla16" displayName="Tabla16" ref="A1:AL1314" totalsRowCount="1" headerRowDxfId="79" dataDxfId="78" totalsRowDxfId="77">
  <autoFilter ref="A1:AL1313" xr:uid="{C54560EC-91A1-46C1-8741-DF295EE48B79}"/>
  <tableColumns count="38">
    <tableColumn id="1" xr3:uid="{BDAED6CF-A475-48B2-9E64-0B622310B116}" name="VISOR " dataDxfId="76" totalsRowDxfId="75"/>
    <tableColumn id="38" xr3:uid="{EEFA5DA7-98DD-4034-A045-903B06AA3D7D}" name="Ficha" dataDxfId="74" totalsRowDxfId="73">
      <calculatedColumnFormula>VLOOKUP(Tabla16[[#This Row],[Ref. Proyecto]],#REF!,2,FALSE)</calculatedColumnFormula>
    </tableColumn>
    <tableColumn id="37" xr3:uid="{FD8FCFD7-5355-4A20-B9B5-ED603E485CC1}" name="ORG" dataDxfId="72" totalsRowDxfId="71"/>
    <tableColumn id="11" xr3:uid="{AC1C8E01-FF07-4DFB-82E4-BEBFEAFF0685}" name="Tipo" dataDxfId="70" totalsRowDxfId="69"/>
    <tableColumn id="2" xr3:uid="{187A5172-BA86-40C8-853F-73DA9F8FCE4A}" name="Priorización TJ" dataDxfId="68" totalsRowDxfId="67"/>
    <tableColumn id="3" xr3:uid="{3216BC1C-4C6B-4006-9368-AAE5C290A02E}" name="PLAN" dataDxfId="66" totalsRowDxfId="65"/>
    <tableColumn id="4" xr3:uid="{F36F690F-0F61-47FF-BC25-0DF201FC463D}" name="Línea de Ayuda" dataDxfId="64" totalsRowDxfId="63"/>
    <tableColumn id="30" xr3:uid="{621716FF-DD49-4189-A1CD-5BB73F5451D6}" name="Procedencia de las ayudas" dataDxfId="62" totalsRowDxfId="61"/>
    <tableColumn id="5" xr3:uid="{002CBCA0-0DAB-4A00-94EC-F4983D151573}" name="Ref. Proyecto" totalsRowFunction="custom" dataDxfId="60" totalsRowDxfId="59">
      <totalsRowFormula array="1">SUMPRODUCT((Tabla16[Ref. Proyecto]&lt;&gt;"")*(SUBTOTAL(103, OFFSET(Tabla16[Ref. Proyecto],ROW(Tabla16[Ref. Proyecto])-MIN(ROW(Tabla16[Ref. Proyecto])),0,1)))*(1 / COUNTIF(Tabla16[Ref. Proyecto],Tabla16[Ref. Proyecto])))</totalsRowFormula>
    </tableColumn>
    <tableColumn id="6" xr3:uid="{09B80683-0876-46A1-A35A-E7CF4342636F}" name="Año Conv." dataDxfId="58" totalsRowDxfId="57"/>
    <tableColumn id="34" xr3:uid="{E4B317F7-C6F1-47AE-9664-38C25F2A8CE3}" name="TÍTULO PROYECTO" dataDxfId="56" totalsRowDxfId="55">
      <calculatedColumnFormula>VLOOKUP(Tabla16[[#This Row],[Ref. Proyecto]],#REF!,11,FALSE)</calculatedColumnFormula>
    </tableColumn>
    <tableColumn id="33" xr3:uid="{F137B758-7763-42F2-B7F7-D24493E16173}" name="DESCRIPCIÓN" dataDxfId="54" totalsRowDxfId="53">
      <calculatedColumnFormula>VLOOKUP(Tabla16[[#This Row],[Ref. Proyecto]],#REF!,12,FALSE)</calculatedColumnFormula>
    </tableColumn>
    <tableColumn id="35" xr3:uid="{F179092A-258D-4DB9-BC3A-BE7FD4BD567E}" name="LINKS" dataDxfId="52" totalsRowDxfId="51">
      <calculatedColumnFormula>VLOOKUP(Tabla16[[#This Row],[Ref. Proyecto]],#REF!,13,FALSE)</calculatedColumnFormula>
    </tableColumn>
    <tableColumn id="36" xr3:uid="{20D3C0AB-E554-4F03-B3A6-864D6FEC81AC}" name="FOTOGRAFÍAS" dataDxfId="50" totalsRowDxfId="49">
      <calculatedColumnFormula>VLOOKUP(Tabla16[[#This Row],[Ref. Proyecto]],#REF!,14,FALSE)</calculatedColumnFormula>
    </tableColumn>
    <tableColumn id="31" xr3:uid="{96EFF54D-4BDE-4A42-98BB-625B4795BF76}" name="Descripción fotografía" dataDxfId="48" totalsRowDxfId="47">
      <calculatedColumnFormula>VLOOKUP(Tabla16[[#This Row],[Ref. Proyecto]],#REF!,15,FALSE)</calculatedColumnFormula>
    </tableColumn>
    <tableColumn id="7" xr3:uid="{A83A9303-EF96-466E-973E-835A43D371B6}" name="Beneficiario" dataDxfId="46" totalsRowDxfId="45"/>
    <tableColumn id="8" xr3:uid="{F2242341-8994-460A-8BFA-AA41E04BBFA9}" name="CCAA" dataDxfId="44" totalsRowDxfId="43"/>
    <tableColumn id="9" xr3:uid="{9CC86F5D-FF20-40D8-9183-09ABB145FCB3}" name="Provincia" dataDxfId="42" totalsRowDxfId="41"/>
    <tableColumn id="10" xr3:uid="{6D77B769-6FAC-4287-A99D-18F68B07B14E}" name="Municipio" totalsRowFunction="count" dataDxfId="40" totalsRowDxfId="39"/>
    <tableColumn id="27" xr3:uid="{5DA1464B-A70C-4841-AC65-35FD3EB5DE2C}" name="COD_INE" dataDxfId="38" totalsRowDxfId="37"/>
    <tableColumn id="28" xr3:uid="{4FBB8C7F-9045-42AA-8C8D-8496CB13892B}" name="Grupo" dataDxfId="36" totalsRowDxfId="35"/>
    <tableColumn id="12" xr3:uid="{593C3419-05C9-4027-B1DB-34C51166E9DD}" name="Zona" dataDxfId="34" totalsRowDxfId="33"/>
    <tableColumn id="13" xr3:uid="{1ABD363F-D0DE-4CF1-951F-8216DCB29310}" name="Síntesis" dataDxfId="32" totalsRowDxfId="31"/>
    <tableColumn id="14" xr3:uid="{6BC86EEF-D72A-4931-B296-B617A01C6562}" name="Sector" dataDxfId="30" totalsRowDxfId="29"/>
    <tableColumn id="15" xr3:uid="{2CD890C0-7E06-4809-9F7B-B20938308B00}" name="Fecha RD" totalsRowFunction="count" dataDxfId="28" totalsRowDxfId="27"/>
    <tableColumn id="29" xr3:uid="{55094290-CF23-4D45-B26F-2D9ED1F93A36}" name="Año RD" totalsRowFunction="count" dataDxfId="26" totalsRowDxfId="25"/>
    <tableColumn id="16" xr3:uid="{2036DDCC-256B-4797-A4D0-DA7A09A4CE8F}" name="Inversión subvencionable" totalsRowFunction="sum" dataDxfId="24" totalsRowDxfId="23"/>
    <tableColumn id="17" xr3:uid="{784C6701-3946-4ABB-A804-F527FAC917B7}" name="Prestamo concedido" totalsRowFunction="sum" dataDxfId="22" totalsRowDxfId="21"/>
    <tableColumn id="18" xr3:uid="{E2EBCA16-CA38-4B58-A0A9-EA7F9BCA674C}" name="Subvención aprobada" totalsRowFunction="sum" dataDxfId="20" totalsRowDxfId="19"/>
    <tableColumn id="19" xr3:uid="{A3E1A614-8A83-432E-87CF-10004FCC901E}" name="Empleo a crear (operación)" totalsRowFunction="sum" dataDxfId="18" totalsRowDxfId="17"/>
    <tableColumn id="32" xr3:uid="{749981E5-628A-451E-8251-E5AB9BAEE759}" name="Empleo femenino " totalsRowFunction="sum" dataDxfId="16" totalsRowDxfId="15">
      <calculatedColumnFormula>VLOOKUP(Tabla16[[#This Row],[Ref. Proyecto]],#REF!,24,FALSE)</calculatedColumnFormula>
    </tableColumn>
    <tableColumn id="20" xr3:uid="{43B28DA2-1F0E-4748-8129-D65DE0B1B870}" name="Empleo en ejecución (construción)" totalsRowFunction="sum" dataDxfId="14" totalsRowDxfId="13"/>
    <tableColumn id="21" xr3:uid="{D101D4BD-C5EC-4407-A7E8-10F01784972A}" name="Situación del Proyecto" totalsRowFunction="sum" dataDxfId="12" totalsRowDxfId="11"/>
    <tableColumn id="22" xr3:uid="{D58B96CB-7C7F-4A82-A910-E5D197F6FAD6}" name="Motivo " totalsRowFunction="sum" dataDxfId="10" totalsRowDxfId="9"/>
    <tableColumn id="23" xr3:uid="{72294C4E-A328-4F91-A6B7-1E0C310F87F8}" name="Ayuda actual" totalsRowFunction="sum" dataDxfId="8" totalsRowDxfId="7"/>
    <tableColumn id="24" xr3:uid="{CA7B6BC0-F132-4F12-B24B-809C4A3E5D98}" name="Superficie (Ha) restaurada" totalsRowFunction="sum" dataDxfId="6" totalsRowDxfId="5"/>
    <tableColumn id="26" xr3:uid="{9A9C552C-603D-4A6B-B6F7-F3F965C6ACA6}" name="Objetivo del proyecto" totalsRowFunction="sum" dataDxfId="4" totalsRowDxfId="3"/>
    <tableColumn id="25" xr3:uid="{26EEF136-8AE8-46AB-A5EF-E2FAA924D9D8}" name="Observaciones" dataDxfId="2" totalsRowDxfId="1"/>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ur05.safelinks.protection.outlook.com/?url=https%3A%2F%2Fwww.lne.es%2Fgrado%2F2025%2F02%2F16%2Fcardosa-contara-primera-comunidad-energetica-114343494.html&amp;data=05%7C02%7Cnuria.alvarez%40ciuden.es%7Cc3e20f4d3a424bbe91fa08de97066454%7C719fd3bc61f54603b8f0e4de02c88601%7C0%7C0%7C639114250879933246%7CUnknown%7CTWFpbGZsb3d8eyJFbXB0eU1hcGkiOnRydWUsIlYiOiIwLjAuMDAwMCIsIlAiOiJXaW4zMiIsIkFOIjoiTWFpbCIsIldUIjoyfQ%3D%3D%7C0%7C%7C%7C&amp;sdata=kXV%2FI93y%2Bhqsf%2BfyOJvg7%2FXwJ%2FtvH54%2BkvznCus%2B%2FgU%3D&amp;reserved=0" TargetMode="External"/><Relationship Id="rId3" Type="http://schemas.openxmlformats.org/officeDocument/2006/relationships/hyperlink" Target="https://valogreenerecinorassomozas.com/" TargetMode="External"/><Relationship Id="rId7" Type="http://schemas.openxmlformats.org/officeDocument/2006/relationships/hyperlink" Target="https://eur05.safelinks.protection.outlook.com/?url=https%3A%2F%2Fwww.lne.es%2Fcorvera%2F2025%2F12%2F11%2Fcorvera-suma-nuevas-inversiones-millonarias-124690423.html&amp;data=05%7C02%7Cnuria.alvarez%40ciuden.es%7Cc3e20f4d3a424bbe91fa08de97066454%7C719fd3bc61f54603b8f0e4de02c88601%7C0%7C0%7C639114250879918811%7CUnknown%7CTWFpbGZsb3d8eyJFbXB0eU1hcGkiOnRydWUsIlYiOiIwLjAuMDAwMCIsIlAiOiJXaW4zMiIsIkFOIjoiTWFpbCIsIldUIjoyfQ%3D%3D%7C0%7C%7C%7C&amp;sdata=5UfmFQHIWgXipMox2%2FCIT5e5iq1TTwOKwjgPqywRSTk%3D&amp;reserved=0" TargetMode="External"/><Relationship Id="rId2" Type="http://schemas.openxmlformats.org/officeDocument/2006/relationships/hyperlink" Target="https://xeracion.org/nosotros/" TargetMode="External"/><Relationship Id="rId1" Type="http://schemas.openxmlformats.org/officeDocument/2006/relationships/hyperlink" Target="https://www.xermade.org/comunidade-de-enerxias-renovables-xerando/" TargetMode="External"/><Relationship Id="rId6" Type="http://schemas.openxmlformats.org/officeDocument/2006/relationships/hyperlink" Target="https://faveker.com/" TargetMode="External"/><Relationship Id="rId11" Type="http://schemas.openxmlformats.org/officeDocument/2006/relationships/table" Target="../tables/table1.xml"/><Relationship Id="rId5" Type="http://schemas.openxmlformats.org/officeDocument/2006/relationships/hyperlink" Target="https://www.xunta.gal/dog/Publicados/2025/20251201/AnuncioG0763-061125-0007_es.html" TargetMode="External"/><Relationship Id="rId10" Type="http://schemas.openxmlformats.org/officeDocument/2006/relationships/printerSettings" Target="../printerSettings/printerSettings1.bin"/><Relationship Id="rId4" Type="http://schemas.openxmlformats.org/officeDocument/2006/relationships/hyperlink" Target="https://www.xunta.gal/dog/Publicados/2025/20251217/AnuncioG0763-111125-0005_gl.html" TargetMode="External"/><Relationship Id="rId9" Type="http://schemas.openxmlformats.org/officeDocument/2006/relationships/hyperlink" Target="https://www.hy5.energy/projec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99CB2-9E72-4B1A-AFE4-188B6D5962D8}">
  <sheetPr>
    <tabColor rgb="FFFF0000"/>
  </sheetPr>
  <dimension ref="A1:BA1335"/>
  <sheetViews>
    <sheetView tabSelected="1" zoomScale="85" zoomScaleNormal="85" workbookViewId="0">
      <pane ySplit="1" topLeftCell="A2" activePane="bottomLeft" state="frozen"/>
      <selection activeCell="N3748" sqref="N3748"/>
      <selection pane="bottomLeft" activeCell="D9" sqref="D9"/>
    </sheetView>
  </sheetViews>
  <sheetFormatPr baseColWidth="10" defaultColWidth="11.42578125" defaultRowHeight="15" customHeight="1" x14ac:dyDescent="0.25"/>
  <cols>
    <col min="1" max="1" width="9.5703125" style="1" customWidth="1"/>
    <col min="2" max="2" width="9.5703125" style="5" customWidth="1"/>
    <col min="3" max="3" width="9.140625" style="1" customWidth="1"/>
    <col min="4" max="4" width="14.140625" style="1" customWidth="1"/>
    <col min="5" max="5" width="9.140625" style="1" customWidth="1"/>
    <col min="6" max="7" width="18.7109375" style="1" customWidth="1"/>
    <col min="8" max="8" width="6.28515625" style="1" customWidth="1"/>
    <col min="9" max="9" width="28.7109375" style="4" customWidth="1"/>
    <col min="10" max="10" width="7" style="1" customWidth="1"/>
    <col min="11" max="11" width="24.7109375" style="1" customWidth="1"/>
    <col min="12" max="12" width="30.42578125" style="1" customWidth="1"/>
    <col min="13" max="13" width="20.28515625" style="1" customWidth="1"/>
    <col min="14" max="14" width="20.7109375" style="1" customWidth="1"/>
    <col min="15" max="15" width="33" style="1" customWidth="1"/>
    <col min="16" max="16" width="32.7109375" style="1" customWidth="1"/>
    <col min="17" max="17" width="7.7109375" style="1" customWidth="1"/>
    <col min="18" max="18" width="9.28515625" style="1" customWidth="1"/>
    <col min="19" max="19" width="11.42578125" style="1" customWidth="1"/>
    <col min="20" max="20" width="9.28515625" style="1" customWidth="1"/>
    <col min="21" max="21" width="8.140625" style="1" customWidth="1"/>
    <col min="22" max="23" width="9.28515625" style="1" customWidth="1"/>
    <col min="24" max="24" width="50.5703125" style="1" customWidth="1"/>
    <col min="25" max="25" width="12.42578125" style="1" customWidth="1"/>
    <col min="26" max="26" width="10.28515625" style="1" customWidth="1"/>
    <col min="27" max="27" width="25.7109375" style="3" customWidth="1"/>
    <col min="28" max="28" width="16" style="1" customWidth="1"/>
    <col min="29" max="29" width="14.140625" style="2" customWidth="1"/>
    <col min="30" max="30" width="11" style="1" customWidth="1"/>
    <col min="31" max="31" width="8.7109375" style="1" customWidth="1"/>
    <col min="32" max="32" width="11.42578125" style="1" customWidth="1"/>
    <col min="33" max="33" width="13" style="1" customWidth="1"/>
    <col min="34" max="34" width="13.28515625" style="1" customWidth="1"/>
    <col min="35" max="35" width="17.28515625" style="1" customWidth="1"/>
    <col min="36" max="36" width="21" style="1" customWidth="1"/>
    <col min="37" max="37" width="17.28515625" style="2" customWidth="1"/>
    <col min="38" max="38" width="33.28515625" style="1" customWidth="1"/>
    <col min="39" max="39" width="30.140625" style="1" customWidth="1"/>
    <col min="40" max="16384" width="11.42578125" style="1"/>
  </cols>
  <sheetData>
    <row r="1" spans="1:38" s="9" customFormat="1" ht="51" customHeight="1" x14ac:dyDescent="0.2">
      <c r="A1" s="9" t="s">
        <v>5374</v>
      </c>
      <c r="B1" s="64" t="s">
        <v>5373</v>
      </c>
      <c r="C1" s="9" t="s">
        <v>5372</v>
      </c>
      <c r="D1" s="9" t="s">
        <v>5371</v>
      </c>
      <c r="E1" s="9" t="s">
        <v>5370</v>
      </c>
      <c r="F1" s="9" t="s">
        <v>5369</v>
      </c>
      <c r="G1" s="9" t="s">
        <v>5368</v>
      </c>
      <c r="H1" s="9" t="s">
        <v>5367</v>
      </c>
      <c r="I1" s="9" t="s">
        <v>5366</v>
      </c>
      <c r="J1" s="9" t="s">
        <v>5365</v>
      </c>
      <c r="K1" s="63" t="s">
        <v>5364</v>
      </c>
      <c r="L1" s="63" t="s">
        <v>5363</v>
      </c>
      <c r="M1" s="62" t="s">
        <v>5362</v>
      </c>
      <c r="N1" s="62" t="s">
        <v>5361</v>
      </c>
      <c r="O1" s="62" t="s">
        <v>5360</v>
      </c>
      <c r="P1" s="9" t="s">
        <v>5359</v>
      </c>
      <c r="Q1" s="9" t="s">
        <v>5358</v>
      </c>
      <c r="R1" s="9" t="s">
        <v>5357</v>
      </c>
      <c r="S1" s="9" t="s">
        <v>5356</v>
      </c>
      <c r="T1" s="9" t="s">
        <v>5355</v>
      </c>
      <c r="U1" s="9" t="s">
        <v>5354</v>
      </c>
      <c r="V1" s="9" t="s">
        <v>5353</v>
      </c>
      <c r="W1" s="9" t="s">
        <v>5352</v>
      </c>
      <c r="X1" s="9" t="s">
        <v>5351</v>
      </c>
      <c r="Y1" s="61" t="s">
        <v>5350</v>
      </c>
      <c r="Z1" s="9" t="s">
        <v>5349</v>
      </c>
      <c r="AA1" s="9" t="s">
        <v>5348</v>
      </c>
      <c r="AB1" s="9" t="s">
        <v>5347</v>
      </c>
      <c r="AC1" s="60" t="s">
        <v>5346</v>
      </c>
      <c r="AD1" s="9" t="s">
        <v>5345</v>
      </c>
      <c r="AE1" s="59" t="s">
        <v>5344</v>
      </c>
      <c r="AF1" s="9" t="s">
        <v>5343</v>
      </c>
      <c r="AG1" s="9" t="s">
        <v>5342</v>
      </c>
      <c r="AH1" s="9" t="s">
        <v>5341</v>
      </c>
      <c r="AI1" s="9" t="s">
        <v>5340</v>
      </c>
      <c r="AJ1" s="9" t="s">
        <v>5339</v>
      </c>
      <c r="AK1" s="9" t="s">
        <v>5338</v>
      </c>
      <c r="AL1" s="9" t="s">
        <v>5337</v>
      </c>
    </row>
    <row r="2" spans="1:38" ht="15" customHeight="1" x14ac:dyDescent="0.25">
      <c r="A2" s="1" t="s">
        <v>19</v>
      </c>
      <c r="B2" s="14" t="s">
        <v>18</v>
      </c>
      <c r="C2" s="12" t="s">
        <v>37</v>
      </c>
      <c r="D2" s="1" t="s">
        <v>63</v>
      </c>
      <c r="E2" s="1" t="s">
        <v>35</v>
      </c>
      <c r="F2" s="1" t="s">
        <v>2380</v>
      </c>
      <c r="G2" s="1" t="s">
        <v>288</v>
      </c>
      <c r="H2" s="1" t="s">
        <v>32</v>
      </c>
      <c r="I2" s="12" t="s">
        <v>5336</v>
      </c>
      <c r="J2" s="12">
        <v>2024</v>
      </c>
      <c r="K2" s="49" t="s">
        <v>5335</v>
      </c>
      <c r="L2" s="49" t="s">
        <v>5334</v>
      </c>
      <c r="M2" s="12" t="s">
        <v>0</v>
      </c>
      <c r="N2" s="12" t="s">
        <v>5333</v>
      </c>
      <c r="O2" s="12"/>
      <c r="P2" s="1" t="s">
        <v>5332</v>
      </c>
      <c r="Q2" s="1" t="s">
        <v>780</v>
      </c>
      <c r="R2" s="1" t="s">
        <v>4739</v>
      </c>
      <c r="S2" s="12" t="s">
        <v>4942</v>
      </c>
      <c r="T2" s="12" t="s">
        <v>4941</v>
      </c>
      <c r="U2" s="17"/>
      <c r="V2" s="12" t="s">
        <v>4</v>
      </c>
      <c r="W2" s="12" t="s">
        <v>5331</v>
      </c>
      <c r="X2" s="12" t="s">
        <v>2256</v>
      </c>
      <c r="Y2" s="13"/>
      <c r="Z2" s="12">
        <v>2025</v>
      </c>
      <c r="AA2" s="2">
        <v>259392.44</v>
      </c>
      <c r="AB2" s="2"/>
      <c r="AC2" s="2">
        <v>259392.44</v>
      </c>
      <c r="AG2" s="1" t="s">
        <v>21</v>
      </c>
      <c r="AI2" s="2">
        <v>259392.44</v>
      </c>
      <c r="AK2" s="1"/>
    </row>
    <row r="3" spans="1:38" ht="15" customHeight="1" x14ac:dyDescent="0.2">
      <c r="A3" s="1" t="s">
        <v>19</v>
      </c>
      <c r="B3" s="5" t="s">
        <v>18</v>
      </c>
      <c r="C3" s="1" t="s">
        <v>37</v>
      </c>
      <c r="D3" s="1" t="s">
        <v>63</v>
      </c>
      <c r="E3" s="1" t="s">
        <v>35</v>
      </c>
      <c r="G3" s="1" t="s">
        <v>288</v>
      </c>
      <c r="H3" s="1" t="s">
        <v>32</v>
      </c>
      <c r="I3" s="1" t="s">
        <v>5330</v>
      </c>
      <c r="J3" s="1">
        <v>2022</v>
      </c>
      <c r="K3" s="1" t="s">
        <v>5329</v>
      </c>
      <c r="L3" s="1" t="s">
        <v>5328</v>
      </c>
      <c r="P3" s="1" t="s">
        <v>5327</v>
      </c>
      <c r="Q3" s="1" t="s">
        <v>8</v>
      </c>
      <c r="R3" s="1" t="s">
        <v>7</v>
      </c>
      <c r="S3" s="1" t="s">
        <v>4747</v>
      </c>
      <c r="T3" s="1" t="s">
        <v>4746</v>
      </c>
      <c r="V3" s="1" t="s">
        <v>4</v>
      </c>
      <c r="W3" s="1" t="s">
        <v>5326</v>
      </c>
      <c r="Y3" s="3">
        <v>45112</v>
      </c>
      <c r="Z3" s="1">
        <v>2023</v>
      </c>
      <c r="AA3" s="2">
        <v>1376052.24</v>
      </c>
      <c r="AB3" s="2"/>
      <c r="AC3" s="2">
        <v>370259.83076923428</v>
      </c>
      <c r="AG3" s="1" t="s">
        <v>21</v>
      </c>
      <c r="AI3" s="2">
        <v>370259.83076923428</v>
      </c>
      <c r="AK3" s="1"/>
    </row>
    <row r="4" spans="1:38" ht="15" customHeight="1" x14ac:dyDescent="0.2">
      <c r="A4" s="1" t="s">
        <v>19</v>
      </c>
      <c r="B4" s="5" t="s">
        <v>18</v>
      </c>
      <c r="C4" s="1" t="s">
        <v>37</v>
      </c>
      <c r="D4" s="1" t="s">
        <v>211</v>
      </c>
      <c r="E4" s="1" t="s">
        <v>35</v>
      </c>
      <c r="F4" s="1" t="s">
        <v>210</v>
      </c>
      <c r="G4" s="1" t="s">
        <v>209</v>
      </c>
      <c r="H4" s="1" t="s">
        <v>130</v>
      </c>
      <c r="I4" s="1" t="s">
        <v>5325</v>
      </c>
      <c r="J4" s="1">
        <v>2023</v>
      </c>
      <c r="K4" s="1" t="s">
        <v>5323</v>
      </c>
      <c r="L4" s="1" t="s">
        <v>5323</v>
      </c>
      <c r="P4" s="1" t="s">
        <v>5324</v>
      </c>
      <c r="Q4" s="1" t="s">
        <v>780</v>
      </c>
      <c r="R4" s="1" t="s">
        <v>4739</v>
      </c>
      <c r="S4" s="1" t="s">
        <v>4898</v>
      </c>
      <c r="T4" s="1" t="s">
        <v>4897</v>
      </c>
      <c r="V4" s="1" t="s">
        <v>4</v>
      </c>
      <c r="W4" s="1" t="s">
        <v>5323</v>
      </c>
      <c r="Y4" s="3">
        <v>45478</v>
      </c>
      <c r="Z4" s="1">
        <v>2024</v>
      </c>
      <c r="AA4" s="2">
        <v>125631.08</v>
      </c>
      <c r="AB4" s="2"/>
      <c r="AC4" s="2">
        <v>31407.77</v>
      </c>
      <c r="AD4" s="1">
        <v>0</v>
      </c>
      <c r="AG4" s="1" t="s">
        <v>21</v>
      </c>
      <c r="AI4" s="2">
        <v>31407.77</v>
      </c>
      <c r="AK4" s="1"/>
    </row>
    <row r="5" spans="1:38" ht="15" customHeight="1" x14ac:dyDescent="0.2">
      <c r="A5" s="1" t="s">
        <v>19</v>
      </c>
      <c r="B5" s="5" t="s">
        <v>18</v>
      </c>
      <c r="C5" s="1" t="s">
        <v>37</v>
      </c>
      <c r="D5" s="1" t="s">
        <v>211</v>
      </c>
      <c r="E5" s="1" t="s">
        <v>35</v>
      </c>
      <c r="F5" s="1" t="s">
        <v>210</v>
      </c>
      <c r="G5" s="1" t="s">
        <v>209</v>
      </c>
      <c r="H5" s="1" t="s">
        <v>130</v>
      </c>
      <c r="I5" s="1" t="s">
        <v>5322</v>
      </c>
      <c r="J5" s="1">
        <v>2023</v>
      </c>
      <c r="K5" s="1" t="s">
        <v>1917</v>
      </c>
      <c r="L5" s="1" t="s">
        <v>1917</v>
      </c>
      <c r="P5" s="1" t="s">
        <v>5321</v>
      </c>
      <c r="Q5" s="1" t="s">
        <v>780</v>
      </c>
      <c r="R5" s="1" t="s">
        <v>4739</v>
      </c>
      <c r="S5" s="1" t="s">
        <v>4898</v>
      </c>
      <c r="T5" s="1" t="s">
        <v>4897</v>
      </c>
      <c r="V5" s="1" t="s">
        <v>4</v>
      </c>
      <c r="W5" s="1" t="s">
        <v>1917</v>
      </c>
      <c r="Y5" s="3">
        <v>45478</v>
      </c>
      <c r="Z5" s="1">
        <v>2024</v>
      </c>
      <c r="AA5" s="2">
        <v>32348.31</v>
      </c>
      <c r="AB5" s="2"/>
      <c r="AC5" s="2">
        <v>8087.08</v>
      </c>
      <c r="AD5" s="1">
        <v>0</v>
      </c>
      <c r="AG5" s="1" t="s">
        <v>21</v>
      </c>
      <c r="AI5" s="2">
        <v>8087.08</v>
      </c>
      <c r="AK5" s="1"/>
    </row>
    <row r="6" spans="1:38" ht="15" customHeight="1" x14ac:dyDescent="0.2">
      <c r="A6" s="1" t="s">
        <v>19</v>
      </c>
      <c r="B6" s="5" t="s">
        <v>109</v>
      </c>
      <c r="C6" s="1" t="s">
        <v>37</v>
      </c>
      <c r="D6" s="1" t="s">
        <v>211</v>
      </c>
      <c r="E6" s="1" t="s">
        <v>35</v>
      </c>
      <c r="F6" s="1" t="s">
        <v>267</v>
      </c>
      <c r="G6" s="1" t="s">
        <v>266</v>
      </c>
      <c r="H6" s="1" t="s">
        <v>130</v>
      </c>
      <c r="I6" s="1" t="s">
        <v>5320</v>
      </c>
      <c r="J6" s="1">
        <v>2023</v>
      </c>
      <c r="K6" s="1" t="s">
        <v>5319</v>
      </c>
      <c r="L6" s="1" t="s">
        <v>5317</v>
      </c>
      <c r="P6" s="1" t="s">
        <v>5318</v>
      </c>
      <c r="Q6" s="1" t="s">
        <v>788</v>
      </c>
      <c r="R6" s="1" t="s">
        <v>5076</v>
      </c>
      <c r="S6" s="1" t="s">
        <v>5075</v>
      </c>
      <c r="T6" s="1" t="s">
        <v>5074</v>
      </c>
      <c r="V6" s="1" t="s">
        <v>5073</v>
      </c>
      <c r="W6" s="1" t="s">
        <v>5317</v>
      </c>
      <c r="Y6" s="3">
        <v>45462</v>
      </c>
      <c r="Z6" s="1">
        <v>2024</v>
      </c>
      <c r="AA6" s="2">
        <v>6618250</v>
      </c>
      <c r="AB6" s="2"/>
      <c r="AC6" s="2">
        <f>1147930.14+611632.36</f>
        <v>1759562.5</v>
      </c>
      <c r="AD6" s="1">
        <v>10</v>
      </c>
      <c r="AE6" s="1">
        <v>3</v>
      </c>
      <c r="AG6" s="1" t="s">
        <v>21</v>
      </c>
      <c r="AI6" s="2">
        <v>1759562.5</v>
      </c>
      <c r="AK6" s="1"/>
      <c r="AL6" s="1" t="s">
        <v>5316</v>
      </c>
    </row>
    <row r="7" spans="1:38" ht="15" customHeight="1" x14ac:dyDescent="0.2">
      <c r="A7" s="1" t="s">
        <v>19</v>
      </c>
      <c r="B7" s="5" t="s">
        <v>109</v>
      </c>
      <c r="C7" s="1" t="s">
        <v>37</v>
      </c>
      <c r="D7" s="1" t="s">
        <v>211</v>
      </c>
      <c r="E7" s="1" t="s">
        <v>35</v>
      </c>
      <c r="F7" s="1" t="s">
        <v>210</v>
      </c>
      <c r="G7" s="1" t="s">
        <v>209</v>
      </c>
      <c r="H7" s="1" t="s">
        <v>130</v>
      </c>
      <c r="I7" s="1" t="s">
        <v>5315</v>
      </c>
      <c r="J7" s="1">
        <v>2023</v>
      </c>
      <c r="K7" s="1" t="s">
        <v>5312</v>
      </c>
      <c r="L7" s="1" t="s">
        <v>5314</v>
      </c>
      <c r="P7" s="1" t="s">
        <v>5313</v>
      </c>
      <c r="Q7" s="1" t="s">
        <v>788</v>
      </c>
      <c r="R7" s="1" t="s">
        <v>5076</v>
      </c>
      <c r="S7" s="1" t="s">
        <v>5075</v>
      </c>
      <c r="T7" s="1" t="s">
        <v>5074</v>
      </c>
      <c r="V7" s="1" t="s">
        <v>5073</v>
      </c>
      <c r="W7" s="1" t="s">
        <v>5312</v>
      </c>
      <c r="Y7" s="3">
        <v>45478</v>
      </c>
      <c r="Z7" s="1">
        <v>2024</v>
      </c>
      <c r="AA7" s="2">
        <v>174686.68</v>
      </c>
      <c r="AB7" s="2"/>
      <c r="AC7" s="2">
        <v>43671.67</v>
      </c>
      <c r="AD7" s="1">
        <v>0</v>
      </c>
      <c r="AG7" s="1" t="s">
        <v>21</v>
      </c>
      <c r="AI7" s="2">
        <v>43671.67</v>
      </c>
      <c r="AK7" s="1"/>
    </row>
    <row r="8" spans="1:38" ht="15" customHeight="1" x14ac:dyDescent="0.2">
      <c r="A8" s="1" t="s">
        <v>19</v>
      </c>
      <c r="B8" s="5" t="s">
        <v>18</v>
      </c>
      <c r="C8" s="1" t="s">
        <v>37</v>
      </c>
      <c r="D8" s="1" t="s">
        <v>211</v>
      </c>
      <c r="E8" s="1" t="s">
        <v>35</v>
      </c>
      <c r="F8" s="1" t="s">
        <v>210</v>
      </c>
      <c r="G8" s="1" t="s">
        <v>209</v>
      </c>
      <c r="H8" s="1" t="s">
        <v>130</v>
      </c>
      <c r="I8" s="1" t="s">
        <v>5311</v>
      </c>
      <c r="J8" s="1">
        <v>2023</v>
      </c>
      <c r="K8" s="1" t="s">
        <v>5310</v>
      </c>
      <c r="L8" s="1" t="s">
        <v>5308</v>
      </c>
      <c r="P8" s="1" t="s">
        <v>5309</v>
      </c>
      <c r="Q8" s="1" t="s">
        <v>780</v>
      </c>
      <c r="R8" s="1" t="s">
        <v>4739</v>
      </c>
      <c r="S8" s="1" t="s">
        <v>4738</v>
      </c>
      <c r="T8" s="1" t="s">
        <v>4737</v>
      </c>
      <c r="V8" s="1" t="s">
        <v>4</v>
      </c>
      <c r="W8" s="1" t="s">
        <v>5308</v>
      </c>
      <c r="Y8" s="3">
        <v>45478</v>
      </c>
      <c r="Z8" s="1">
        <v>2024</v>
      </c>
      <c r="AA8" s="2">
        <v>124377.84000000001</v>
      </c>
      <c r="AB8" s="2"/>
      <c r="AC8" s="2">
        <v>61094.46</v>
      </c>
      <c r="AD8" s="1">
        <v>1</v>
      </c>
      <c r="AE8" s="1">
        <v>1</v>
      </c>
      <c r="AG8" s="1" t="s">
        <v>21</v>
      </c>
      <c r="AI8" s="2">
        <v>61094.46</v>
      </c>
      <c r="AK8" s="1"/>
    </row>
    <row r="9" spans="1:38" ht="15" customHeight="1" x14ac:dyDescent="0.2">
      <c r="A9" s="1" t="s">
        <v>18</v>
      </c>
      <c r="B9" s="5" t="s">
        <v>18</v>
      </c>
      <c r="C9" s="1" t="s">
        <v>17</v>
      </c>
      <c r="D9" s="1" t="s">
        <v>16</v>
      </c>
      <c r="E9" s="1" t="s">
        <v>35</v>
      </c>
      <c r="F9" s="1" t="s">
        <v>5307</v>
      </c>
      <c r="G9" s="1" t="s">
        <v>4895</v>
      </c>
      <c r="H9" s="1" t="s">
        <v>12</v>
      </c>
      <c r="I9" s="1" t="s">
        <v>5306</v>
      </c>
      <c r="J9" s="1">
        <v>2024</v>
      </c>
      <c r="K9" s="1" t="s">
        <v>5301</v>
      </c>
      <c r="L9" s="1" t="s">
        <v>5305</v>
      </c>
      <c r="P9" s="1" t="s">
        <v>5304</v>
      </c>
      <c r="Q9" s="1" t="s">
        <v>780</v>
      </c>
      <c r="R9" s="1" t="s">
        <v>4739</v>
      </c>
      <c r="S9" s="1" t="s">
        <v>5303</v>
      </c>
      <c r="T9" s="1" t="s">
        <v>5302</v>
      </c>
      <c r="U9" s="1">
        <v>0</v>
      </c>
      <c r="V9" s="1" t="s">
        <v>4</v>
      </c>
      <c r="W9" s="1" t="s">
        <v>5301</v>
      </c>
      <c r="Y9" s="3">
        <v>45869</v>
      </c>
      <c r="Z9" s="1">
        <v>2025</v>
      </c>
      <c r="AA9" s="1">
        <v>1783240</v>
      </c>
      <c r="AC9" s="2">
        <v>665750</v>
      </c>
      <c r="AG9" s="1" t="s">
        <v>1</v>
      </c>
      <c r="AI9" s="2">
        <v>665750</v>
      </c>
      <c r="AK9" s="1"/>
    </row>
    <row r="10" spans="1:38" ht="15" customHeight="1" x14ac:dyDescent="0.2">
      <c r="A10" s="1" t="s">
        <v>19</v>
      </c>
      <c r="B10" s="5" t="s">
        <v>18</v>
      </c>
      <c r="C10" s="1" t="s">
        <v>37</v>
      </c>
      <c r="D10" s="1" t="s">
        <v>63</v>
      </c>
      <c r="E10" s="1" t="s">
        <v>35</v>
      </c>
      <c r="G10" s="1" t="s">
        <v>288</v>
      </c>
      <c r="H10" s="1" t="s">
        <v>32</v>
      </c>
      <c r="I10" s="1" t="s">
        <v>5300</v>
      </c>
      <c r="J10" s="1">
        <v>2022</v>
      </c>
      <c r="K10" s="1" t="s">
        <v>5299</v>
      </c>
      <c r="L10" s="1" t="s">
        <v>5298</v>
      </c>
      <c r="N10" s="1" t="s">
        <v>5297</v>
      </c>
      <c r="P10" s="1" t="s">
        <v>5025</v>
      </c>
      <c r="Q10" s="1" t="s">
        <v>780</v>
      </c>
      <c r="R10" s="1" t="s">
        <v>4739</v>
      </c>
      <c r="S10" s="1" t="s">
        <v>5024</v>
      </c>
      <c r="T10" s="1" t="s">
        <v>5023</v>
      </c>
      <c r="V10" s="1" t="s">
        <v>4</v>
      </c>
      <c r="W10" s="1" t="s">
        <v>5296</v>
      </c>
      <c r="Y10" s="3">
        <v>45112</v>
      </c>
      <c r="Z10" s="1">
        <v>2023</v>
      </c>
      <c r="AA10" s="2">
        <v>297384.78000000003</v>
      </c>
      <c r="AB10" s="2"/>
      <c r="AC10" s="2">
        <v>297384.78000000003</v>
      </c>
      <c r="AG10" s="1" t="s">
        <v>21</v>
      </c>
      <c r="AI10" s="2">
        <v>297384.78000000003</v>
      </c>
      <c r="AK10" s="1"/>
    </row>
    <row r="11" spans="1:38" ht="15" customHeight="1" x14ac:dyDescent="0.2">
      <c r="A11" s="1" t="s">
        <v>19</v>
      </c>
      <c r="B11" s="5" t="s">
        <v>18</v>
      </c>
      <c r="C11" s="1" t="s">
        <v>37</v>
      </c>
      <c r="D11" s="1" t="s">
        <v>63</v>
      </c>
      <c r="E11" s="1" t="s">
        <v>35</v>
      </c>
      <c r="G11" s="1" t="s">
        <v>288</v>
      </c>
      <c r="H11" s="1" t="s">
        <v>32</v>
      </c>
      <c r="I11" s="1" t="s">
        <v>5295</v>
      </c>
      <c r="J11" s="1">
        <v>2022</v>
      </c>
      <c r="K11" s="1" t="s">
        <v>5294</v>
      </c>
      <c r="L11" s="1" t="s">
        <v>5293</v>
      </c>
      <c r="N11" s="1" t="s">
        <v>5292</v>
      </c>
      <c r="P11" s="1" t="s">
        <v>5291</v>
      </c>
      <c r="Q11" s="1" t="s">
        <v>788</v>
      </c>
      <c r="R11" s="1" t="s">
        <v>5076</v>
      </c>
      <c r="S11" s="1" t="s">
        <v>5290</v>
      </c>
      <c r="T11" s="1" t="s">
        <v>5289</v>
      </c>
      <c r="V11" s="1" t="s">
        <v>5073</v>
      </c>
      <c r="W11" s="1" t="s">
        <v>5288</v>
      </c>
      <c r="Y11" s="3">
        <v>45112</v>
      </c>
      <c r="Z11" s="1">
        <v>2023</v>
      </c>
      <c r="AA11" s="2">
        <v>1023580</v>
      </c>
      <c r="AB11" s="2"/>
      <c r="AC11" s="2">
        <v>1023580</v>
      </c>
      <c r="AG11" s="1" t="s">
        <v>21</v>
      </c>
      <c r="AI11" s="2">
        <v>1023580</v>
      </c>
      <c r="AK11" s="1"/>
    </row>
    <row r="12" spans="1:38" ht="15" customHeight="1" x14ac:dyDescent="0.25">
      <c r="A12" s="1" t="s">
        <v>19</v>
      </c>
      <c r="B12" s="14" t="s">
        <v>18</v>
      </c>
      <c r="C12" s="12" t="s">
        <v>37</v>
      </c>
      <c r="D12" s="1" t="s">
        <v>63</v>
      </c>
      <c r="E12" s="1" t="s">
        <v>35</v>
      </c>
      <c r="G12" s="1" t="s">
        <v>202</v>
      </c>
      <c r="H12" s="1" t="s">
        <v>32</v>
      </c>
      <c r="I12" s="12" t="s">
        <v>5287</v>
      </c>
      <c r="J12" s="1">
        <v>2024</v>
      </c>
      <c r="K12" s="1" t="s">
        <v>5286</v>
      </c>
      <c r="L12" s="1" t="s">
        <v>5285</v>
      </c>
      <c r="M12" s="1" t="s">
        <v>0</v>
      </c>
      <c r="N12" s="12" t="s">
        <v>5284</v>
      </c>
      <c r="P12" s="1" t="s">
        <v>5121</v>
      </c>
      <c r="Q12" s="1" t="s">
        <v>780</v>
      </c>
      <c r="R12" s="1" t="s">
        <v>4739</v>
      </c>
      <c r="S12" s="12" t="s">
        <v>5120</v>
      </c>
      <c r="T12" s="12" t="s">
        <v>5119</v>
      </c>
      <c r="U12" s="17"/>
      <c r="V12" s="12" t="s">
        <v>4</v>
      </c>
      <c r="W12" s="12" t="s">
        <v>5283</v>
      </c>
      <c r="X12" s="12" t="s">
        <v>2256</v>
      </c>
      <c r="Y12" s="13">
        <v>45799</v>
      </c>
      <c r="Z12" s="12">
        <v>2025</v>
      </c>
      <c r="AA12" s="11">
        <v>603156.12</v>
      </c>
      <c r="AB12" s="11"/>
      <c r="AC12" s="11">
        <v>603156.12</v>
      </c>
      <c r="AD12" s="2"/>
      <c r="AG12" s="1" t="s">
        <v>21</v>
      </c>
      <c r="AI12" s="11">
        <v>603156.12</v>
      </c>
      <c r="AK12" s="1"/>
    </row>
    <row r="13" spans="1:38" ht="15" customHeight="1" x14ac:dyDescent="0.2">
      <c r="A13" s="1" t="s">
        <v>19</v>
      </c>
      <c r="B13" s="5" t="s">
        <v>109</v>
      </c>
      <c r="C13" s="1" t="s">
        <v>17</v>
      </c>
      <c r="D13" s="1" t="s">
        <v>16</v>
      </c>
      <c r="E13" s="1" t="s">
        <v>35</v>
      </c>
      <c r="F13" s="1" t="s">
        <v>5233</v>
      </c>
      <c r="G13" s="1" t="s">
        <v>5232</v>
      </c>
      <c r="H13" s="1" t="s">
        <v>12</v>
      </c>
      <c r="I13" s="1" t="s">
        <v>5282</v>
      </c>
      <c r="J13" s="1">
        <v>2022</v>
      </c>
      <c r="K13" s="1" t="s">
        <v>5279</v>
      </c>
      <c r="L13" s="1" t="s">
        <v>5281</v>
      </c>
      <c r="P13" s="1" t="s">
        <v>5280</v>
      </c>
      <c r="Q13" s="1" t="s">
        <v>8</v>
      </c>
      <c r="R13" s="1" t="s">
        <v>7</v>
      </c>
      <c r="S13" s="1" t="s">
        <v>4747</v>
      </c>
      <c r="T13" s="1" t="s">
        <v>4746</v>
      </c>
      <c r="U13" s="2"/>
      <c r="V13" s="2" t="s">
        <v>4</v>
      </c>
      <c r="W13" s="2" t="s">
        <v>5279</v>
      </c>
      <c r="X13" s="1" t="s">
        <v>2</v>
      </c>
      <c r="Y13" s="3">
        <v>44840</v>
      </c>
      <c r="Z13" s="1">
        <v>2022</v>
      </c>
      <c r="AA13" s="1">
        <v>1233442</v>
      </c>
      <c r="AC13" s="2">
        <v>740065.2</v>
      </c>
      <c r="AF13" s="1" t="s">
        <v>5278</v>
      </c>
      <c r="AG13" s="1" t="s">
        <v>1</v>
      </c>
      <c r="AH13" s="1" t="s">
        <v>5278</v>
      </c>
      <c r="AI13" s="2">
        <v>740065.2</v>
      </c>
      <c r="AK13" s="1"/>
    </row>
    <row r="14" spans="1:38" ht="15" customHeight="1" x14ac:dyDescent="0.25">
      <c r="A14" s="1" t="s">
        <v>19</v>
      </c>
      <c r="B14" s="5" t="s">
        <v>18</v>
      </c>
      <c r="C14" s="1" t="s">
        <v>17</v>
      </c>
      <c r="D14" s="1" t="s">
        <v>16</v>
      </c>
      <c r="E14" s="1" t="s">
        <v>35</v>
      </c>
      <c r="F14" s="1" t="s">
        <v>3699</v>
      </c>
      <c r="G14" s="1" t="s">
        <v>3698</v>
      </c>
      <c r="H14" s="1" t="s">
        <v>12</v>
      </c>
      <c r="I14" s="1" t="s">
        <v>5277</v>
      </c>
      <c r="J14" s="1">
        <v>2024</v>
      </c>
      <c r="K14" s="1" t="s">
        <v>5276</v>
      </c>
      <c r="L14" s="1" t="s">
        <v>5275</v>
      </c>
      <c r="P14" s="1" t="s">
        <v>5274</v>
      </c>
      <c r="Q14" s="40" t="s">
        <v>8</v>
      </c>
      <c r="R14" s="12" t="s">
        <v>5273</v>
      </c>
      <c r="S14" s="1" t="s">
        <v>5166</v>
      </c>
      <c r="T14" s="1" t="s">
        <v>5165</v>
      </c>
      <c r="V14" s="1" t="s">
        <v>4</v>
      </c>
      <c r="W14" s="12" t="s">
        <v>5272</v>
      </c>
      <c r="X14" s="1" t="s">
        <v>2</v>
      </c>
      <c r="Y14" s="3">
        <v>45958</v>
      </c>
      <c r="Z14" s="1">
        <v>2025</v>
      </c>
      <c r="AA14" s="2">
        <v>283979.23</v>
      </c>
      <c r="AB14" s="2"/>
      <c r="AC14" s="2">
        <v>113125.47</v>
      </c>
      <c r="AG14" s="1" t="s">
        <v>1</v>
      </c>
      <c r="AI14" s="2">
        <v>113125.47</v>
      </c>
      <c r="AK14" s="1"/>
    </row>
    <row r="15" spans="1:38" ht="15" customHeight="1" x14ac:dyDescent="0.2">
      <c r="A15" s="1" t="s">
        <v>19</v>
      </c>
      <c r="B15" s="5" t="s">
        <v>109</v>
      </c>
      <c r="C15" s="1" t="s">
        <v>37</v>
      </c>
      <c r="D15" s="1" t="s">
        <v>211</v>
      </c>
      <c r="E15" s="1" t="s">
        <v>35</v>
      </c>
      <c r="F15" s="1" t="s">
        <v>267</v>
      </c>
      <c r="G15" s="1" t="s">
        <v>266</v>
      </c>
      <c r="H15" s="1" t="s">
        <v>130</v>
      </c>
      <c r="I15" s="1" t="s">
        <v>5271</v>
      </c>
      <c r="J15" s="1">
        <v>2023</v>
      </c>
      <c r="K15" s="1" t="s">
        <v>5269</v>
      </c>
      <c r="L15" s="1" t="s">
        <v>5270</v>
      </c>
      <c r="P15" s="1" t="s">
        <v>5217</v>
      </c>
      <c r="Q15" s="1" t="s">
        <v>788</v>
      </c>
      <c r="R15" s="1" t="s">
        <v>5076</v>
      </c>
      <c r="S15" s="1" t="s">
        <v>5104</v>
      </c>
      <c r="T15" s="1" t="s">
        <v>5103</v>
      </c>
      <c r="V15" s="1" t="s">
        <v>5073</v>
      </c>
      <c r="W15" s="1" t="s">
        <v>5269</v>
      </c>
      <c r="Y15" s="3">
        <v>45462</v>
      </c>
      <c r="Z15" s="1">
        <v>2024</v>
      </c>
      <c r="AA15" s="2">
        <v>648129.39</v>
      </c>
      <c r="AB15" s="2"/>
      <c r="AC15" s="2">
        <v>213407.35</v>
      </c>
      <c r="AD15" s="1">
        <v>4.0999999999999996</v>
      </c>
      <c r="AE15" s="1">
        <v>2.25</v>
      </c>
      <c r="AG15" s="1" t="s">
        <v>21</v>
      </c>
      <c r="AI15" s="2">
        <v>213407.35</v>
      </c>
      <c r="AK15" s="1"/>
    </row>
    <row r="16" spans="1:38" ht="15" customHeight="1" x14ac:dyDescent="0.2">
      <c r="A16" s="1" t="s">
        <v>19</v>
      </c>
      <c r="B16" s="5" t="s">
        <v>18</v>
      </c>
      <c r="C16" s="1" t="s">
        <v>17</v>
      </c>
      <c r="D16" s="1" t="s">
        <v>16</v>
      </c>
      <c r="E16" s="1" t="s">
        <v>35</v>
      </c>
      <c r="F16" s="1" t="s">
        <v>1575</v>
      </c>
      <c r="G16" s="1" t="s">
        <v>1574</v>
      </c>
      <c r="H16" s="1" t="s">
        <v>12</v>
      </c>
      <c r="I16" s="1" t="s">
        <v>5268</v>
      </c>
      <c r="J16" s="1">
        <v>2023</v>
      </c>
      <c r="K16" s="1" t="s">
        <v>4970</v>
      </c>
      <c r="L16" s="1" t="s">
        <v>4970</v>
      </c>
      <c r="N16" s="1" t="s">
        <v>4928</v>
      </c>
      <c r="P16" s="1" t="s">
        <v>5267</v>
      </c>
      <c r="Q16" s="1" t="s">
        <v>27</v>
      </c>
      <c r="R16" s="1" t="s">
        <v>26</v>
      </c>
      <c r="S16" s="1" t="s">
        <v>2624</v>
      </c>
      <c r="T16" s="1" t="s">
        <v>2623</v>
      </c>
      <c r="U16" s="1">
        <v>2</v>
      </c>
      <c r="V16" s="1" t="s">
        <v>2439</v>
      </c>
      <c r="W16" s="1" t="s">
        <v>5266</v>
      </c>
      <c r="X16" s="1" t="s">
        <v>2</v>
      </c>
      <c r="Y16" s="3">
        <v>45786</v>
      </c>
      <c r="Z16" s="1">
        <v>2025</v>
      </c>
      <c r="AA16" s="2">
        <v>737411.2</v>
      </c>
      <c r="AB16" s="2"/>
      <c r="AC16" s="2">
        <v>737411.2</v>
      </c>
      <c r="AD16" s="1">
        <v>14.5</v>
      </c>
      <c r="AG16" s="2" t="s">
        <v>1</v>
      </c>
      <c r="AI16" s="2">
        <v>737411.2</v>
      </c>
      <c r="AK16" s="1"/>
      <c r="AL16" s="1" t="s">
        <v>4969</v>
      </c>
    </row>
    <row r="17" spans="1:38" ht="15" customHeight="1" x14ac:dyDescent="0.25">
      <c r="A17" s="1" t="s">
        <v>19</v>
      </c>
      <c r="B17" s="5" t="s">
        <v>18</v>
      </c>
      <c r="C17" s="1" t="s">
        <v>37</v>
      </c>
      <c r="D17" s="1" t="s">
        <v>63</v>
      </c>
      <c r="E17" s="1" t="s">
        <v>35</v>
      </c>
      <c r="G17" s="1" t="s">
        <v>288</v>
      </c>
      <c r="H17" s="1" t="s">
        <v>32</v>
      </c>
      <c r="I17" s="1" t="s">
        <v>5265</v>
      </c>
      <c r="J17" s="1">
        <v>2022</v>
      </c>
      <c r="K17" s="1" t="s">
        <v>5264</v>
      </c>
      <c r="L17" s="1" t="s">
        <v>5263</v>
      </c>
      <c r="P17" s="1" t="s">
        <v>5262</v>
      </c>
      <c r="Q17" s="1" t="s">
        <v>780</v>
      </c>
      <c r="R17" s="1" t="s">
        <v>4739</v>
      </c>
      <c r="S17" s="10" t="s">
        <v>5261</v>
      </c>
      <c r="T17" s="1" t="s">
        <v>5260</v>
      </c>
      <c r="V17" s="1" t="s">
        <v>4</v>
      </c>
      <c r="W17" s="1" t="s">
        <v>5259</v>
      </c>
      <c r="Y17" s="3">
        <v>45112</v>
      </c>
      <c r="Z17" s="1">
        <v>2023</v>
      </c>
      <c r="AA17" s="2">
        <v>413107.6</v>
      </c>
      <c r="AB17" s="2"/>
      <c r="AC17" s="2">
        <v>413107.6</v>
      </c>
      <c r="AG17" s="1" t="s">
        <v>21</v>
      </c>
      <c r="AI17" s="2">
        <v>413107.6</v>
      </c>
      <c r="AK17" s="1"/>
    </row>
    <row r="18" spans="1:38" ht="15" customHeight="1" x14ac:dyDescent="0.2">
      <c r="A18" s="1" t="s">
        <v>19</v>
      </c>
      <c r="B18" s="5" t="s">
        <v>18</v>
      </c>
      <c r="C18" s="1" t="s">
        <v>37</v>
      </c>
      <c r="D18" s="1" t="s">
        <v>63</v>
      </c>
      <c r="E18" s="1" t="s">
        <v>35</v>
      </c>
      <c r="G18" s="1" t="s">
        <v>288</v>
      </c>
      <c r="H18" s="1" t="s">
        <v>32</v>
      </c>
      <c r="I18" s="1" t="s">
        <v>5258</v>
      </c>
      <c r="J18" s="1">
        <v>2022</v>
      </c>
      <c r="K18" s="1" t="s">
        <v>5257</v>
      </c>
      <c r="L18" s="1" t="s">
        <v>5256</v>
      </c>
      <c r="N18" s="1" t="s">
        <v>5255</v>
      </c>
      <c r="P18" s="1" t="s">
        <v>5254</v>
      </c>
      <c r="Q18" s="1" t="s">
        <v>780</v>
      </c>
      <c r="R18" s="1" t="s">
        <v>4739</v>
      </c>
      <c r="S18" s="1" t="s">
        <v>5253</v>
      </c>
      <c r="T18" s="1" t="s">
        <v>5252</v>
      </c>
      <c r="V18" s="1" t="s">
        <v>4</v>
      </c>
      <c r="W18" s="1" t="s">
        <v>5251</v>
      </c>
      <c r="Y18" s="3">
        <v>45112</v>
      </c>
      <c r="Z18" s="1">
        <v>2023</v>
      </c>
      <c r="AA18" s="2">
        <v>223846.43</v>
      </c>
      <c r="AB18" s="2"/>
      <c r="AC18" s="2">
        <v>223846.43</v>
      </c>
      <c r="AG18" s="1" t="s">
        <v>21</v>
      </c>
      <c r="AI18" s="2">
        <v>223846.43</v>
      </c>
      <c r="AK18" s="1"/>
    </row>
    <row r="19" spans="1:38" ht="15" customHeight="1" x14ac:dyDescent="0.2">
      <c r="A19" s="1" t="s">
        <v>19</v>
      </c>
      <c r="B19" s="5" t="s">
        <v>18</v>
      </c>
      <c r="C19" s="1" t="s">
        <v>37</v>
      </c>
      <c r="D19" s="1" t="s">
        <v>63</v>
      </c>
      <c r="E19" s="1" t="s">
        <v>35</v>
      </c>
      <c r="G19" s="1" t="s">
        <v>288</v>
      </c>
      <c r="H19" s="1" t="s">
        <v>32</v>
      </c>
      <c r="I19" s="1" t="s">
        <v>5250</v>
      </c>
      <c r="J19" s="1">
        <v>2022</v>
      </c>
      <c r="K19" s="1" t="s">
        <v>5249</v>
      </c>
      <c r="L19" s="1" t="s">
        <v>5248</v>
      </c>
      <c r="N19" s="1" t="s">
        <v>5247</v>
      </c>
      <c r="P19" s="1" t="s">
        <v>5246</v>
      </c>
      <c r="Q19" s="1" t="s">
        <v>788</v>
      </c>
      <c r="R19" s="1" t="s">
        <v>5076</v>
      </c>
      <c r="S19" s="1" t="s">
        <v>5245</v>
      </c>
      <c r="T19" s="1" t="s">
        <v>5244</v>
      </c>
      <c r="V19" s="1" t="s">
        <v>5073</v>
      </c>
      <c r="W19" s="1" t="s">
        <v>5243</v>
      </c>
      <c r="Y19" s="3">
        <v>45112</v>
      </c>
      <c r="Z19" s="1">
        <v>2023</v>
      </c>
      <c r="AA19" s="2">
        <v>225928.27</v>
      </c>
      <c r="AB19" s="2"/>
      <c r="AC19" s="2">
        <v>225928.27</v>
      </c>
      <c r="AG19" s="1" t="s">
        <v>21</v>
      </c>
      <c r="AI19" s="2">
        <v>225928.27</v>
      </c>
      <c r="AK19" s="1"/>
    </row>
    <row r="20" spans="1:38" ht="15" customHeight="1" x14ac:dyDescent="0.2">
      <c r="A20" s="1" t="s">
        <v>19</v>
      </c>
      <c r="B20" s="5" t="s">
        <v>18</v>
      </c>
      <c r="C20" s="1" t="s">
        <v>17</v>
      </c>
      <c r="D20" s="1" t="s">
        <v>16</v>
      </c>
      <c r="E20" s="1" t="s">
        <v>35</v>
      </c>
      <c r="F20" s="1" t="s">
        <v>1575</v>
      </c>
      <c r="G20" s="1" t="s">
        <v>1574</v>
      </c>
      <c r="H20" s="1" t="s">
        <v>12</v>
      </c>
      <c r="I20" s="1" t="s">
        <v>5242</v>
      </c>
      <c r="J20" s="1">
        <v>2023</v>
      </c>
      <c r="K20" s="1" t="s">
        <v>5241</v>
      </c>
      <c r="L20" s="1" t="s">
        <v>5239</v>
      </c>
      <c r="P20" s="1" t="s">
        <v>5240</v>
      </c>
      <c r="Q20" s="1" t="s">
        <v>27</v>
      </c>
      <c r="R20" s="1" t="s">
        <v>26</v>
      </c>
      <c r="S20" s="1" t="s">
        <v>434</v>
      </c>
      <c r="T20" s="1" t="s">
        <v>433</v>
      </c>
      <c r="U20" s="1">
        <v>1</v>
      </c>
      <c r="V20" s="1" t="s">
        <v>432</v>
      </c>
      <c r="W20" s="1" t="s">
        <v>5239</v>
      </c>
      <c r="X20" s="1" t="s">
        <v>2</v>
      </c>
      <c r="Y20" s="3">
        <v>45786</v>
      </c>
      <c r="Z20" s="1">
        <v>2025</v>
      </c>
      <c r="AA20" s="2">
        <v>17861783.27</v>
      </c>
      <c r="AB20" s="2"/>
      <c r="AC20" s="2">
        <v>5254481.16</v>
      </c>
      <c r="AD20" s="1">
        <v>0</v>
      </c>
      <c r="AG20" s="2" t="s">
        <v>1</v>
      </c>
      <c r="AI20" s="2">
        <v>5254481.16</v>
      </c>
      <c r="AK20" s="1"/>
      <c r="AL20" s="1" t="s">
        <v>5238</v>
      </c>
    </row>
    <row r="21" spans="1:38" ht="15" customHeight="1" x14ac:dyDescent="0.2">
      <c r="A21" s="1" t="s">
        <v>19</v>
      </c>
      <c r="B21" s="5" t="s">
        <v>18</v>
      </c>
      <c r="C21" s="1" t="s">
        <v>17</v>
      </c>
      <c r="D21" s="1" t="s">
        <v>16</v>
      </c>
      <c r="E21" s="1" t="s">
        <v>15</v>
      </c>
      <c r="F21" s="1" t="s">
        <v>1554</v>
      </c>
      <c r="G21" s="1" t="s">
        <v>1553</v>
      </c>
      <c r="H21" s="1" t="s">
        <v>12</v>
      </c>
      <c r="I21" s="1" t="s">
        <v>5237</v>
      </c>
      <c r="J21" s="1">
        <v>2022</v>
      </c>
      <c r="K21" s="1" t="s">
        <v>5236</v>
      </c>
      <c r="L21" s="1" t="s">
        <v>5234</v>
      </c>
      <c r="N21" s="1" t="s">
        <v>5017</v>
      </c>
      <c r="P21" s="1" t="s">
        <v>1799</v>
      </c>
      <c r="Q21" s="1" t="s">
        <v>27</v>
      </c>
      <c r="R21" s="1" t="s">
        <v>26</v>
      </c>
      <c r="S21" s="1" t="s">
        <v>522</v>
      </c>
      <c r="T21" s="1" t="s">
        <v>521</v>
      </c>
      <c r="U21" s="1">
        <v>1</v>
      </c>
      <c r="V21" s="1" t="s">
        <v>5235</v>
      </c>
      <c r="W21" s="1" t="s">
        <v>5234</v>
      </c>
      <c r="Y21" s="3">
        <v>45254</v>
      </c>
      <c r="Z21" s="1">
        <v>2023</v>
      </c>
      <c r="AA21" s="2">
        <v>247350</v>
      </c>
      <c r="AB21" s="2"/>
      <c r="AC21" s="2">
        <v>98940</v>
      </c>
      <c r="AG21" s="1" t="s">
        <v>1</v>
      </c>
      <c r="AI21" s="2">
        <v>98940</v>
      </c>
      <c r="AK21" s="1"/>
    </row>
    <row r="22" spans="1:38" ht="15" customHeight="1" x14ac:dyDescent="0.25">
      <c r="A22" s="1" t="s">
        <v>19</v>
      </c>
      <c r="B22" s="5" t="s">
        <v>109</v>
      </c>
      <c r="C22" s="1" t="s">
        <v>17</v>
      </c>
      <c r="D22" s="1" t="s">
        <v>16</v>
      </c>
      <c r="E22" s="35" t="s">
        <v>15</v>
      </c>
      <c r="F22" s="1" t="s">
        <v>5233</v>
      </c>
      <c r="G22" s="1" t="s">
        <v>5232</v>
      </c>
      <c r="H22" s="1" t="s">
        <v>12</v>
      </c>
      <c r="I22" s="1" t="s">
        <v>5231</v>
      </c>
      <c r="J22" s="1">
        <v>2022</v>
      </c>
      <c r="K22" s="1" t="s">
        <v>5230</v>
      </c>
      <c r="L22" s="1" t="s">
        <v>5229</v>
      </c>
      <c r="P22" s="1" t="s">
        <v>5228</v>
      </c>
      <c r="Q22" s="1" t="s">
        <v>780</v>
      </c>
      <c r="R22" s="1" t="s">
        <v>4739</v>
      </c>
      <c r="S22" s="1" t="s">
        <v>4738</v>
      </c>
      <c r="T22" s="1" t="s">
        <v>4737</v>
      </c>
      <c r="V22" s="1" t="s">
        <v>4</v>
      </c>
      <c r="Y22" s="3">
        <v>44840</v>
      </c>
      <c r="Z22" s="1">
        <v>2022</v>
      </c>
      <c r="AA22" s="2">
        <v>7239800</v>
      </c>
      <c r="AB22" s="2"/>
      <c r="AC22" s="2">
        <v>3707400</v>
      </c>
      <c r="AG22" s="1" t="s">
        <v>1</v>
      </c>
      <c r="AI22" s="2">
        <v>3707400</v>
      </c>
      <c r="AK22" s="1"/>
      <c r="AL22" s="9" t="s">
        <v>5227</v>
      </c>
    </row>
    <row r="23" spans="1:38" ht="15" customHeight="1" x14ac:dyDescent="0.2">
      <c r="A23" s="1" t="s">
        <v>19</v>
      </c>
      <c r="B23" s="5" t="s">
        <v>18</v>
      </c>
      <c r="C23" s="1" t="s">
        <v>37</v>
      </c>
      <c r="D23" s="1" t="s">
        <v>211</v>
      </c>
      <c r="E23" s="1" t="s">
        <v>35</v>
      </c>
      <c r="F23" s="1" t="s">
        <v>210</v>
      </c>
      <c r="G23" s="1" t="s">
        <v>209</v>
      </c>
      <c r="H23" s="1" t="s">
        <v>130</v>
      </c>
      <c r="I23" s="1" t="s">
        <v>5226</v>
      </c>
      <c r="J23" s="1">
        <v>2023</v>
      </c>
      <c r="K23" s="1" t="s">
        <v>5225</v>
      </c>
      <c r="L23" s="1" t="s">
        <v>5222</v>
      </c>
      <c r="N23" s="1" t="s">
        <v>5224</v>
      </c>
      <c r="P23" s="1" t="s">
        <v>5223</v>
      </c>
      <c r="Q23" s="1" t="s">
        <v>8</v>
      </c>
      <c r="R23" s="1" t="s">
        <v>7</v>
      </c>
      <c r="S23" s="1" t="s">
        <v>4747</v>
      </c>
      <c r="T23" s="1" t="s">
        <v>4746</v>
      </c>
      <c r="V23" s="1" t="s">
        <v>4</v>
      </c>
      <c r="W23" s="1" t="s">
        <v>5222</v>
      </c>
      <c r="Y23" s="3">
        <v>45478</v>
      </c>
      <c r="Z23" s="1">
        <v>2024</v>
      </c>
      <c r="AA23" s="2">
        <v>418450</v>
      </c>
      <c r="AB23" s="2"/>
      <c r="AC23" s="2">
        <v>190000</v>
      </c>
      <c r="AD23" s="1">
        <v>3</v>
      </c>
      <c r="AE23" s="1">
        <v>1</v>
      </c>
      <c r="AG23" s="1" t="s">
        <v>21</v>
      </c>
      <c r="AI23" s="2">
        <v>190000</v>
      </c>
      <c r="AK23" s="1"/>
    </row>
    <row r="24" spans="1:38" ht="15" customHeight="1" x14ac:dyDescent="0.2">
      <c r="A24" s="1" t="s">
        <v>19</v>
      </c>
      <c r="B24" s="5" t="s">
        <v>18</v>
      </c>
      <c r="C24" s="1" t="s">
        <v>37</v>
      </c>
      <c r="D24" s="1" t="s">
        <v>211</v>
      </c>
      <c r="E24" s="1" t="s">
        <v>35</v>
      </c>
      <c r="F24" s="1" t="s">
        <v>210</v>
      </c>
      <c r="G24" s="1" t="s">
        <v>209</v>
      </c>
      <c r="H24" s="1" t="s">
        <v>130</v>
      </c>
      <c r="I24" s="1" t="s">
        <v>5221</v>
      </c>
      <c r="J24" s="1">
        <v>2023</v>
      </c>
      <c r="K24" s="1" t="s">
        <v>5220</v>
      </c>
      <c r="L24" s="1" t="s">
        <v>5219</v>
      </c>
      <c r="N24" s="1" t="s">
        <v>5218</v>
      </c>
      <c r="P24" s="1" t="s">
        <v>5217</v>
      </c>
      <c r="Q24" s="1" t="s">
        <v>788</v>
      </c>
      <c r="R24" s="1" t="s">
        <v>5076</v>
      </c>
      <c r="S24" s="1" t="s">
        <v>5104</v>
      </c>
      <c r="T24" s="1" t="s">
        <v>5103</v>
      </c>
      <c r="V24" s="1" t="s">
        <v>5073</v>
      </c>
      <c r="W24" s="1" t="s">
        <v>5216</v>
      </c>
      <c r="Y24" s="3">
        <v>45478</v>
      </c>
      <c r="Z24" s="1">
        <v>2024</v>
      </c>
      <c r="AA24" s="2">
        <v>177842.26</v>
      </c>
      <c r="AB24" s="2"/>
      <c r="AC24" s="2">
        <v>88921.13</v>
      </c>
      <c r="AD24" s="1">
        <v>1.6</v>
      </c>
      <c r="AE24" s="1">
        <v>1.6</v>
      </c>
      <c r="AG24" s="1" t="s">
        <v>21</v>
      </c>
      <c r="AI24" s="2">
        <v>88921.13</v>
      </c>
      <c r="AK24" s="1"/>
    </row>
    <row r="25" spans="1:38" ht="15" customHeight="1" x14ac:dyDescent="0.2">
      <c r="A25" s="1" t="s">
        <v>19</v>
      </c>
      <c r="B25" s="5" t="s">
        <v>18</v>
      </c>
      <c r="C25" s="1" t="s">
        <v>37</v>
      </c>
      <c r="D25" s="1" t="s">
        <v>211</v>
      </c>
      <c r="E25" s="1" t="s">
        <v>35</v>
      </c>
      <c r="F25" s="1" t="s">
        <v>210</v>
      </c>
      <c r="G25" s="1" t="s">
        <v>209</v>
      </c>
      <c r="H25" s="1" t="s">
        <v>130</v>
      </c>
      <c r="I25" s="1" t="s">
        <v>5215</v>
      </c>
      <c r="J25" s="1">
        <v>2023</v>
      </c>
      <c r="K25" s="1" t="s">
        <v>5210</v>
      </c>
      <c r="L25" s="1" t="s">
        <v>5214</v>
      </c>
      <c r="P25" s="1" t="s">
        <v>5213</v>
      </c>
      <c r="Q25" s="1" t="s">
        <v>788</v>
      </c>
      <c r="R25" s="1" t="s">
        <v>5076</v>
      </c>
      <c r="S25" s="1" t="s">
        <v>5212</v>
      </c>
      <c r="T25" s="1" t="s">
        <v>5211</v>
      </c>
      <c r="V25" s="1" t="s">
        <v>5073</v>
      </c>
      <c r="W25" s="1" t="s">
        <v>5210</v>
      </c>
      <c r="Y25" s="3">
        <v>45478</v>
      </c>
      <c r="Z25" s="1">
        <v>2024</v>
      </c>
      <c r="AA25" s="2">
        <v>395874.15</v>
      </c>
      <c r="AB25" s="2"/>
      <c r="AC25" s="2">
        <v>128968.54</v>
      </c>
      <c r="AD25" s="1">
        <v>1</v>
      </c>
      <c r="AG25" s="1" t="s">
        <v>21</v>
      </c>
      <c r="AI25" s="2">
        <v>128968.54</v>
      </c>
      <c r="AK25" s="1"/>
    </row>
    <row r="26" spans="1:38" ht="15" customHeight="1" x14ac:dyDescent="0.2">
      <c r="A26" s="1" t="s">
        <v>19</v>
      </c>
      <c r="B26" s="5" t="s">
        <v>18</v>
      </c>
      <c r="C26" s="1" t="s">
        <v>37</v>
      </c>
      <c r="D26" s="1" t="s">
        <v>211</v>
      </c>
      <c r="E26" s="1" t="s">
        <v>35</v>
      </c>
      <c r="F26" s="1" t="s">
        <v>210</v>
      </c>
      <c r="G26" s="1" t="s">
        <v>209</v>
      </c>
      <c r="H26" s="1" t="s">
        <v>130</v>
      </c>
      <c r="I26" s="1" t="s">
        <v>5209</v>
      </c>
      <c r="J26" s="1">
        <v>2023</v>
      </c>
      <c r="K26" s="1" t="s">
        <v>5205</v>
      </c>
      <c r="L26" s="1" t="s">
        <v>5208</v>
      </c>
      <c r="N26" s="1" t="s">
        <v>5207</v>
      </c>
      <c r="P26" s="1" t="s">
        <v>5206</v>
      </c>
      <c r="Q26" s="1" t="s">
        <v>8</v>
      </c>
      <c r="R26" s="1" t="s">
        <v>7</v>
      </c>
      <c r="S26" s="1" t="s">
        <v>5136</v>
      </c>
      <c r="T26" s="1" t="s">
        <v>5135</v>
      </c>
      <c r="V26" s="1" t="s">
        <v>4</v>
      </c>
      <c r="W26" s="1" t="s">
        <v>5205</v>
      </c>
      <c r="Y26" s="3">
        <v>45478</v>
      </c>
      <c r="Z26" s="1">
        <v>2024</v>
      </c>
      <c r="AA26" s="2">
        <v>49667.7</v>
      </c>
      <c r="AB26" s="2"/>
      <c r="AC26" s="2">
        <v>24833.85</v>
      </c>
      <c r="AD26" s="1">
        <v>3</v>
      </c>
      <c r="AE26" s="1">
        <v>3</v>
      </c>
      <c r="AG26" s="1" t="s">
        <v>21</v>
      </c>
      <c r="AI26" s="2">
        <v>24833.85</v>
      </c>
      <c r="AK26" s="1"/>
    </row>
    <row r="27" spans="1:38" ht="15" customHeight="1" x14ac:dyDescent="0.25">
      <c r="A27" s="7" t="s">
        <v>19</v>
      </c>
      <c r="B27" s="58" t="s">
        <v>18</v>
      </c>
      <c r="C27" s="1" t="s">
        <v>17</v>
      </c>
      <c r="D27" s="1" t="s">
        <v>16</v>
      </c>
      <c r="E27" s="35" t="s">
        <v>35</v>
      </c>
      <c r="F27" s="7" t="s">
        <v>1575</v>
      </c>
      <c r="G27" s="1" t="s">
        <v>1574</v>
      </c>
      <c r="H27" s="1" t="s">
        <v>12</v>
      </c>
      <c r="I27" s="1" t="s">
        <v>5204</v>
      </c>
      <c r="J27" s="1">
        <v>2023</v>
      </c>
      <c r="K27" s="1" t="s">
        <v>5203</v>
      </c>
      <c r="L27" s="1" t="s">
        <v>5202</v>
      </c>
      <c r="N27" s="1" t="s">
        <v>5201</v>
      </c>
      <c r="P27" s="1" t="s">
        <v>1799</v>
      </c>
      <c r="Q27" s="1" t="s">
        <v>27</v>
      </c>
      <c r="R27" s="1" t="s">
        <v>26</v>
      </c>
      <c r="S27" s="1" t="s">
        <v>2463</v>
      </c>
      <c r="T27" s="1" t="s">
        <v>2462</v>
      </c>
      <c r="U27" s="1">
        <v>1</v>
      </c>
      <c r="V27" s="1" t="s">
        <v>2439</v>
      </c>
      <c r="W27" s="1" t="s">
        <v>5200</v>
      </c>
      <c r="X27" s="1" t="s">
        <v>2</v>
      </c>
      <c r="Y27" s="3">
        <v>45786</v>
      </c>
      <c r="Z27" s="1">
        <v>2025</v>
      </c>
      <c r="AA27" s="2">
        <v>1455825</v>
      </c>
      <c r="AB27" s="2"/>
      <c r="AC27" s="2">
        <v>383684.5</v>
      </c>
      <c r="AD27" s="1">
        <v>0</v>
      </c>
      <c r="AG27" s="2" t="s">
        <v>1</v>
      </c>
      <c r="AI27" s="2">
        <v>383684.5</v>
      </c>
      <c r="AK27" s="1"/>
      <c r="AL27" s="1" t="s">
        <v>5199</v>
      </c>
    </row>
    <row r="28" spans="1:38" ht="15" customHeight="1" x14ac:dyDescent="0.2">
      <c r="A28" s="1" t="s">
        <v>19</v>
      </c>
      <c r="B28" s="5" t="s">
        <v>109</v>
      </c>
      <c r="C28" s="1" t="s">
        <v>17</v>
      </c>
      <c r="D28" s="1" t="s">
        <v>16</v>
      </c>
      <c r="E28" s="1" t="s">
        <v>35</v>
      </c>
      <c r="F28" s="1" t="s">
        <v>14</v>
      </c>
      <c r="G28" s="1" t="s">
        <v>13</v>
      </c>
      <c r="H28" s="1" t="s">
        <v>12</v>
      </c>
      <c r="I28" s="1" t="s">
        <v>5198</v>
      </c>
      <c r="J28" s="1">
        <v>2022</v>
      </c>
      <c r="K28" s="1" t="s">
        <v>5195</v>
      </c>
      <c r="L28" s="1" t="s">
        <v>5197</v>
      </c>
      <c r="P28" s="1" t="s">
        <v>5196</v>
      </c>
      <c r="Q28" s="1" t="s">
        <v>780</v>
      </c>
      <c r="R28" s="1" t="s">
        <v>4739</v>
      </c>
      <c r="S28" s="1" t="s">
        <v>4738</v>
      </c>
      <c r="T28" s="1" t="s">
        <v>4737</v>
      </c>
      <c r="V28" s="1" t="s">
        <v>4</v>
      </c>
      <c r="W28" s="1" t="s">
        <v>5195</v>
      </c>
      <c r="X28" s="1" t="s">
        <v>2</v>
      </c>
      <c r="Y28" s="3">
        <v>45208</v>
      </c>
      <c r="Z28" s="1">
        <v>2023</v>
      </c>
      <c r="AA28" s="2">
        <v>229478.24</v>
      </c>
      <c r="AB28" s="2"/>
      <c r="AC28" s="2">
        <v>183582.59</v>
      </c>
      <c r="AG28" s="1" t="s">
        <v>1522</v>
      </c>
      <c r="AH28" s="1" t="s">
        <v>1521</v>
      </c>
      <c r="AI28" s="2">
        <v>0</v>
      </c>
      <c r="AK28" s="1"/>
    </row>
    <row r="29" spans="1:38" ht="15" customHeight="1" x14ac:dyDescent="0.2">
      <c r="A29" s="1" t="s">
        <v>19</v>
      </c>
      <c r="B29" s="5" t="s">
        <v>18</v>
      </c>
      <c r="C29" s="1" t="s">
        <v>37</v>
      </c>
      <c r="D29" s="1" t="s">
        <v>63</v>
      </c>
      <c r="E29" s="1" t="s">
        <v>35</v>
      </c>
      <c r="G29" s="1" t="s">
        <v>288</v>
      </c>
      <c r="H29" s="1" t="s">
        <v>32</v>
      </c>
      <c r="I29" s="1" t="s">
        <v>5194</v>
      </c>
      <c r="J29" s="1">
        <v>2022</v>
      </c>
      <c r="K29" s="1" t="s">
        <v>5193</v>
      </c>
      <c r="L29" s="1" t="s">
        <v>5192</v>
      </c>
      <c r="P29" s="1" t="s">
        <v>5191</v>
      </c>
      <c r="Q29" s="1" t="s">
        <v>780</v>
      </c>
      <c r="R29" s="1" t="s">
        <v>4739</v>
      </c>
      <c r="S29" s="1" t="s">
        <v>5190</v>
      </c>
      <c r="T29" s="1" t="s">
        <v>5189</v>
      </c>
      <c r="V29" s="1" t="s">
        <v>4</v>
      </c>
      <c r="W29" s="1" t="s">
        <v>5188</v>
      </c>
      <c r="Y29" s="3">
        <v>45112</v>
      </c>
      <c r="Z29" s="1">
        <v>2023</v>
      </c>
      <c r="AA29" s="2">
        <v>80757.289999999994</v>
      </c>
      <c r="AB29" s="2"/>
      <c r="AC29" s="2">
        <v>80757.289999999994</v>
      </c>
      <c r="AG29" s="1" t="s">
        <v>21</v>
      </c>
      <c r="AI29" s="2">
        <v>80757.289999999994</v>
      </c>
      <c r="AK29" s="1"/>
    </row>
    <row r="30" spans="1:38" ht="15" customHeight="1" x14ac:dyDescent="0.2">
      <c r="A30" s="1" t="s">
        <v>19</v>
      </c>
      <c r="B30" s="5" t="s">
        <v>109</v>
      </c>
      <c r="C30" s="1" t="s">
        <v>37</v>
      </c>
      <c r="D30" s="1" t="s">
        <v>63</v>
      </c>
      <c r="E30" s="1" t="s">
        <v>35</v>
      </c>
      <c r="G30" s="1" t="s">
        <v>288</v>
      </c>
      <c r="H30" s="1" t="s">
        <v>32</v>
      </c>
      <c r="I30" s="1" t="s">
        <v>5187</v>
      </c>
      <c r="J30" s="1">
        <v>2022</v>
      </c>
      <c r="K30" s="1" t="s">
        <v>5186</v>
      </c>
      <c r="L30" s="1" t="s">
        <v>5185</v>
      </c>
      <c r="P30" s="1" t="s">
        <v>5184</v>
      </c>
      <c r="Q30" s="1" t="s">
        <v>788</v>
      </c>
      <c r="R30" s="1" t="s">
        <v>5183</v>
      </c>
      <c r="S30" s="1" t="s">
        <v>5182</v>
      </c>
      <c r="T30" s="1" t="s">
        <v>5181</v>
      </c>
      <c r="V30" s="1" t="s">
        <v>5073</v>
      </c>
      <c r="W30" s="1" t="s">
        <v>5180</v>
      </c>
      <c r="Y30" s="3">
        <v>45112</v>
      </c>
      <c r="Z30" s="1">
        <v>2023</v>
      </c>
      <c r="AA30" s="2">
        <v>379940</v>
      </c>
      <c r="AB30" s="2"/>
      <c r="AC30" s="2">
        <v>379940</v>
      </c>
      <c r="AG30" s="1" t="s">
        <v>21</v>
      </c>
      <c r="AI30" s="2">
        <v>379940</v>
      </c>
      <c r="AK30" s="1"/>
    </row>
    <row r="31" spans="1:38" ht="15" customHeight="1" x14ac:dyDescent="0.2">
      <c r="A31" s="1" t="s">
        <v>19</v>
      </c>
      <c r="B31" s="5" t="s">
        <v>18</v>
      </c>
      <c r="C31" s="1" t="s">
        <v>37</v>
      </c>
      <c r="D31" s="1" t="s">
        <v>63</v>
      </c>
      <c r="E31" s="1" t="s">
        <v>35</v>
      </c>
      <c r="G31" s="1" t="s">
        <v>288</v>
      </c>
      <c r="H31" s="1" t="s">
        <v>32</v>
      </c>
      <c r="I31" s="1" t="s">
        <v>5179</v>
      </c>
      <c r="J31" s="1">
        <v>2022</v>
      </c>
      <c r="K31" s="1" t="s">
        <v>5178</v>
      </c>
      <c r="L31" s="1" t="s">
        <v>5177</v>
      </c>
      <c r="N31" s="1" t="s">
        <v>5176</v>
      </c>
      <c r="P31" s="1" t="s">
        <v>5175</v>
      </c>
      <c r="Q31" s="1" t="s">
        <v>780</v>
      </c>
      <c r="R31" s="1" t="s">
        <v>4739</v>
      </c>
      <c r="S31" s="1" t="s">
        <v>5174</v>
      </c>
      <c r="T31" s="1" t="s">
        <v>5173</v>
      </c>
      <c r="V31" s="1" t="s">
        <v>4</v>
      </c>
      <c r="W31" s="1" t="s">
        <v>5172</v>
      </c>
      <c r="Y31" s="3">
        <v>45112</v>
      </c>
      <c r="Z31" s="1">
        <v>2023</v>
      </c>
      <c r="AA31" s="2">
        <v>2997522.77</v>
      </c>
      <c r="AB31" s="2"/>
      <c r="AC31" s="2">
        <v>2997522.77</v>
      </c>
      <c r="AG31" s="1" t="s">
        <v>21</v>
      </c>
      <c r="AI31" s="2">
        <v>2997522.77</v>
      </c>
      <c r="AK31" s="1"/>
    </row>
    <row r="32" spans="1:38" ht="15" customHeight="1" x14ac:dyDescent="0.25">
      <c r="A32" s="1" t="s">
        <v>19</v>
      </c>
      <c r="B32" s="5" t="s">
        <v>18</v>
      </c>
      <c r="C32" s="1" t="s">
        <v>37</v>
      </c>
      <c r="D32" s="1" t="s">
        <v>63</v>
      </c>
      <c r="E32" s="1" t="s">
        <v>35</v>
      </c>
      <c r="G32" s="1" t="s">
        <v>288</v>
      </c>
      <c r="H32" s="1" t="s">
        <v>32</v>
      </c>
      <c r="I32" s="1" t="s">
        <v>5171</v>
      </c>
      <c r="J32" s="1">
        <v>2022</v>
      </c>
      <c r="K32" s="1" t="s">
        <v>5170</v>
      </c>
      <c r="L32" s="1" t="s">
        <v>5169</v>
      </c>
      <c r="N32" s="1" t="s">
        <v>5168</v>
      </c>
      <c r="P32" s="40" t="s">
        <v>5167</v>
      </c>
      <c r="Q32" s="1" t="s">
        <v>8</v>
      </c>
      <c r="R32" s="1" t="s">
        <v>7</v>
      </c>
      <c r="S32" s="1" t="s">
        <v>5166</v>
      </c>
      <c r="T32" s="1" t="s">
        <v>5165</v>
      </c>
      <c r="V32" s="1" t="s">
        <v>4</v>
      </c>
      <c r="W32" s="1" t="s">
        <v>5164</v>
      </c>
      <c r="Y32" s="3">
        <v>45112</v>
      </c>
      <c r="Z32" s="1">
        <v>2023</v>
      </c>
      <c r="AA32" s="2">
        <v>499906.41</v>
      </c>
      <c r="AB32" s="2"/>
      <c r="AC32" s="2">
        <v>499906.41</v>
      </c>
      <c r="AG32" s="1" t="s">
        <v>21</v>
      </c>
      <c r="AI32" s="2">
        <v>499906.41</v>
      </c>
      <c r="AK32" s="1"/>
    </row>
    <row r="33" spans="1:38" ht="15" customHeight="1" x14ac:dyDescent="0.2">
      <c r="A33" s="1" t="s">
        <v>19</v>
      </c>
      <c r="B33" s="5" t="s">
        <v>18</v>
      </c>
      <c r="C33" s="1" t="s">
        <v>37</v>
      </c>
      <c r="D33" s="1" t="s">
        <v>63</v>
      </c>
      <c r="E33" s="1" t="s">
        <v>35</v>
      </c>
      <c r="G33" s="1" t="s">
        <v>288</v>
      </c>
      <c r="H33" s="1" t="s">
        <v>32</v>
      </c>
      <c r="I33" s="1" t="s">
        <v>5163</v>
      </c>
      <c r="J33" s="1">
        <v>2022</v>
      </c>
      <c r="K33" s="1" t="s">
        <v>5162</v>
      </c>
      <c r="L33" s="1" t="s">
        <v>5161</v>
      </c>
      <c r="N33" s="1" t="s">
        <v>5160</v>
      </c>
      <c r="P33" s="1" t="s">
        <v>5159</v>
      </c>
      <c r="Q33" s="1" t="s">
        <v>788</v>
      </c>
      <c r="R33" s="1" t="s">
        <v>5076</v>
      </c>
      <c r="S33" s="1" t="s">
        <v>5158</v>
      </c>
      <c r="T33" s="1" t="s">
        <v>5157</v>
      </c>
      <c r="V33" s="1" t="s">
        <v>5073</v>
      </c>
      <c r="W33" s="1" t="s">
        <v>5156</v>
      </c>
      <c r="Y33" s="3">
        <v>45112</v>
      </c>
      <c r="Z33" s="1">
        <v>2023</v>
      </c>
      <c r="AA33" s="2">
        <v>208160.82</v>
      </c>
      <c r="AB33" s="2"/>
      <c r="AC33" s="2">
        <v>208160.82</v>
      </c>
      <c r="AG33" s="1" t="s">
        <v>21</v>
      </c>
      <c r="AI33" s="2">
        <v>208160.82</v>
      </c>
      <c r="AK33" s="1"/>
    </row>
    <row r="34" spans="1:38" ht="15" customHeight="1" x14ac:dyDescent="0.2">
      <c r="A34" s="1" t="s">
        <v>19</v>
      </c>
      <c r="B34" s="5" t="s">
        <v>18</v>
      </c>
      <c r="C34" s="1" t="s">
        <v>37</v>
      </c>
      <c r="D34" s="1" t="s">
        <v>63</v>
      </c>
      <c r="E34" s="1" t="s">
        <v>35</v>
      </c>
      <c r="G34" s="1" t="s">
        <v>288</v>
      </c>
      <c r="H34" s="1" t="s">
        <v>32</v>
      </c>
      <c r="I34" s="1" t="s">
        <v>5155</v>
      </c>
      <c r="J34" s="1">
        <v>2022</v>
      </c>
      <c r="K34" s="1" t="s">
        <v>5154</v>
      </c>
      <c r="L34" s="1" t="s">
        <v>5153</v>
      </c>
      <c r="N34" s="1" t="s">
        <v>5152</v>
      </c>
      <c r="P34" s="1" t="s">
        <v>5151</v>
      </c>
      <c r="Q34" s="1" t="s">
        <v>788</v>
      </c>
      <c r="R34" s="1" t="s">
        <v>5076</v>
      </c>
      <c r="S34" s="1" t="s">
        <v>5150</v>
      </c>
      <c r="T34" s="1" t="s">
        <v>5149</v>
      </c>
      <c r="V34" s="1" t="s">
        <v>5073</v>
      </c>
      <c r="W34" s="1" t="s">
        <v>5148</v>
      </c>
      <c r="Y34" s="3">
        <v>45112</v>
      </c>
      <c r="Z34" s="1">
        <v>2023</v>
      </c>
      <c r="AA34" s="2">
        <v>173556.37</v>
      </c>
      <c r="AB34" s="2"/>
      <c r="AC34" s="2">
        <v>173556.37</v>
      </c>
      <c r="AG34" s="1" t="s">
        <v>21</v>
      </c>
      <c r="AI34" s="2">
        <v>173556.37</v>
      </c>
      <c r="AK34" s="1"/>
    </row>
    <row r="35" spans="1:38" ht="15" customHeight="1" x14ac:dyDescent="0.2">
      <c r="A35" s="1" t="s">
        <v>19</v>
      </c>
      <c r="B35" s="5" t="s">
        <v>18</v>
      </c>
      <c r="C35" s="1" t="s">
        <v>37</v>
      </c>
      <c r="D35" s="1" t="s">
        <v>63</v>
      </c>
      <c r="E35" s="1" t="s">
        <v>35</v>
      </c>
      <c r="G35" s="1" t="s">
        <v>288</v>
      </c>
      <c r="H35" s="1" t="s">
        <v>32</v>
      </c>
      <c r="I35" s="1" t="s">
        <v>5147</v>
      </c>
      <c r="J35" s="1">
        <v>2022</v>
      </c>
      <c r="K35" s="1" t="s">
        <v>5146</v>
      </c>
      <c r="L35" s="1" t="s">
        <v>5145</v>
      </c>
      <c r="N35" s="1" t="s">
        <v>5144</v>
      </c>
      <c r="P35" s="1" t="s">
        <v>5143</v>
      </c>
      <c r="Q35" s="1" t="s">
        <v>788</v>
      </c>
      <c r="R35" s="1" t="s">
        <v>5076</v>
      </c>
      <c r="S35" s="1" t="s">
        <v>5142</v>
      </c>
      <c r="T35" s="1" t="s">
        <v>5141</v>
      </c>
      <c r="V35" s="1" t="s">
        <v>5073</v>
      </c>
      <c r="W35" s="1" t="s">
        <v>5140</v>
      </c>
      <c r="Y35" s="3">
        <v>45112</v>
      </c>
      <c r="Z35" s="1">
        <v>2023</v>
      </c>
      <c r="AA35" s="2">
        <v>499982.97</v>
      </c>
      <c r="AB35" s="2"/>
      <c r="AC35" s="2">
        <v>499982.97</v>
      </c>
      <c r="AG35" s="1" t="s">
        <v>21</v>
      </c>
      <c r="AI35" s="2">
        <v>499982.97</v>
      </c>
      <c r="AK35" s="1"/>
    </row>
    <row r="36" spans="1:38" ht="15" customHeight="1" x14ac:dyDescent="0.2">
      <c r="A36" s="1" t="s">
        <v>19</v>
      </c>
      <c r="B36" s="5" t="s">
        <v>18</v>
      </c>
      <c r="C36" s="1" t="s">
        <v>37</v>
      </c>
      <c r="D36" s="1" t="s">
        <v>211</v>
      </c>
      <c r="E36" s="1" t="s">
        <v>35</v>
      </c>
      <c r="F36" s="1" t="s">
        <v>210</v>
      </c>
      <c r="G36" s="1" t="s">
        <v>209</v>
      </c>
      <c r="H36" s="1" t="s">
        <v>130</v>
      </c>
      <c r="I36" s="1" t="s">
        <v>5139</v>
      </c>
      <c r="J36" s="1">
        <v>2023</v>
      </c>
      <c r="K36" s="1" t="s">
        <v>5134</v>
      </c>
      <c r="L36" s="1" t="s">
        <v>5138</v>
      </c>
      <c r="P36" s="1" t="s">
        <v>5137</v>
      </c>
      <c r="Q36" s="1" t="s">
        <v>8</v>
      </c>
      <c r="R36" s="1" t="s">
        <v>7</v>
      </c>
      <c r="S36" s="1" t="s">
        <v>5136</v>
      </c>
      <c r="T36" s="1" t="s">
        <v>5135</v>
      </c>
      <c r="V36" s="1" t="s">
        <v>4</v>
      </c>
      <c r="W36" s="1" t="s">
        <v>5134</v>
      </c>
      <c r="Y36" s="3">
        <v>45478</v>
      </c>
      <c r="Z36" s="1">
        <v>2024</v>
      </c>
      <c r="AA36" s="2">
        <v>99015.93</v>
      </c>
      <c r="AB36" s="2"/>
      <c r="AC36" s="2">
        <v>24753.98</v>
      </c>
      <c r="AD36" s="1">
        <v>0</v>
      </c>
      <c r="AG36" s="1" t="s">
        <v>21</v>
      </c>
      <c r="AI36" s="2">
        <v>24753.98</v>
      </c>
      <c r="AK36" s="1"/>
    </row>
    <row r="37" spans="1:38" ht="15" customHeight="1" x14ac:dyDescent="0.25">
      <c r="A37" s="1" t="s">
        <v>19</v>
      </c>
      <c r="B37" s="14" t="s">
        <v>18</v>
      </c>
      <c r="C37" s="12" t="s">
        <v>37</v>
      </c>
      <c r="D37" s="1" t="s">
        <v>63</v>
      </c>
      <c r="E37" s="1" t="s">
        <v>35</v>
      </c>
      <c r="G37" s="1" t="s">
        <v>202</v>
      </c>
      <c r="H37" s="1" t="s">
        <v>32</v>
      </c>
      <c r="I37" s="12" t="s">
        <v>5133</v>
      </c>
      <c r="J37" s="1">
        <v>2024</v>
      </c>
      <c r="K37" s="1" t="s">
        <v>5132</v>
      </c>
      <c r="L37" s="1" t="s">
        <v>5131</v>
      </c>
      <c r="M37" s="1" t="s">
        <v>0</v>
      </c>
      <c r="N37" s="1" t="s">
        <v>5130</v>
      </c>
      <c r="P37" s="1" t="s">
        <v>5129</v>
      </c>
      <c r="Q37" s="1" t="s">
        <v>788</v>
      </c>
      <c r="R37" s="1" t="s">
        <v>5076</v>
      </c>
      <c r="S37" s="12" t="s">
        <v>5128</v>
      </c>
      <c r="T37" s="12" t="s">
        <v>5127</v>
      </c>
      <c r="U37" s="17"/>
      <c r="V37" s="12" t="s">
        <v>5073</v>
      </c>
      <c r="W37" s="12" t="s">
        <v>5126</v>
      </c>
      <c r="X37" s="12" t="s">
        <v>2256</v>
      </c>
      <c r="Y37" s="13">
        <v>45799</v>
      </c>
      <c r="Z37" s="12">
        <v>2025</v>
      </c>
      <c r="AA37" s="11">
        <v>756422.46</v>
      </c>
      <c r="AB37" s="11"/>
      <c r="AC37" s="11">
        <v>756422.46</v>
      </c>
      <c r="AD37" s="2"/>
      <c r="AG37" s="1" t="s">
        <v>21</v>
      </c>
      <c r="AI37" s="11">
        <v>756422.46</v>
      </c>
      <c r="AK37" s="1"/>
    </row>
    <row r="38" spans="1:38" ht="15" customHeight="1" x14ac:dyDescent="0.25">
      <c r="A38" s="1" t="s">
        <v>19</v>
      </c>
      <c r="B38" s="14" t="s">
        <v>18</v>
      </c>
      <c r="C38" s="12" t="s">
        <v>37</v>
      </c>
      <c r="D38" s="1" t="s">
        <v>63</v>
      </c>
      <c r="E38" s="1" t="s">
        <v>35</v>
      </c>
      <c r="G38" s="1" t="s">
        <v>202</v>
      </c>
      <c r="H38" s="1" t="s">
        <v>32</v>
      </c>
      <c r="I38" s="12" t="s">
        <v>5125</v>
      </c>
      <c r="J38" s="1">
        <v>2024</v>
      </c>
      <c r="K38" s="1" t="s">
        <v>5124</v>
      </c>
      <c r="L38" s="1" t="s">
        <v>5123</v>
      </c>
      <c r="M38" s="1" t="s">
        <v>0</v>
      </c>
      <c r="N38" s="12" t="s">
        <v>5122</v>
      </c>
      <c r="P38" s="1" t="s">
        <v>5121</v>
      </c>
      <c r="Q38" s="1" t="s">
        <v>780</v>
      </c>
      <c r="R38" s="1" t="s">
        <v>4739</v>
      </c>
      <c r="S38" s="12" t="s">
        <v>5120</v>
      </c>
      <c r="T38" s="12" t="s">
        <v>5119</v>
      </c>
      <c r="U38" s="17"/>
      <c r="V38" s="12" t="s">
        <v>4</v>
      </c>
      <c r="W38" s="12" t="s">
        <v>5118</v>
      </c>
      <c r="X38" s="12" t="s">
        <v>2256</v>
      </c>
      <c r="Y38" s="13">
        <v>45799</v>
      </c>
      <c r="Z38" s="12">
        <v>2025</v>
      </c>
      <c r="AA38" s="11">
        <v>1051459.6599999999</v>
      </c>
      <c r="AB38" s="11"/>
      <c r="AC38" s="11">
        <v>1051459.6599999999</v>
      </c>
      <c r="AD38" s="2"/>
      <c r="AG38" s="1" t="s">
        <v>21</v>
      </c>
      <c r="AI38" s="11">
        <v>1051459.6599999999</v>
      </c>
      <c r="AK38" s="1"/>
    </row>
    <row r="39" spans="1:38" ht="15" customHeight="1" x14ac:dyDescent="0.2">
      <c r="A39" s="1" t="s">
        <v>19</v>
      </c>
      <c r="B39" s="5" t="s">
        <v>18</v>
      </c>
      <c r="C39" s="1" t="s">
        <v>37</v>
      </c>
      <c r="D39" s="1" t="s">
        <v>63</v>
      </c>
      <c r="E39" s="1" t="s">
        <v>35</v>
      </c>
      <c r="G39" s="1" t="s">
        <v>288</v>
      </c>
      <c r="H39" s="1" t="s">
        <v>32</v>
      </c>
      <c r="I39" s="1" t="s">
        <v>5117</v>
      </c>
      <c r="J39" s="1">
        <v>2022</v>
      </c>
      <c r="K39" s="1" t="s">
        <v>5116</v>
      </c>
      <c r="L39" s="1" t="s">
        <v>5115</v>
      </c>
      <c r="N39" s="1" t="s">
        <v>5114</v>
      </c>
      <c r="P39" s="1" t="s">
        <v>5113</v>
      </c>
      <c r="Q39" s="1" t="s">
        <v>780</v>
      </c>
      <c r="R39" s="1" t="s">
        <v>4739</v>
      </c>
      <c r="S39" s="1" t="s">
        <v>5112</v>
      </c>
      <c r="T39" s="1" t="s">
        <v>5111</v>
      </c>
      <c r="V39" s="1" t="s">
        <v>4</v>
      </c>
      <c r="W39" s="1" t="s">
        <v>5110</v>
      </c>
      <c r="Y39" s="3">
        <v>45112</v>
      </c>
      <c r="Z39" s="1">
        <v>2023</v>
      </c>
      <c r="AA39" s="2">
        <v>127682.71</v>
      </c>
      <c r="AB39" s="2"/>
      <c r="AC39" s="2">
        <v>127682.71</v>
      </c>
      <c r="AG39" s="1" t="s">
        <v>21</v>
      </c>
      <c r="AI39" s="2">
        <v>127682.71</v>
      </c>
      <c r="AK39" s="1"/>
    </row>
    <row r="40" spans="1:38" ht="15" customHeight="1" x14ac:dyDescent="0.2">
      <c r="A40" s="1" t="s">
        <v>19</v>
      </c>
      <c r="B40" s="5" t="s">
        <v>18</v>
      </c>
      <c r="C40" s="1" t="s">
        <v>37</v>
      </c>
      <c r="D40" s="1" t="s">
        <v>63</v>
      </c>
      <c r="E40" s="1" t="s">
        <v>35</v>
      </c>
      <c r="G40" s="1" t="s">
        <v>288</v>
      </c>
      <c r="H40" s="1" t="s">
        <v>32</v>
      </c>
      <c r="I40" s="1" t="s">
        <v>5109</v>
      </c>
      <c r="J40" s="1">
        <v>2022</v>
      </c>
      <c r="K40" s="1" t="s">
        <v>5108</v>
      </c>
      <c r="L40" s="1" t="s">
        <v>5107</v>
      </c>
      <c r="N40" s="1" t="s">
        <v>5106</v>
      </c>
      <c r="P40" s="1" t="s">
        <v>5105</v>
      </c>
      <c r="Q40" s="1" t="s">
        <v>788</v>
      </c>
      <c r="R40" s="1" t="s">
        <v>5076</v>
      </c>
      <c r="S40" s="1" t="s">
        <v>5104</v>
      </c>
      <c r="T40" s="1" t="s">
        <v>5103</v>
      </c>
      <c r="V40" s="1" t="s">
        <v>5073</v>
      </c>
      <c r="W40" s="1" t="s">
        <v>5102</v>
      </c>
      <c r="Y40" s="3">
        <v>45112</v>
      </c>
      <c r="Z40" s="1">
        <v>2023</v>
      </c>
      <c r="AA40" s="2">
        <v>500662.77</v>
      </c>
      <c r="AB40" s="2"/>
      <c r="AC40" s="2">
        <v>500662.77</v>
      </c>
      <c r="AG40" s="1" t="s">
        <v>21</v>
      </c>
      <c r="AI40" s="2">
        <v>500662.77</v>
      </c>
      <c r="AK40" s="1"/>
    </row>
    <row r="41" spans="1:38" ht="15" customHeight="1" x14ac:dyDescent="0.2">
      <c r="A41" s="1" t="s">
        <v>19</v>
      </c>
      <c r="B41" s="5" t="s">
        <v>18</v>
      </c>
      <c r="C41" s="1" t="s">
        <v>37</v>
      </c>
      <c r="D41" s="1" t="s">
        <v>63</v>
      </c>
      <c r="E41" s="1" t="s">
        <v>35</v>
      </c>
      <c r="G41" s="1" t="s">
        <v>288</v>
      </c>
      <c r="H41" s="1" t="s">
        <v>32</v>
      </c>
      <c r="I41" s="1" t="s">
        <v>5101</v>
      </c>
      <c r="J41" s="1">
        <v>2022</v>
      </c>
      <c r="K41" s="1" t="s">
        <v>5100</v>
      </c>
      <c r="L41" s="1" t="s">
        <v>5099</v>
      </c>
      <c r="N41" s="1" t="s">
        <v>5098</v>
      </c>
      <c r="P41" s="1" t="s">
        <v>5097</v>
      </c>
      <c r="Q41" s="1" t="s">
        <v>788</v>
      </c>
      <c r="R41" s="1" t="s">
        <v>5076</v>
      </c>
      <c r="S41" s="1" t="s">
        <v>5096</v>
      </c>
      <c r="T41" s="1" t="s">
        <v>5095</v>
      </c>
      <c r="V41" s="1" t="s">
        <v>5073</v>
      </c>
      <c r="W41" s="1" t="s">
        <v>5094</v>
      </c>
      <c r="Y41" s="3">
        <v>45112</v>
      </c>
      <c r="Z41" s="1">
        <v>2023</v>
      </c>
      <c r="AA41" s="2">
        <v>273022.71000000002</v>
      </c>
      <c r="AB41" s="2"/>
      <c r="AC41" s="2">
        <v>273022.71000000002</v>
      </c>
      <c r="AG41" s="1" t="s">
        <v>21</v>
      </c>
      <c r="AI41" s="2">
        <v>273022.71000000002</v>
      </c>
      <c r="AK41" s="1"/>
    </row>
    <row r="42" spans="1:38" ht="15" customHeight="1" x14ac:dyDescent="0.2">
      <c r="A42" s="1" t="s">
        <v>19</v>
      </c>
      <c r="B42" s="5" t="s">
        <v>109</v>
      </c>
      <c r="C42" s="1" t="s">
        <v>37</v>
      </c>
      <c r="D42" s="1" t="s">
        <v>63</v>
      </c>
      <c r="E42" s="1" t="s">
        <v>35</v>
      </c>
      <c r="G42" s="1" t="s">
        <v>288</v>
      </c>
      <c r="H42" s="1" t="s">
        <v>32</v>
      </c>
      <c r="I42" s="1" t="s">
        <v>5093</v>
      </c>
      <c r="J42" s="1">
        <v>2022</v>
      </c>
      <c r="K42" s="1" t="s">
        <v>5092</v>
      </c>
      <c r="L42" s="1" t="s">
        <v>5091</v>
      </c>
      <c r="P42" s="1" t="s">
        <v>5090</v>
      </c>
      <c r="Q42" s="1" t="s">
        <v>788</v>
      </c>
      <c r="R42" s="1" t="s">
        <v>5076</v>
      </c>
      <c r="S42" s="1" t="s">
        <v>5089</v>
      </c>
      <c r="T42" s="1" t="s">
        <v>5088</v>
      </c>
      <c r="V42" s="1" t="s">
        <v>5073</v>
      </c>
      <c r="W42" s="1" t="s">
        <v>5087</v>
      </c>
      <c r="Y42" s="3">
        <v>45112</v>
      </c>
      <c r="Z42" s="1">
        <v>2023</v>
      </c>
      <c r="AA42" s="2">
        <v>250593.21</v>
      </c>
      <c r="AB42" s="2"/>
      <c r="AC42" s="2">
        <v>250593.21</v>
      </c>
      <c r="AG42" s="1" t="s">
        <v>21</v>
      </c>
      <c r="AI42" s="2">
        <v>250593.21</v>
      </c>
      <c r="AK42" s="1"/>
    </row>
    <row r="43" spans="1:38" ht="15" customHeight="1" x14ac:dyDescent="0.2">
      <c r="A43" s="1" t="s">
        <v>19</v>
      </c>
      <c r="B43" s="5" t="s">
        <v>18</v>
      </c>
      <c r="C43" s="1" t="s">
        <v>17</v>
      </c>
      <c r="D43" s="1" t="s">
        <v>16</v>
      </c>
      <c r="E43" s="1" t="s">
        <v>15</v>
      </c>
      <c r="F43" s="1" t="s">
        <v>1554</v>
      </c>
      <c r="G43" s="1" t="s">
        <v>1553</v>
      </c>
      <c r="H43" s="1" t="s">
        <v>12</v>
      </c>
      <c r="I43" s="1" t="s">
        <v>5086</v>
      </c>
      <c r="J43" s="1">
        <v>2022</v>
      </c>
      <c r="K43" s="1" t="s">
        <v>5085</v>
      </c>
      <c r="L43" s="1" t="s">
        <v>5084</v>
      </c>
      <c r="N43" s="1" t="s">
        <v>5017</v>
      </c>
      <c r="P43" s="1" t="s">
        <v>5083</v>
      </c>
      <c r="Q43" s="1" t="s">
        <v>27</v>
      </c>
      <c r="R43" s="1" t="s">
        <v>26</v>
      </c>
      <c r="S43" s="1" t="s">
        <v>2590</v>
      </c>
      <c r="T43" s="1" t="s">
        <v>2589</v>
      </c>
      <c r="U43" s="1">
        <v>1</v>
      </c>
      <c r="V43" s="1" t="s">
        <v>2439</v>
      </c>
      <c r="W43" s="1" t="s">
        <v>5082</v>
      </c>
      <c r="Y43" s="3">
        <v>45254</v>
      </c>
      <c r="Z43" s="1">
        <v>2023</v>
      </c>
      <c r="AA43" s="2">
        <v>4539800</v>
      </c>
      <c r="AB43" s="2"/>
      <c r="AC43" s="2">
        <v>1271144</v>
      </c>
      <c r="AG43" s="1" t="s">
        <v>1</v>
      </c>
      <c r="AI43" s="2">
        <v>1271144</v>
      </c>
      <c r="AK43" s="1"/>
    </row>
    <row r="44" spans="1:38" ht="15" customHeight="1" x14ac:dyDescent="0.2">
      <c r="A44" s="1" t="s">
        <v>19</v>
      </c>
      <c r="B44" s="5" t="s">
        <v>18</v>
      </c>
      <c r="C44" s="1" t="s">
        <v>37</v>
      </c>
      <c r="D44" s="1" t="s">
        <v>63</v>
      </c>
      <c r="E44" s="1" t="s">
        <v>35</v>
      </c>
      <c r="G44" s="1" t="s">
        <v>288</v>
      </c>
      <c r="H44" s="1" t="s">
        <v>32</v>
      </c>
      <c r="I44" s="1" t="s">
        <v>5081</v>
      </c>
      <c r="J44" s="1">
        <v>2022</v>
      </c>
      <c r="K44" s="1" t="s">
        <v>5080</v>
      </c>
      <c r="L44" s="1" t="s">
        <v>5079</v>
      </c>
      <c r="N44" s="1" t="s">
        <v>5078</v>
      </c>
      <c r="P44" s="1" t="s">
        <v>5077</v>
      </c>
      <c r="Q44" s="1" t="s">
        <v>788</v>
      </c>
      <c r="R44" s="1" t="s">
        <v>5076</v>
      </c>
      <c r="S44" s="1" t="s">
        <v>5075</v>
      </c>
      <c r="T44" s="1" t="s">
        <v>5074</v>
      </c>
      <c r="V44" s="1" t="s">
        <v>5073</v>
      </c>
      <c r="W44" s="1" t="s">
        <v>5072</v>
      </c>
      <c r="Y44" s="3">
        <v>45112</v>
      </c>
      <c r="Z44" s="1">
        <v>2023</v>
      </c>
      <c r="AA44" s="2">
        <v>499894.57</v>
      </c>
      <c r="AB44" s="2"/>
      <c r="AC44" s="2">
        <v>499894.57</v>
      </c>
      <c r="AG44" s="1" t="s">
        <v>21</v>
      </c>
      <c r="AI44" s="2">
        <v>499894.57</v>
      </c>
      <c r="AK44" s="1"/>
    </row>
    <row r="45" spans="1:38" ht="15" customHeight="1" x14ac:dyDescent="0.2">
      <c r="A45" s="1" t="s">
        <v>19</v>
      </c>
      <c r="B45" s="5" t="s">
        <v>18</v>
      </c>
      <c r="C45" s="1" t="s">
        <v>17</v>
      </c>
      <c r="D45" s="1" t="s">
        <v>16</v>
      </c>
      <c r="E45" s="1" t="s">
        <v>35</v>
      </c>
      <c r="F45" s="1" t="s">
        <v>1562</v>
      </c>
      <c r="G45" s="1" t="s">
        <v>1561</v>
      </c>
      <c r="H45" s="1" t="s">
        <v>12</v>
      </c>
      <c r="I45" s="1" t="s">
        <v>5071</v>
      </c>
      <c r="J45" s="1">
        <v>2024</v>
      </c>
      <c r="K45" s="1" t="s">
        <v>5070</v>
      </c>
      <c r="L45" s="1" t="s">
        <v>5069</v>
      </c>
      <c r="M45" s="1" t="s">
        <v>0</v>
      </c>
      <c r="N45" s="1" t="s">
        <v>5068</v>
      </c>
      <c r="P45" s="1" t="s">
        <v>5067</v>
      </c>
      <c r="Q45" s="1" t="s">
        <v>27</v>
      </c>
      <c r="R45" s="1" t="s">
        <v>26</v>
      </c>
      <c r="S45" s="1" t="s">
        <v>2624</v>
      </c>
      <c r="T45" s="1" t="s">
        <v>2623</v>
      </c>
      <c r="U45" s="1">
        <v>2</v>
      </c>
      <c r="V45" s="1" t="s">
        <v>2439</v>
      </c>
      <c r="W45" s="1" t="s">
        <v>5066</v>
      </c>
      <c r="Y45" s="3">
        <v>45834</v>
      </c>
      <c r="Z45" s="1">
        <v>2025</v>
      </c>
      <c r="AA45" s="2">
        <v>86693992</v>
      </c>
      <c r="AB45" s="2"/>
      <c r="AC45" s="2">
        <v>9987148</v>
      </c>
      <c r="AD45" s="1">
        <v>300</v>
      </c>
      <c r="AG45" s="1" t="s">
        <v>1</v>
      </c>
      <c r="AI45" s="2">
        <v>9987148</v>
      </c>
      <c r="AK45" s="1"/>
    </row>
    <row r="46" spans="1:38" ht="15" customHeight="1" x14ac:dyDescent="0.2">
      <c r="A46" s="1" t="s">
        <v>19</v>
      </c>
      <c r="B46" s="5" t="s">
        <v>18</v>
      </c>
      <c r="C46" s="1" t="s">
        <v>17</v>
      </c>
      <c r="D46" s="1" t="s">
        <v>16</v>
      </c>
      <c r="E46" s="1" t="s">
        <v>35</v>
      </c>
      <c r="F46" s="1" t="s">
        <v>5065</v>
      </c>
      <c r="G46" s="1" t="s">
        <v>5064</v>
      </c>
      <c r="H46" s="1" t="s">
        <v>12</v>
      </c>
      <c r="I46" s="1" t="s">
        <v>5063</v>
      </c>
      <c r="J46" s="1">
        <v>2022</v>
      </c>
      <c r="K46" s="1" t="s">
        <v>5062</v>
      </c>
      <c r="L46" s="1" t="s">
        <v>5061</v>
      </c>
      <c r="M46" s="1" t="s">
        <v>5060</v>
      </c>
      <c r="N46" s="1" t="s">
        <v>5059</v>
      </c>
      <c r="O46" s="1">
        <v>0</v>
      </c>
      <c r="P46" s="1" t="s">
        <v>5058</v>
      </c>
      <c r="Q46" s="1" t="s">
        <v>27</v>
      </c>
      <c r="R46" s="1" t="s">
        <v>26</v>
      </c>
      <c r="S46" s="1" t="s">
        <v>2441</v>
      </c>
      <c r="T46" s="1" t="s">
        <v>2440</v>
      </c>
      <c r="U46" s="1">
        <v>1</v>
      </c>
      <c r="V46" s="1" t="s">
        <v>5057</v>
      </c>
      <c r="W46" s="1" t="s">
        <v>5056</v>
      </c>
      <c r="Y46" s="3">
        <v>44970</v>
      </c>
      <c r="Z46" s="1">
        <v>2023</v>
      </c>
      <c r="AA46" s="2">
        <v>2791749.5</v>
      </c>
      <c r="AB46" s="2"/>
      <c r="AC46" s="2">
        <v>1233759.56</v>
      </c>
      <c r="AD46" s="1">
        <v>30</v>
      </c>
      <c r="AG46" s="1" t="s">
        <v>1</v>
      </c>
      <c r="AI46" s="2">
        <v>1233759.56</v>
      </c>
      <c r="AK46" s="1"/>
    </row>
    <row r="47" spans="1:38" ht="15" customHeight="1" x14ac:dyDescent="0.25">
      <c r="A47" s="1" t="s">
        <v>19</v>
      </c>
      <c r="B47" s="5" t="s">
        <v>18</v>
      </c>
      <c r="C47" s="1" t="s">
        <v>17</v>
      </c>
      <c r="D47" s="1" t="s">
        <v>16</v>
      </c>
      <c r="E47" s="35" t="s">
        <v>35</v>
      </c>
      <c r="F47" s="1" t="s">
        <v>2430</v>
      </c>
      <c r="G47" s="1" t="s">
        <v>5055</v>
      </c>
      <c r="H47" s="1" t="s">
        <v>12</v>
      </c>
      <c r="I47" s="1" t="s">
        <v>5054</v>
      </c>
      <c r="J47" s="1">
        <v>2023</v>
      </c>
      <c r="K47" s="1" t="s">
        <v>5053</v>
      </c>
      <c r="L47" s="1" t="s">
        <v>5052</v>
      </c>
      <c r="M47" s="1" t="s">
        <v>5051</v>
      </c>
      <c r="N47" s="1" t="s">
        <v>4890</v>
      </c>
      <c r="P47" s="1" t="s">
        <v>5050</v>
      </c>
      <c r="Q47" s="1" t="s">
        <v>27</v>
      </c>
      <c r="R47" s="1" t="s">
        <v>26</v>
      </c>
      <c r="S47" s="1" t="s">
        <v>2624</v>
      </c>
      <c r="T47" s="1" t="s">
        <v>2623</v>
      </c>
      <c r="U47" s="1">
        <v>2</v>
      </c>
      <c r="V47" s="1" t="s">
        <v>2439</v>
      </c>
      <c r="W47" s="1" t="s">
        <v>5049</v>
      </c>
      <c r="X47" s="1" t="s">
        <v>2</v>
      </c>
      <c r="Y47" s="3">
        <v>45281</v>
      </c>
      <c r="Z47" s="1">
        <v>2023</v>
      </c>
      <c r="AA47" s="2">
        <v>135001.67000000001</v>
      </c>
      <c r="AB47" s="2"/>
      <c r="AC47" s="2">
        <v>81001</v>
      </c>
      <c r="AG47" s="1" t="s">
        <v>1</v>
      </c>
      <c r="AI47" s="2">
        <v>81001</v>
      </c>
      <c r="AK47" s="1"/>
      <c r="AL47" s="1" t="s">
        <v>5048</v>
      </c>
    </row>
    <row r="48" spans="1:38" ht="15" customHeight="1" x14ac:dyDescent="0.2">
      <c r="A48" s="1" t="s">
        <v>19</v>
      </c>
      <c r="B48" s="5" t="s">
        <v>18</v>
      </c>
      <c r="C48" s="1" t="s">
        <v>17</v>
      </c>
      <c r="D48" s="1" t="s">
        <v>16</v>
      </c>
      <c r="E48" s="1" t="s">
        <v>15</v>
      </c>
      <c r="F48" s="1" t="s">
        <v>1530</v>
      </c>
      <c r="G48" s="1" t="s">
        <v>1542</v>
      </c>
      <c r="H48" s="1" t="s">
        <v>12</v>
      </c>
      <c r="I48" s="1" t="s">
        <v>5047</v>
      </c>
      <c r="J48" s="1">
        <v>2022</v>
      </c>
      <c r="K48" s="1" t="s">
        <v>5046</v>
      </c>
      <c r="L48" s="1" t="s">
        <v>5045</v>
      </c>
      <c r="M48" s="1" t="s">
        <v>5044</v>
      </c>
      <c r="N48" s="1" t="s">
        <v>5043</v>
      </c>
      <c r="P48" s="1" t="s">
        <v>5042</v>
      </c>
      <c r="Q48" s="1" t="s">
        <v>27</v>
      </c>
      <c r="R48" s="1" t="s">
        <v>26</v>
      </c>
      <c r="S48" s="1" t="s">
        <v>2624</v>
      </c>
      <c r="T48" s="1" t="s">
        <v>2623</v>
      </c>
      <c r="U48" s="1">
        <v>2</v>
      </c>
      <c r="V48" s="1" t="s">
        <v>2439</v>
      </c>
      <c r="W48" s="1" t="s">
        <v>5041</v>
      </c>
      <c r="Y48" s="3">
        <v>45124</v>
      </c>
      <c r="Z48" s="1">
        <v>2023</v>
      </c>
      <c r="AA48" s="2">
        <v>1972026.66</v>
      </c>
      <c r="AB48" s="2"/>
      <c r="AC48" s="2">
        <v>1434140.6</v>
      </c>
      <c r="AG48" s="1" t="s">
        <v>1</v>
      </c>
      <c r="AI48" s="2">
        <v>1434140.6</v>
      </c>
      <c r="AK48" s="1"/>
      <c r="AL48" s="1" t="s">
        <v>5040</v>
      </c>
    </row>
    <row r="49" spans="1:38" ht="15" customHeight="1" x14ac:dyDescent="0.25">
      <c r="A49" s="1" t="s">
        <v>19</v>
      </c>
      <c r="B49" s="5" t="s">
        <v>18</v>
      </c>
      <c r="C49" s="1" t="s">
        <v>37</v>
      </c>
      <c r="D49" s="1" t="s">
        <v>63</v>
      </c>
      <c r="E49" s="1" t="s">
        <v>35</v>
      </c>
      <c r="G49" s="1" t="s">
        <v>288</v>
      </c>
      <c r="H49" s="1" t="s">
        <v>32</v>
      </c>
      <c r="I49" s="1" t="s">
        <v>5039</v>
      </c>
      <c r="J49" s="1">
        <v>2022</v>
      </c>
      <c r="K49" s="1" t="s">
        <v>5038</v>
      </c>
      <c r="L49" s="1" t="s">
        <v>5037</v>
      </c>
      <c r="M49" s="1" t="s">
        <v>5036</v>
      </c>
      <c r="N49" s="1" t="s">
        <v>5035</v>
      </c>
      <c r="P49" s="1" t="s">
        <v>5034</v>
      </c>
      <c r="Q49" s="1" t="s">
        <v>780</v>
      </c>
      <c r="R49" s="1" t="s">
        <v>4739</v>
      </c>
      <c r="S49" s="10" t="s">
        <v>5033</v>
      </c>
      <c r="T49" s="1" t="s">
        <v>5032</v>
      </c>
      <c r="V49" s="1" t="s">
        <v>4</v>
      </c>
      <c r="W49" s="1" t="s">
        <v>5031</v>
      </c>
      <c r="Y49" s="3">
        <v>45112</v>
      </c>
      <c r="Z49" s="1">
        <v>2023</v>
      </c>
      <c r="AA49" s="2">
        <v>64177.78</v>
      </c>
      <c r="AB49" s="2"/>
      <c r="AC49" s="2">
        <v>64177.78</v>
      </c>
      <c r="AG49" s="1" t="s">
        <v>21</v>
      </c>
      <c r="AI49" s="2">
        <v>64177.78</v>
      </c>
      <c r="AK49" s="1"/>
    </row>
    <row r="50" spans="1:38" ht="15" customHeight="1" x14ac:dyDescent="0.2">
      <c r="A50" s="1" t="s">
        <v>19</v>
      </c>
      <c r="B50" s="5" t="s">
        <v>18</v>
      </c>
      <c r="C50" s="1" t="s">
        <v>37</v>
      </c>
      <c r="D50" s="1" t="s">
        <v>63</v>
      </c>
      <c r="E50" s="1" t="s">
        <v>35</v>
      </c>
      <c r="G50" s="1" t="s">
        <v>288</v>
      </c>
      <c r="H50" s="1" t="s">
        <v>32</v>
      </c>
      <c r="I50" s="1" t="s">
        <v>5030</v>
      </c>
      <c r="J50" s="1">
        <v>2022</v>
      </c>
      <c r="K50" s="1" t="s">
        <v>5029</v>
      </c>
      <c r="L50" s="1" t="s">
        <v>5028</v>
      </c>
      <c r="M50" s="1" t="s">
        <v>5027</v>
      </c>
      <c r="N50" s="1" t="s">
        <v>5026</v>
      </c>
      <c r="P50" s="1" t="s">
        <v>5025</v>
      </c>
      <c r="Q50" s="1" t="s">
        <v>780</v>
      </c>
      <c r="R50" s="1" t="s">
        <v>4739</v>
      </c>
      <c r="S50" s="1" t="s">
        <v>5024</v>
      </c>
      <c r="T50" s="1" t="s">
        <v>5023</v>
      </c>
      <c r="V50" s="1" t="s">
        <v>4</v>
      </c>
      <c r="W50" s="1" t="s">
        <v>5022</v>
      </c>
      <c r="Y50" s="3">
        <v>45112</v>
      </c>
      <c r="Z50" s="1">
        <v>2023</v>
      </c>
      <c r="AA50" s="2">
        <v>525881.56999999995</v>
      </c>
      <c r="AB50" s="2"/>
      <c r="AC50" s="2">
        <v>525881.56999999995</v>
      </c>
      <c r="AG50" s="1" t="s">
        <v>21</v>
      </c>
      <c r="AI50" s="2">
        <v>525881.56999999995</v>
      </c>
      <c r="AK50" s="1"/>
    </row>
    <row r="51" spans="1:38" ht="15" customHeight="1" x14ac:dyDescent="0.2">
      <c r="A51" s="1" t="s">
        <v>19</v>
      </c>
      <c r="B51" s="5" t="s">
        <v>18</v>
      </c>
      <c r="C51" s="1" t="s">
        <v>17</v>
      </c>
      <c r="D51" s="1" t="s">
        <v>16</v>
      </c>
      <c r="E51" s="1" t="s">
        <v>15</v>
      </c>
      <c r="F51" s="1" t="s">
        <v>1554</v>
      </c>
      <c r="G51" s="1" t="s">
        <v>1553</v>
      </c>
      <c r="H51" s="1" t="s">
        <v>12</v>
      </c>
      <c r="I51" s="1" t="s">
        <v>5021</v>
      </c>
      <c r="J51" s="1">
        <v>2022</v>
      </c>
      <c r="K51" s="1" t="s">
        <v>5020</v>
      </c>
      <c r="L51" s="1" t="s">
        <v>5019</v>
      </c>
      <c r="M51" s="1" t="s">
        <v>5018</v>
      </c>
      <c r="N51" s="1" t="s">
        <v>5017</v>
      </c>
      <c r="P51" s="1" t="s">
        <v>1799</v>
      </c>
      <c r="Q51" s="1" t="s">
        <v>27</v>
      </c>
      <c r="R51" s="1" t="s">
        <v>26</v>
      </c>
      <c r="S51" s="1" t="s">
        <v>805</v>
      </c>
      <c r="T51" s="1" t="s">
        <v>804</v>
      </c>
      <c r="U51" s="1">
        <v>2</v>
      </c>
      <c r="V51" s="1" t="s">
        <v>767</v>
      </c>
      <c r="W51" s="1" t="s">
        <v>5016</v>
      </c>
      <c r="X51" s="1" t="s">
        <v>1544</v>
      </c>
      <c r="Y51" s="3">
        <v>45254</v>
      </c>
      <c r="Z51" s="1">
        <v>2023</v>
      </c>
      <c r="AA51" s="2">
        <v>330858</v>
      </c>
      <c r="AB51" s="2"/>
      <c r="AC51" s="2">
        <v>132343</v>
      </c>
      <c r="AG51" s="1" t="s">
        <v>1</v>
      </c>
      <c r="AI51" s="2">
        <v>132343</v>
      </c>
      <c r="AK51" s="1"/>
    </row>
    <row r="52" spans="1:38" ht="15" customHeight="1" x14ac:dyDescent="0.25">
      <c r="A52" s="1" t="s">
        <v>19</v>
      </c>
      <c r="B52" s="5" t="s">
        <v>18</v>
      </c>
      <c r="C52" s="1" t="s">
        <v>17</v>
      </c>
      <c r="D52" s="1" t="s">
        <v>16</v>
      </c>
      <c r="E52" s="1" t="s">
        <v>35</v>
      </c>
      <c r="F52" s="1" t="s">
        <v>4728</v>
      </c>
      <c r="G52" s="1" t="s">
        <v>4727</v>
      </c>
      <c r="H52" s="1" t="s">
        <v>12</v>
      </c>
      <c r="I52" s="1" t="s">
        <v>5015</v>
      </c>
      <c r="J52" s="12">
        <v>2024</v>
      </c>
      <c r="K52" s="49" t="s">
        <v>5014</v>
      </c>
      <c r="L52" s="49" t="s">
        <v>5013</v>
      </c>
      <c r="M52" s="12" t="s">
        <v>5012</v>
      </c>
      <c r="N52" s="12" t="s">
        <v>5011</v>
      </c>
      <c r="O52" s="12"/>
      <c r="P52" s="1" t="s">
        <v>1799</v>
      </c>
      <c r="Q52" s="1" t="s">
        <v>27</v>
      </c>
      <c r="R52" s="1" t="s">
        <v>26</v>
      </c>
      <c r="S52" s="1" t="s">
        <v>467</v>
      </c>
      <c r="T52" s="1" t="s">
        <v>466</v>
      </c>
      <c r="U52" s="1">
        <v>1</v>
      </c>
      <c r="V52" s="1" t="s">
        <v>432</v>
      </c>
      <c r="W52" s="1" t="s">
        <v>5010</v>
      </c>
      <c r="Y52" s="3">
        <v>45869</v>
      </c>
      <c r="Z52" s="1">
        <v>2025</v>
      </c>
      <c r="AA52" s="2">
        <v>7258965.8700000001</v>
      </c>
      <c r="AB52" s="2"/>
      <c r="AC52" s="2">
        <v>4174500</v>
      </c>
      <c r="AG52" s="1" t="s">
        <v>1</v>
      </c>
      <c r="AI52" s="2">
        <v>4174500</v>
      </c>
      <c r="AK52" s="1"/>
      <c r="AL52" s="1" t="s">
        <v>5009</v>
      </c>
    </row>
    <row r="53" spans="1:38" ht="15" customHeight="1" x14ac:dyDescent="0.2">
      <c r="A53" s="1" t="s">
        <v>19</v>
      </c>
      <c r="B53" s="5" t="s">
        <v>18</v>
      </c>
      <c r="C53" s="1" t="s">
        <v>17</v>
      </c>
      <c r="D53" s="1" t="s">
        <v>16</v>
      </c>
      <c r="E53" s="1" t="s">
        <v>15</v>
      </c>
      <c r="F53" s="1" t="s">
        <v>14</v>
      </c>
      <c r="G53" s="1" t="s">
        <v>13</v>
      </c>
      <c r="H53" s="1" t="s">
        <v>12</v>
      </c>
      <c r="I53" s="1" t="s">
        <v>5008</v>
      </c>
      <c r="J53" s="1">
        <v>2022</v>
      </c>
      <c r="K53" s="1" t="s">
        <v>5007</v>
      </c>
      <c r="L53" s="1" t="s">
        <v>5006</v>
      </c>
      <c r="M53" s="1" t="s">
        <v>5005</v>
      </c>
      <c r="N53" s="1" t="s">
        <v>4910</v>
      </c>
      <c r="P53" s="1" t="s">
        <v>5004</v>
      </c>
      <c r="Q53" s="1" t="s">
        <v>27</v>
      </c>
      <c r="R53" s="1" t="s">
        <v>26</v>
      </c>
      <c r="S53" s="1" t="s">
        <v>2456</v>
      </c>
      <c r="T53" s="1" t="s">
        <v>2455</v>
      </c>
      <c r="U53" s="1">
        <v>1</v>
      </c>
      <c r="V53" s="1" t="s">
        <v>2439</v>
      </c>
      <c r="W53" s="1" t="s">
        <v>13</v>
      </c>
      <c r="X53" s="1" t="s">
        <v>2</v>
      </c>
      <c r="Y53" s="3">
        <v>45208</v>
      </c>
      <c r="Z53" s="1">
        <v>2023</v>
      </c>
      <c r="AA53" s="2">
        <v>580612.5</v>
      </c>
      <c r="AB53" s="2"/>
      <c r="AC53" s="2">
        <v>199962.94</v>
      </c>
      <c r="AG53" s="1" t="s">
        <v>1</v>
      </c>
      <c r="AI53" s="2">
        <v>199962.94</v>
      </c>
      <c r="AK53" s="1"/>
      <c r="AL53" s="9" t="s">
        <v>5003</v>
      </c>
    </row>
    <row r="54" spans="1:38" ht="15" customHeight="1" x14ac:dyDescent="0.2">
      <c r="A54" s="1" t="s">
        <v>19</v>
      </c>
      <c r="B54" s="5" t="s">
        <v>109</v>
      </c>
      <c r="C54" s="1" t="s">
        <v>17</v>
      </c>
      <c r="D54" s="1" t="s">
        <v>16</v>
      </c>
      <c r="E54" s="1" t="s">
        <v>15</v>
      </c>
      <c r="F54" s="1" t="s">
        <v>1530</v>
      </c>
      <c r="G54" s="1" t="s">
        <v>5002</v>
      </c>
      <c r="H54" s="1" t="s">
        <v>12</v>
      </c>
      <c r="I54" s="1" t="s">
        <v>5001</v>
      </c>
      <c r="J54" s="1">
        <v>2022</v>
      </c>
      <c r="K54" s="1" t="s">
        <v>5000</v>
      </c>
      <c r="L54" s="1" t="s">
        <v>4999</v>
      </c>
      <c r="M54" s="1" t="s">
        <v>4998</v>
      </c>
      <c r="N54" s="1" t="s">
        <v>4997</v>
      </c>
      <c r="P54" s="1" t="s">
        <v>4996</v>
      </c>
      <c r="Q54" s="1" t="s">
        <v>27</v>
      </c>
      <c r="R54" s="1" t="s">
        <v>26</v>
      </c>
      <c r="S54" s="1" t="s">
        <v>2624</v>
      </c>
      <c r="T54" s="1" t="s">
        <v>2623</v>
      </c>
      <c r="U54" s="1">
        <v>2</v>
      </c>
      <c r="V54" s="1" t="s">
        <v>2439</v>
      </c>
      <c r="W54" s="1" t="s">
        <v>4995</v>
      </c>
      <c r="Y54" s="3">
        <v>45019</v>
      </c>
      <c r="Z54" s="1">
        <v>2023</v>
      </c>
      <c r="AA54" s="2">
        <v>8557583.9199999999</v>
      </c>
      <c r="AB54" s="2"/>
      <c r="AC54" s="2">
        <v>3541376.9</v>
      </c>
      <c r="AD54" s="1">
        <v>85</v>
      </c>
      <c r="AG54" s="1" t="s">
        <v>1522</v>
      </c>
      <c r="AH54" s="1" t="s">
        <v>1521</v>
      </c>
      <c r="AI54" s="2">
        <v>0</v>
      </c>
      <c r="AK54" s="1"/>
      <c r="AL54" s="1" t="s">
        <v>4994</v>
      </c>
    </row>
    <row r="55" spans="1:38" ht="15" customHeight="1" x14ac:dyDescent="0.2">
      <c r="A55" s="1" t="s">
        <v>19</v>
      </c>
      <c r="B55" s="5" t="s">
        <v>18</v>
      </c>
      <c r="C55" s="1" t="s">
        <v>37</v>
      </c>
      <c r="D55" s="1" t="s">
        <v>63</v>
      </c>
      <c r="E55" s="1" t="s">
        <v>35</v>
      </c>
      <c r="G55" s="1" t="s">
        <v>288</v>
      </c>
      <c r="H55" s="1" t="s">
        <v>32</v>
      </c>
      <c r="I55" s="1" t="s">
        <v>4993</v>
      </c>
      <c r="J55" s="1">
        <v>2022</v>
      </c>
      <c r="K55" s="1" t="s">
        <v>4992</v>
      </c>
      <c r="L55" s="1" t="s">
        <v>4991</v>
      </c>
      <c r="M55" s="1" t="s">
        <v>4990</v>
      </c>
      <c r="N55" s="1" t="s">
        <v>4989</v>
      </c>
      <c r="P55" s="1" t="s">
        <v>4988</v>
      </c>
      <c r="Q55" s="1" t="s">
        <v>780</v>
      </c>
      <c r="R55" s="1" t="s">
        <v>4739</v>
      </c>
      <c r="S55" s="1" t="s">
        <v>4987</v>
      </c>
      <c r="T55" s="1" t="s">
        <v>4986</v>
      </c>
      <c r="V55" s="1" t="s">
        <v>4</v>
      </c>
      <c r="W55" s="1" t="s">
        <v>4985</v>
      </c>
      <c r="Y55" s="3">
        <v>45112</v>
      </c>
      <c r="Z55" s="1">
        <v>2023</v>
      </c>
      <c r="AA55" s="2">
        <v>950000</v>
      </c>
      <c r="AB55" s="2"/>
      <c r="AC55" s="2">
        <v>950000</v>
      </c>
      <c r="AG55" s="1" t="s">
        <v>21</v>
      </c>
      <c r="AI55" s="2">
        <v>950000</v>
      </c>
      <c r="AK55" s="1"/>
    </row>
    <row r="56" spans="1:38" ht="15" customHeight="1" x14ac:dyDescent="0.2">
      <c r="A56" s="1" t="s">
        <v>19</v>
      </c>
      <c r="B56" s="5" t="s">
        <v>18</v>
      </c>
      <c r="C56" s="1" t="s">
        <v>37</v>
      </c>
      <c r="D56" s="1" t="s">
        <v>63</v>
      </c>
      <c r="E56" s="1" t="s">
        <v>35</v>
      </c>
      <c r="G56" s="1" t="s">
        <v>288</v>
      </c>
      <c r="H56" s="1" t="s">
        <v>32</v>
      </c>
      <c r="I56" s="1" t="s">
        <v>4984</v>
      </c>
      <c r="J56" s="1">
        <v>2022</v>
      </c>
      <c r="K56" s="1" t="s">
        <v>4983</v>
      </c>
      <c r="L56" s="1" t="s">
        <v>4982</v>
      </c>
      <c r="M56" s="1" t="s">
        <v>4981</v>
      </c>
      <c r="N56" s="1" t="s">
        <v>4980</v>
      </c>
      <c r="P56" s="1" t="s">
        <v>4979</v>
      </c>
      <c r="Q56" s="1" t="s">
        <v>780</v>
      </c>
      <c r="R56" s="1" t="s">
        <v>4739</v>
      </c>
      <c r="S56" s="1" t="s">
        <v>4978</v>
      </c>
      <c r="T56" s="1" t="s">
        <v>4977</v>
      </c>
      <c r="V56" s="1" t="s">
        <v>4</v>
      </c>
      <c r="W56" s="1" t="s">
        <v>4976</v>
      </c>
      <c r="Y56" s="3">
        <v>45112</v>
      </c>
      <c r="Z56" s="1">
        <v>2023</v>
      </c>
      <c r="AA56" s="2">
        <v>98875.23</v>
      </c>
      <c r="AB56" s="2"/>
      <c r="AC56" s="2">
        <v>98875.23</v>
      </c>
      <c r="AG56" s="1" t="s">
        <v>21</v>
      </c>
      <c r="AI56" s="2">
        <v>98875.23</v>
      </c>
      <c r="AK56" s="1"/>
    </row>
    <row r="57" spans="1:38" ht="15" customHeight="1" x14ac:dyDescent="0.2">
      <c r="A57" s="1" t="s">
        <v>19</v>
      </c>
      <c r="B57" s="5" t="s">
        <v>18</v>
      </c>
      <c r="C57" s="1" t="s">
        <v>17</v>
      </c>
      <c r="D57" s="1" t="s">
        <v>16</v>
      </c>
      <c r="E57" s="1" t="s">
        <v>35</v>
      </c>
      <c r="F57" s="1" t="s">
        <v>1575</v>
      </c>
      <c r="G57" s="1" t="s">
        <v>1574</v>
      </c>
      <c r="H57" s="1" t="s">
        <v>12</v>
      </c>
      <c r="I57" s="1" t="s">
        <v>4975</v>
      </c>
      <c r="J57" s="1">
        <v>2023</v>
      </c>
      <c r="K57" s="1" t="s">
        <v>4974</v>
      </c>
      <c r="L57" s="1" t="s">
        <v>4973</v>
      </c>
      <c r="M57" s="1" t="s">
        <v>4972</v>
      </c>
      <c r="N57" s="1" t="s">
        <v>4928</v>
      </c>
      <c r="P57" s="1" t="s">
        <v>4971</v>
      </c>
      <c r="Q57" s="1" t="s">
        <v>27</v>
      </c>
      <c r="R57" s="1" t="s">
        <v>26</v>
      </c>
      <c r="S57" s="1" t="s">
        <v>2624</v>
      </c>
      <c r="T57" s="1" t="s">
        <v>2623</v>
      </c>
      <c r="U57" s="1">
        <v>2</v>
      </c>
      <c r="V57" s="1" t="s">
        <v>2439</v>
      </c>
      <c r="W57" s="1" t="s">
        <v>4970</v>
      </c>
      <c r="X57" s="1" t="s">
        <v>2</v>
      </c>
      <c r="Y57" s="3">
        <v>45786</v>
      </c>
      <c r="Z57" s="1">
        <v>2025</v>
      </c>
      <c r="AA57" s="2">
        <v>1200000</v>
      </c>
      <c r="AB57" s="2"/>
      <c r="AC57" s="2">
        <v>1200000</v>
      </c>
      <c r="AD57" s="1">
        <v>11</v>
      </c>
      <c r="AG57" s="2" t="s">
        <v>1</v>
      </c>
      <c r="AI57" s="2">
        <v>1200000</v>
      </c>
      <c r="AK57" s="1"/>
      <c r="AL57" s="1" t="s">
        <v>4969</v>
      </c>
    </row>
    <row r="58" spans="1:38" ht="15" customHeight="1" x14ac:dyDescent="0.2">
      <c r="A58" s="1" t="s">
        <v>19</v>
      </c>
      <c r="B58" s="5" t="s">
        <v>18</v>
      </c>
      <c r="C58" s="1" t="s">
        <v>37</v>
      </c>
      <c r="D58" s="1" t="s">
        <v>211</v>
      </c>
      <c r="E58" s="1" t="s">
        <v>35</v>
      </c>
      <c r="F58" s="1" t="s">
        <v>210</v>
      </c>
      <c r="G58" s="1" t="s">
        <v>209</v>
      </c>
      <c r="H58" s="1" t="s">
        <v>130</v>
      </c>
      <c r="I58" s="1" t="s">
        <v>4968</v>
      </c>
      <c r="J58" s="1">
        <v>2023</v>
      </c>
      <c r="K58" s="1" t="s">
        <v>4963</v>
      </c>
      <c r="L58" s="1" t="s">
        <v>4963</v>
      </c>
      <c r="M58" s="1" t="s">
        <v>4967</v>
      </c>
      <c r="P58" s="1" t="s">
        <v>4966</v>
      </c>
      <c r="Q58" s="1" t="s">
        <v>780</v>
      </c>
      <c r="R58" s="1" t="s">
        <v>4739</v>
      </c>
      <c r="S58" s="1" t="s">
        <v>4965</v>
      </c>
      <c r="T58" s="1" t="s">
        <v>4964</v>
      </c>
      <c r="V58" s="1" t="s">
        <v>4</v>
      </c>
      <c r="W58" s="1" t="s">
        <v>4963</v>
      </c>
      <c r="Y58" s="3">
        <v>45478</v>
      </c>
      <c r="Z58" s="1">
        <v>2024</v>
      </c>
      <c r="AA58" s="2">
        <v>447000</v>
      </c>
      <c r="AB58" s="2"/>
      <c r="AC58" s="2">
        <v>100000</v>
      </c>
      <c r="AD58" s="1">
        <v>0</v>
      </c>
      <c r="AG58" s="1" t="s">
        <v>21</v>
      </c>
      <c r="AI58" s="2">
        <v>100000</v>
      </c>
      <c r="AK58" s="1"/>
    </row>
    <row r="59" spans="1:38" ht="15" customHeight="1" x14ac:dyDescent="0.2">
      <c r="A59" s="1" t="s">
        <v>19</v>
      </c>
      <c r="B59" s="5" t="s">
        <v>18</v>
      </c>
      <c r="C59" s="1" t="s">
        <v>17</v>
      </c>
      <c r="D59" s="1" t="s">
        <v>16</v>
      </c>
      <c r="E59" s="1" t="s">
        <v>35</v>
      </c>
      <c r="F59" s="1" t="s">
        <v>1562</v>
      </c>
      <c r="G59" s="1" t="s">
        <v>1561</v>
      </c>
      <c r="H59" s="1" t="s">
        <v>12</v>
      </c>
      <c r="I59" s="1" t="s">
        <v>4962</v>
      </c>
      <c r="J59" s="1">
        <v>2024</v>
      </c>
      <c r="K59" s="1" t="s">
        <v>4961</v>
      </c>
      <c r="L59" s="1" t="s">
        <v>4960</v>
      </c>
      <c r="M59" s="1" t="s">
        <v>4959</v>
      </c>
      <c r="N59" s="1" t="s">
        <v>4958</v>
      </c>
      <c r="P59" s="1" t="s">
        <v>4957</v>
      </c>
      <c r="Q59" s="1" t="s">
        <v>27</v>
      </c>
      <c r="R59" s="1" t="s">
        <v>26</v>
      </c>
      <c r="S59" s="1" t="s">
        <v>2624</v>
      </c>
      <c r="T59" s="1" t="s">
        <v>2623</v>
      </c>
      <c r="U59" s="1">
        <v>2</v>
      </c>
      <c r="V59" s="1" t="s">
        <v>2439</v>
      </c>
      <c r="W59" s="1" t="s">
        <v>4956</v>
      </c>
      <c r="Y59" s="3">
        <v>45834</v>
      </c>
      <c r="Z59" s="1">
        <v>2025</v>
      </c>
      <c r="AA59" s="2">
        <v>670000000</v>
      </c>
      <c r="AB59" s="2"/>
      <c r="AC59" s="2">
        <v>199995000</v>
      </c>
      <c r="AD59" s="1">
        <v>2600</v>
      </c>
      <c r="AG59" s="1" t="s">
        <v>1</v>
      </c>
      <c r="AI59" s="2">
        <v>199995000</v>
      </c>
      <c r="AK59" s="1"/>
    </row>
    <row r="60" spans="1:38" ht="15" customHeight="1" x14ac:dyDescent="0.2">
      <c r="A60" s="1" t="s">
        <v>19</v>
      </c>
      <c r="B60" s="5" t="s">
        <v>18</v>
      </c>
      <c r="C60" s="1" t="s">
        <v>37</v>
      </c>
      <c r="D60" s="1" t="s">
        <v>63</v>
      </c>
      <c r="E60" s="1" t="s">
        <v>35</v>
      </c>
      <c r="G60" s="1" t="s">
        <v>288</v>
      </c>
      <c r="H60" s="1" t="s">
        <v>32</v>
      </c>
      <c r="I60" s="1" t="s">
        <v>4955</v>
      </c>
      <c r="J60" s="1">
        <v>2022</v>
      </c>
      <c r="K60" s="1" t="s">
        <v>4954</v>
      </c>
      <c r="L60" s="1" t="s">
        <v>4953</v>
      </c>
      <c r="M60" s="1" t="s">
        <v>4952</v>
      </c>
      <c r="P60" s="1" t="s">
        <v>4951</v>
      </c>
      <c r="Q60" s="1" t="s">
        <v>780</v>
      </c>
      <c r="R60" s="1" t="s">
        <v>4739</v>
      </c>
      <c r="S60" s="1" t="s">
        <v>4950</v>
      </c>
      <c r="T60" s="1" t="s">
        <v>4949</v>
      </c>
      <c r="V60" s="1" t="s">
        <v>4</v>
      </c>
      <c r="W60" s="1" t="s">
        <v>4948</v>
      </c>
      <c r="Y60" s="3">
        <v>45112</v>
      </c>
      <c r="Z60" s="1">
        <v>2023</v>
      </c>
      <c r="AA60" s="2">
        <v>114361.51</v>
      </c>
      <c r="AB60" s="2"/>
      <c r="AC60" s="2">
        <v>114361.51</v>
      </c>
      <c r="AG60" s="1" t="s">
        <v>21</v>
      </c>
      <c r="AI60" s="2">
        <v>114361.51</v>
      </c>
      <c r="AK60" s="1"/>
    </row>
    <row r="61" spans="1:38" ht="15" customHeight="1" x14ac:dyDescent="0.2">
      <c r="A61" s="1" t="s">
        <v>19</v>
      </c>
      <c r="B61" s="5" t="s">
        <v>18</v>
      </c>
      <c r="C61" s="1" t="s">
        <v>37</v>
      </c>
      <c r="D61" s="1" t="s">
        <v>211</v>
      </c>
      <c r="E61" s="1" t="s">
        <v>35</v>
      </c>
      <c r="F61" s="1" t="s">
        <v>210</v>
      </c>
      <c r="G61" s="1" t="s">
        <v>209</v>
      </c>
      <c r="H61" s="1" t="s">
        <v>130</v>
      </c>
      <c r="I61" s="1" t="s">
        <v>4947</v>
      </c>
      <c r="J61" s="1">
        <v>2023</v>
      </c>
      <c r="K61" s="1" t="s">
        <v>4946</v>
      </c>
      <c r="L61" s="1" t="s">
        <v>4945</v>
      </c>
      <c r="M61" s="1" t="s">
        <v>4944</v>
      </c>
      <c r="P61" s="1" t="s">
        <v>4943</v>
      </c>
      <c r="Q61" s="1" t="s">
        <v>780</v>
      </c>
      <c r="R61" s="1" t="s">
        <v>4739</v>
      </c>
      <c r="S61" s="1" t="s">
        <v>4942</v>
      </c>
      <c r="T61" s="1" t="s">
        <v>4941</v>
      </c>
      <c r="V61" s="1" t="s">
        <v>4</v>
      </c>
      <c r="W61" s="1" t="s">
        <v>4940</v>
      </c>
      <c r="Y61" s="3">
        <v>45478</v>
      </c>
      <c r="Z61" s="1">
        <v>2024</v>
      </c>
      <c r="AA61" s="2">
        <v>376201.08</v>
      </c>
      <c r="AB61" s="2"/>
      <c r="AC61" s="2">
        <v>124050.27</v>
      </c>
      <c r="AD61" s="1">
        <v>2</v>
      </c>
      <c r="AG61" s="1" t="s">
        <v>21</v>
      </c>
      <c r="AI61" s="2">
        <v>124050.27</v>
      </c>
      <c r="AK61" s="1"/>
    </row>
    <row r="62" spans="1:38" ht="15" customHeight="1" x14ac:dyDescent="0.2">
      <c r="A62" s="1" t="s">
        <v>19</v>
      </c>
      <c r="B62" s="5" t="s">
        <v>18</v>
      </c>
      <c r="C62" s="1" t="s">
        <v>17</v>
      </c>
      <c r="D62" s="1" t="s">
        <v>16</v>
      </c>
      <c r="E62" s="1" t="s">
        <v>35</v>
      </c>
      <c r="F62" s="1" t="s">
        <v>3897</v>
      </c>
      <c r="G62" s="1" t="s">
        <v>3896</v>
      </c>
      <c r="H62" s="1" t="s">
        <v>12</v>
      </c>
      <c r="I62" s="1" t="s">
        <v>4939</v>
      </c>
      <c r="J62" s="1">
        <v>2023</v>
      </c>
      <c r="K62" s="1" t="s">
        <v>4938</v>
      </c>
      <c r="L62" s="1" t="s">
        <v>4937</v>
      </c>
      <c r="M62" s="1" t="s">
        <v>4936</v>
      </c>
      <c r="N62" s="1" t="s">
        <v>4935</v>
      </c>
      <c r="P62" s="1" t="s">
        <v>4934</v>
      </c>
      <c r="Q62" s="1" t="s">
        <v>27</v>
      </c>
      <c r="R62" s="1" t="s">
        <v>26</v>
      </c>
      <c r="S62" s="1" t="s">
        <v>2624</v>
      </c>
      <c r="T62" s="1" t="s">
        <v>2623</v>
      </c>
      <c r="U62" s="1">
        <v>2</v>
      </c>
      <c r="V62" s="1" t="s">
        <v>767</v>
      </c>
      <c r="W62" s="1" t="s">
        <v>4933</v>
      </c>
      <c r="X62" s="1" t="s">
        <v>1544</v>
      </c>
      <c r="Y62" s="3">
        <v>45222</v>
      </c>
      <c r="Z62" s="1">
        <v>2023</v>
      </c>
      <c r="AA62" s="2">
        <v>5589069.75</v>
      </c>
      <c r="AB62" s="2"/>
      <c r="AC62" s="2">
        <v>2175000</v>
      </c>
      <c r="AG62" s="1" t="s">
        <v>1</v>
      </c>
      <c r="AI62" s="2">
        <v>2175000</v>
      </c>
      <c r="AK62" s="1"/>
    </row>
    <row r="63" spans="1:38" ht="15" customHeight="1" x14ac:dyDescent="0.2">
      <c r="A63" s="1" t="s">
        <v>19</v>
      </c>
      <c r="B63" s="5" t="s">
        <v>18</v>
      </c>
      <c r="C63" s="1" t="s">
        <v>17</v>
      </c>
      <c r="D63" s="1" t="s">
        <v>16</v>
      </c>
      <c r="E63" s="1" t="s">
        <v>35</v>
      </c>
      <c r="F63" s="1" t="s">
        <v>1575</v>
      </c>
      <c r="G63" s="1" t="s">
        <v>1574</v>
      </c>
      <c r="H63" s="1" t="s">
        <v>12</v>
      </c>
      <c r="I63" s="1" t="s">
        <v>4932</v>
      </c>
      <c r="J63" s="1">
        <v>2023</v>
      </c>
      <c r="K63" s="1" t="s">
        <v>4931</v>
      </c>
      <c r="L63" s="1" t="s">
        <v>4930</v>
      </c>
      <c r="M63" s="1" t="s">
        <v>4929</v>
      </c>
      <c r="N63" s="1" t="s">
        <v>4928</v>
      </c>
      <c r="P63" s="1" t="s">
        <v>1799</v>
      </c>
      <c r="Q63" s="1" t="s">
        <v>27</v>
      </c>
      <c r="R63" s="1" t="s">
        <v>26</v>
      </c>
      <c r="S63" s="1" t="s">
        <v>805</v>
      </c>
      <c r="T63" s="1" t="s">
        <v>804</v>
      </c>
      <c r="U63" s="1">
        <v>2</v>
      </c>
      <c r="V63" s="1" t="s">
        <v>767</v>
      </c>
      <c r="W63" s="1" t="s">
        <v>4927</v>
      </c>
      <c r="X63" s="1" t="s">
        <v>2</v>
      </c>
      <c r="Y63" s="3">
        <v>45786</v>
      </c>
      <c r="Z63" s="1">
        <v>2025</v>
      </c>
      <c r="AA63" s="2">
        <v>10896385</v>
      </c>
      <c r="AB63" s="2"/>
      <c r="AC63" s="2">
        <v>4358554</v>
      </c>
      <c r="AD63" s="1">
        <v>0</v>
      </c>
      <c r="AF63" s="2"/>
      <c r="AG63" s="1" t="s">
        <v>1</v>
      </c>
      <c r="AI63" s="2">
        <v>4358554</v>
      </c>
      <c r="AK63" s="1"/>
      <c r="AL63" s="1" t="s">
        <v>4926</v>
      </c>
    </row>
    <row r="64" spans="1:38" ht="15" customHeight="1" x14ac:dyDescent="0.2">
      <c r="A64" s="1" t="s">
        <v>19</v>
      </c>
      <c r="B64" s="5" t="s">
        <v>18</v>
      </c>
      <c r="C64" s="1" t="s">
        <v>17</v>
      </c>
      <c r="D64" s="1" t="s">
        <v>16</v>
      </c>
      <c r="E64" s="1" t="s">
        <v>35</v>
      </c>
      <c r="F64" s="1" t="s">
        <v>4925</v>
      </c>
      <c r="G64" s="1" t="s">
        <v>4924</v>
      </c>
      <c r="H64" s="1" t="s">
        <v>12</v>
      </c>
      <c r="I64" s="1" t="s">
        <v>4923</v>
      </c>
      <c r="J64" s="1">
        <v>2022</v>
      </c>
      <c r="K64" s="1" t="s">
        <v>4922</v>
      </c>
      <c r="L64" s="1" t="s">
        <v>4921</v>
      </c>
      <c r="M64" s="1" t="s">
        <v>4920</v>
      </c>
      <c r="N64" s="1" t="s">
        <v>1739</v>
      </c>
      <c r="P64" s="1" t="s">
        <v>4919</v>
      </c>
      <c r="Q64" s="1" t="s">
        <v>27</v>
      </c>
      <c r="R64" s="1" t="s">
        <v>26</v>
      </c>
      <c r="S64" s="1" t="s">
        <v>434</v>
      </c>
      <c r="T64" s="1" t="s">
        <v>433</v>
      </c>
      <c r="U64" s="1">
        <v>1</v>
      </c>
      <c r="V64" s="1" t="s">
        <v>432</v>
      </c>
      <c r="W64" s="1" t="s">
        <v>4918</v>
      </c>
      <c r="Y64" s="3">
        <v>45112</v>
      </c>
      <c r="Z64" s="1">
        <v>2023</v>
      </c>
      <c r="AA64" s="2">
        <v>550843.52</v>
      </c>
      <c r="AB64" s="2"/>
      <c r="AC64" s="2">
        <v>159054.70000000001</v>
      </c>
      <c r="AG64" s="1" t="s">
        <v>1</v>
      </c>
      <c r="AI64" s="2">
        <v>159054.70000000001</v>
      </c>
      <c r="AK64" s="1"/>
    </row>
    <row r="65" spans="1:36" s="1" customFormat="1" ht="15" customHeight="1" x14ac:dyDescent="0.2">
      <c r="A65" s="1" t="s">
        <v>19</v>
      </c>
      <c r="B65" s="5" t="s">
        <v>109</v>
      </c>
      <c r="C65" s="1" t="s">
        <v>37</v>
      </c>
      <c r="D65" s="1" t="s">
        <v>211</v>
      </c>
      <c r="E65" s="1" t="s">
        <v>35</v>
      </c>
      <c r="F65" s="1" t="s">
        <v>210</v>
      </c>
      <c r="G65" s="1" t="s">
        <v>209</v>
      </c>
      <c r="H65" s="1" t="s">
        <v>130</v>
      </c>
      <c r="I65" s="1" t="s">
        <v>4917</v>
      </c>
      <c r="J65" s="1">
        <v>2023</v>
      </c>
      <c r="K65" s="1" t="s">
        <v>4914</v>
      </c>
      <c r="L65" s="1" t="s">
        <v>4914</v>
      </c>
      <c r="M65" s="1" t="s">
        <v>4916</v>
      </c>
      <c r="P65" s="1" t="s">
        <v>4915</v>
      </c>
      <c r="Q65" s="1" t="s">
        <v>780</v>
      </c>
      <c r="R65" s="1" t="s">
        <v>4739</v>
      </c>
      <c r="S65" s="1" t="s">
        <v>4738</v>
      </c>
      <c r="T65" s="1" t="s">
        <v>4737</v>
      </c>
      <c r="V65" s="1" t="s">
        <v>4</v>
      </c>
      <c r="W65" s="1" t="s">
        <v>4914</v>
      </c>
      <c r="Y65" s="3">
        <v>45478</v>
      </c>
      <c r="Z65" s="1">
        <v>2024</v>
      </c>
      <c r="AA65" s="2">
        <v>221000</v>
      </c>
      <c r="AB65" s="2"/>
      <c r="AC65" s="2">
        <v>55250</v>
      </c>
      <c r="AD65" s="1">
        <v>0</v>
      </c>
      <c r="AG65" s="1" t="s">
        <v>21</v>
      </c>
      <c r="AI65" s="2">
        <v>55250</v>
      </c>
    </row>
    <row r="66" spans="1:36" s="1" customFormat="1" ht="15" customHeight="1" x14ac:dyDescent="0.2">
      <c r="A66" s="1" t="s">
        <v>19</v>
      </c>
      <c r="B66" s="5" t="s">
        <v>18</v>
      </c>
      <c r="C66" s="1" t="s">
        <v>17</v>
      </c>
      <c r="D66" s="1" t="s">
        <v>16</v>
      </c>
      <c r="E66" s="1" t="s">
        <v>15</v>
      </c>
      <c r="F66" s="1" t="s">
        <v>14</v>
      </c>
      <c r="G66" s="1" t="s">
        <v>13</v>
      </c>
      <c r="H66" s="1" t="s">
        <v>12</v>
      </c>
      <c r="I66" s="1" t="s">
        <v>4913</v>
      </c>
      <c r="J66" s="1">
        <v>2022</v>
      </c>
      <c r="K66" s="1" t="s">
        <v>4912</v>
      </c>
      <c r="L66" s="1" t="s">
        <v>4908</v>
      </c>
      <c r="M66" s="1" t="s">
        <v>4911</v>
      </c>
      <c r="N66" s="1" t="s">
        <v>4910</v>
      </c>
      <c r="P66" s="1" t="s">
        <v>4909</v>
      </c>
      <c r="Q66" s="1" t="s">
        <v>27</v>
      </c>
      <c r="R66" s="1" t="s">
        <v>26</v>
      </c>
      <c r="S66" s="1" t="s">
        <v>1310</v>
      </c>
      <c r="T66" s="1" t="s">
        <v>1309</v>
      </c>
      <c r="U66" s="1">
        <v>2</v>
      </c>
      <c r="V66" s="1" t="s">
        <v>767</v>
      </c>
      <c r="W66" s="1" t="s">
        <v>4908</v>
      </c>
      <c r="X66" s="1" t="s">
        <v>2</v>
      </c>
      <c r="Y66" s="3">
        <v>45208</v>
      </c>
      <c r="Z66" s="1">
        <v>2023</v>
      </c>
      <c r="AA66" s="2">
        <v>175000</v>
      </c>
      <c r="AB66" s="2"/>
      <c r="AC66" s="2">
        <v>140000</v>
      </c>
      <c r="AG66" s="1" t="s">
        <v>1</v>
      </c>
      <c r="AI66" s="2">
        <v>140000</v>
      </c>
    </row>
    <row r="67" spans="1:36" s="1" customFormat="1" ht="15" customHeight="1" x14ac:dyDescent="0.2">
      <c r="A67" s="1" t="s">
        <v>19</v>
      </c>
      <c r="B67" s="5" t="s">
        <v>18</v>
      </c>
      <c r="C67" s="1" t="s">
        <v>37</v>
      </c>
      <c r="D67" s="1" t="s">
        <v>211</v>
      </c>
      <c r="E67" s="1" t="s">
        <v>35</v>
      </c>
      <c r="F67" s="1" t="s">
        <v>210</v>
      </c>
      <c r="G67" s="1" t="s">
        <v>209</v>
      </c>
      <c r="H67" s="1" t="s">
        <v>130</v>
      </c>
      <c r="I67" s="1" t="s">
        <v>4907</v>
      </c>
      <c r="J67" s="1">
        <v>2023</v>
      </c>
      <c r="K67" s="1" t="s">
        <v>4903</v>
      </c>
      <c r="L67" s="1" t="s">
        <v>4906</v>
      </c>
      <c r="M67" s="1" t="s">
        <v>4905</v>
      </c>
      <c r="P67" s="1" t="s">
        <v>4904</v>
      </c>
      <c r="Q67" s="1" t="s">
        <v>780</v>
      </c>
      <c r="R67" s="1" t="s">
        <v>4739</v>
      </c>
      <c r="S67" s="1" t="s">
        <v>4898</v>
      </c>
      <c r="T67" s="1" t="s">
        <v>4897</v>
      </c>
      <c r="V67" s="1" t="s">
        <v>4</v>
      </c>
      <c r="W67" s="1" t="s">
        <v>4903</v>
      </c>
      <c r="Y67" s="3">
        <v>45478</v>
      </c>
      <c r="Z67" s="1">
        <v>2024</v>
      </c>
      <c r="AA67" s="2">
        <v>319206</v>
      </c>
      <c r="AB67" s="2"/>
      <c r="AC67" s="2">
        <v>63841.2</v>
      </c>
      <c r="AD67" s="1">
        <v>0</v>
      </c>
      <c r="AG67" s="1" t="s">
        <v>21</v>
      </c>
      <c r="AI67" s="2">
        <v>63841.2</v>
      </c>
    </row>
    <row r="68" spans="1:36" s="1" customFormat="1" ht="15" customHeight="1" x14ac:dyDescent="0.2">
      <c r="A68" s="1" t="s">
        <v>19</v>
      </c>
      <c r="B68" s="5" t="s">
        <v>18</v>
      </c>
      <c r="C68" s="1" t="s">
        <v>37</v>
      </c>
      <c r="D68" s="1" t="s">
        <v>211</v>
      </c>
      <c r="E68" s="1" t="s">
        <v>35</v>
      </c>
      <c r="F68" s="1" t="s">
        <v>267</v>
      </c>
      <c r="G68" s="1" t="s">
        <v>266</v>
      </c>
      <c r="H68" s="1" t="s">
        <v>130</v>
      </c>
      <c r="I68" s="1" t="s">
        <v>4902</v>
      </c>
      <c r="J68" s="1">
        <v>2023</v>
      </c>
      <c r="K68" s="1" t="s">
        <v>4896</v>
      </c>
      <c r="L68" s="1" t="s">
        <v>4896</v>
      </c>
      <c r="M68" s="1" t="s">
        <v>4901</v>
      </c>
      <c r="N68" s="1" t="s">
        <v>4900</v>
      </c>
      <c r="P68" s="1" t="s">
        <v>4899</v>
      </c>
      <c r="Q68" s="1" t="s">
        <v>780</v>
      </c>
      <c r="R68" s="1" t="s">
        <v>4739</v>
      </c>
      <c r="S68" s="1" t="s">
        <v>4898</v>
      </c>
      <c r="T68" s="1" t="s">
        <v>4897</v>
      </c>
      <c r="V68" s="1" t="s">
        <v>4</v>
      </c>
      <c r="W68" s="1" t="s">
        <v>4896</v>
      </c>
      <c r="Y68" s="3">
        <v>45462</v>
      </c>
      <c r="Z68" s="1">
        <v>2024</v>
      </c>
      <c r="AA68" s="2">
        <v>5379034.0899999999</v>
      </c>
      <c r="AB68" s="2"/>
      <c r="AC68" s="2">
        <v>942379.26</v>
      </c>
      <c r="AD68" s="1">
        <v>18</v>
      </c>
      <c r="AE68" s="1">
        <v>5</v>
      </c>
      <c r="AG68" s="1" t="s">
        <v>21</v>
      </c>
      <c r="AI68" s="2">
        <v>942379.26</v>
      </c>
    </row>
    <row r="69" spans="1:36" s="1" customFormat="1" ht="15" customHeight="1" x14ac:dyDescent="0.25">
      <c r="A69" s="1" t="s">
        <v>19</v>
      </c>
      <c r="B69" s="5" t="s">
        <v>18</v>
      </c>
      <c r="C69" s="4" t="s">
        <v>17</v>
      </c>
      <c r="D69" s="4" t="s">
        <v>16</v>
      </c>
      <c r="E69" s="4" t="s">
        <v>35</v>
      </c>
      <c r="F69" s="1" t="s">
        <v>3699</v>
      </c>
      <c r="G69" s="1" t="s">
        <v>4895</v>
      </c>
      <c r="H69" s="1" t="s">
        <v>12</v>
      </c>
      <c r="I69" s="4" t="s">
        <v>4894</v>
      </c>
      <c r="J69" s="4">
        <v>2024</v>
      </c>
      <c r="K69" s="55" t="s">
        <v>4893</v>
      </c>
      <c r="L69" s="55" t="s">
        <v>4892</v>
      </c>
      <c r="M69" s="56" t="s">
        <v>4891</v>
      </c>
      <c r="N69" s="1" t="s">
        <v>4890</v>
      </c>
      <c r="O69" s="55" t="s">
        <v>4889</v>
      </c>
      <c r="P69" s="4" t="s">
        <v>4888</v>
      </c>
      <c r="Q69" s="4" t="s">
        <v>27</v>
      </c>
      <c r="R69" s="4" t="s">
        <v>26</v>
      </c>
      <c r="S69" s="4" t="s">
        <v>871</v>
      </c>
      <c r="T69" s="4" t="s">
        <v>870</v>
      </c>
      <c r="U69" s="4">
        <v>2</v>
      </c>
      <c r="V69" s="1" t="s">
        <v>767</v>
      </c>
      <c r="W69" s="4" t="s">
        <v>4887</v>
      </c>
      <c r="Y69" s="52">
        <v>45958</v>
      </c>
      <c r="Z69" s="1">
        <v>2025</v>
      </c>
      <c r="AA69" s="39">
        <v>54788</v>
      </c>
      <c r="AB69" s="39"/>
      <c r="AC69" s="2">
        <v>26428.92</v>
      </c>
      <c r="AG69" s="1" t="s">
        <v>1</v>
      </c>
      <c r="AI69" s="2">
        <v>26428.92</v>
      </c>
      <c r="AJ69" s="2"/>
    </row>
    <row r="70" spans="1:36" s="1" customFormat="1" ht="15" customHeight="1" x14ac:dyDescent="0.25">
      <c r="A70" s="1" t="s">
        <v>19</v>
      </c>
      <c r="B70" s="5" t="s">
        <v>18</v>
      </c>
      <c r="C70" s="1" t="s">
        <v>17</v>
      </c>
      <c r="D70" s="1" t="s">
        <v>16</v>
      </c>
      <c r="E70" s="1" t="s">
        <v>35</v>
      </c>
      <c r="F70" s="1" t="s">
        <v>4681</v>
      </c>
      <c r="G70" s="1" t="s">
        <v>4680</v>
      </c>
      <c r="H70" s="1" t="s">
        <v>12</v>
      </c>
      <c r="I70" s="1" t="s">
        <v>4886</v>
      </c>
      <c r="J70" s="1">
        <v>2023</v>
      </c>
      <c r="K70" s="1" t="s">
        <v>4885</v>
      </c>
      <c r="L70" s="1" t="s">
        <v>4884</v>
      </c>
      <c r="N70" s="1" t="s">
        <v>4792</v>
      </c>
      <c r="O70" s="1" t="s">
        <v>4812</v>
      </c>
      <c r="P70" s="1" t="s">
        <v>4883</v>
      </c>
      <c r="Q70" s="1" t="s">
        <v>27</v>
      </c>
      <c r="R70" s="1" t="s">
        <v>26</v>
      </c>
      <c r="S70" s="1" t="s">
        <v>2463</v>
      </c>
      <c r="T70" s="1" t="s">
        <v>2462</v>
      </c>
      <c r="U70" s="1">
        <v>1</v>
      </c>
      <c r="V70" s="1" t="s">
        <v>2439</v>
      </c>
      <c r="W70" s="1" t="s">
        <v>4882</v>
      </c>
      <c r="Y70" s="3">
        <v>45631</v>
      </c>
      <c r="Z70" s="1">
        <v>2024</v>
      </c>
      <c r="AA70" s="2">
        <v>15425544.5</v>
      </c>
      <c r="AB70" s="39"/>
      <c r="AC70" s="2">
        <v>5398940.5800000001</v>
      </c>
      <c r="AG70" s="1" t="s">
        <v>1</v>
      </c>
      <c r="AI70" s="2">
        <v>5398940.5800000001</v>
      </c>
    </row>
    <row r="71" spans="1:36" s="1" customFormat="1" ht="15" customHeight="1" x14ac:dyDescent="0.25">
      <c r="A71" s="1" t="s">
        <v>19</v>
      </c>
      <c r="B71" s="5" t="s">
        <v>18</v>
      </c>
      <c r="C71" s="1" t="s">
        <v>17</v>
      </c>
      <c r="D71" s="1" t="s">
        <v>16</v>
      </c>
      <c r="E71" s="1" t="s">
        <v>35</v>
      </c>
      <c r="F71" s="1" t="s">
        <v>4681</v>
      </c>
      <c r="G71" s="1" t="s">
        <v>4680</v>
      </c>
      <c r="H71" s="1" t="s">
        <v>12</v>
      </c>
      <c r="I71" s="1" t="s">
        <v>4881</v>
      </c>
      <c r="J71" s="1">
        <v>2023</v>
      </c>
      <c r="K71" s="1" t="s">
        <v>4880</v>
      </c>
      <c r="L71" s="1" t="s">
        <v>4879</v>
      </c>
      <c r="N71" s="1" t="s">
        <v>4792</v>
      </c>
      <c r="O71" s="1" t="s">
        <v>4812</v>
      </c>
      <c r="P71" s="1" t="s">
        <v>4878</v>
      </c>
      <c r="Q71" s="1" t="s">
        <v>27</v>
      </c>
      <c r="R71" s="1" t="s">
        <v>26</v>
      </c>
      <c r="S71" s="1" t="s">
        <v>2463</v>
      </c>
      <c r="T71" s="1" t="s">
        <v>2462</v>
      </c>
      <c r="U71" s="1">
        <v>1</v>
      </c>
      <c r="V71" s="1" t="s">
        <v>2439</v>
      </c>
      <c r="W71" s="1" t="s">
        <v>4877</v>
      </c>
      <c r="Y71" s="3">
        <v>45631</v>
      </c>
      <c r="Z71" s="1">
        <v>2024</v>
      </c>
      <c r="AA71" s="2">
        <v>12561877.640000001</v>
      </c>
      <c r="AB71" s="39"/>
      <c r="AC71" s="2">
        <v>1645942.6</v>
      </c>
      <c r="AG71" s="1" t="s">
        <v>1</v>
      </c>
      <c r="AI71" s="2">
        <v>1645942.6</v>
      </c>
    </row>
    <row r="72" spans="1:36" s="1" customFormat="1" ht="15" customHeight="1" x14ac:dyDescent="0.25">
      <c r="A72" s="1" t="s">
        <v>19</v>
      </c>
      <c r="B72" s="5" t="s">
        <v>18</v>
      </c>
      <c r="C72" s="1" t="s">
        <v>17</v>
      </c>
      <c r="D72" s="1" t="s">
        <v>16</v>
      </c>
      <c r="E72" s="1" t="s">
        <v>35</v>
      </c>
      <c r="F72" s="1" t="s">
        <v>4681</v>
      </c>
      <c r="G72" s="1" t="s">
        <v>4680</v>
      </c>
      <c r="H72" s="1" t="s">
        <v>12</v>
      </c>
      <c r="I72" s="1" t="s">
        <v>4876</v>
      </c>
      <c r="J72" s="1">
        <v>2023</v>
      </c>
      <c r="K72" s="1" t="s">
        <v>4875</v>
      </c>
      <c r="L72" s="1" t="s">
        <v>4874</v>
      </c>
      <c r="N72" s="1" t="s">
        <v>4792</v>
      </c>
      <c r="O72" s="1" t="s">
        <v>4812</v>
      </c>
      <c r="P72" s="1" t="s">
        <v>4869</v>
      </c>
      <c r="Q72" s="1" t="s">
        <v>27</v>
      </c>
      <c r="R72" s="1" t="s">
        <v>26</v>
      </c>
      <c r="S72" s="1" t="s">
        <v>810</v>
      </c>
      <c r="T72" s="1" t="s">
        <v>809</v>
      </c>
      <c r="U72" s="1">
        <v>1</v>
      </c>
      <c r="V72" s="1" t="s">
        <v>767</v>
      </c>
      <c r="W72" s="1" t="s">
        <v>4873</v>
      </c>
      <c r="Y72" s="3">
        <v>45631</v>
      </c>
      <c r="Z72" s="1">
        <v>2024</v>
      </c>
      <c r="AA72" s="2">
        <v>9491188.6300000008</v>
      </c>
      <c r="AB72" s="39"/>
      <c r="AC72" s="39">
        <v>2510000</v>
      </c>
      <c r="AG72" s="1" t="s">
        <v>1</v>
      </c>
      <c r="AI72" s="2">
        <v>2510000</v>
      </c>
    </row>
    <row r="73" spans="1:36" s="1" customFormat="1" ht="15" customHeight="1" x14ac:dyDescent="0.25">
      <c r="A73" s="1" t="s">
        <v>19</v>
      </c>
      <c r="B73" s="5" t="s">
        <v>18</v>
      </c>
      <c r="C73" s="1" t="s">
        <v>17</v>
      </c>
      <c r="D73" s="1" t="s">
        <v>16</v>
      </c>
      <c r="E73" s="1" t="s">
        <v>35</v>
      </c>
      <c r="F73" s="1" t="s">
        <v>4681</v>
      </c>
      <c r="G73" s="1" t="s">
        <v>4680</v>
      </c>
      <c r="H73" s="1" t="s">
        <v>12</v>
      </c>
      <c r="I73" s="1" t="s">
        <v>4872</v>
      </c>
      <c r="J73" s="1">
        <v>2023</v>
      </c>
      <c r="K73" s="1" t="s">
        <v>4871</v>
      </c>
      <c r="L73" s="1" t="s">
        <v>4870</v>
      </c>
      <c r="N73" s="1" t="s">
        <v>4792</v>
      </c>
      <c r="O73" s="1" t="s">
        <v>4812</v>
      </c>
      <c r="P73" s="1" t="s">
        <v>4869</v>
      </c>
      <c r="Q73" s="1" t="s">
        <v>27</v>
      </c>
      <c r="R73" s="1" t="s">
        <v>26</v>
      </c>
      <c r="S73" s="1" t="s">
        <v>810</v>
      </c>
      <c r="T73" s="1" t="s">
        <v>809</v>
      </c>
      <c r="U73" s="1">
        <v>1</v>
      </c>
      <c r="V73" s="1" t="s">
        <v>767</v>
      </c>
      <c r="W73" s="1" t="s">
        <v>4868</v>
      </c>
      <c r="Y73" s="3">
        <v>45631</v>
      </c>
      <c r="Z73" s="1">
        <v>2024</v>
      </c>
      <c r="AA73" s="2">
        <v>12203518.51</v>
      </c>
      <c r="AB73" s="39"/>
      <c r="AC73" s="39">
        <v>2810000</v>
      </c>
      <c r="AG73" s="1" t="s">
        <v>1</v>
      </c>
      <c r="AI73" s="2">
        <v>2810000</v>
      </c>
    </row>
    <row r="74" spans="1:36" s="1" customFormat="1" ht="15" customHeight="1" x14ac:dyDescent="0.25">
      <c r="A74" s="1" t="s">
        <v>19</v>
      </c>
      <c r="B74" s="5" t="s">
        <v>18</v>
      </c>
      <c r="C74" s="1" t="s">
        <v>17</v>
      </c>
      <c r="D74" s="1" t="s">
        <v>16</v>
      </c>
      <c r="E74" s="1" t="s">
        <v>35</v>
      </c>
      <c r="F74" s="1" t="s">
        <v>4681</v>
      </c>
      <c r="G74" s="1" t="s">
        <v>4680</v>
      </c>
      <c r="H74" s="1" t="s">
        <v>12</v>
      </c>
      <c r="I74" s="1" t="s">
        <v>4867</v>
      </c>
      <c r="J74" s="1">
        <v>2023</v>
      </c>
      <c r="K74" s="1" t="s">
        <v>4866</v>
      </c>
      <c r="L74" s="1" t="s">
        <v>4865</v>
      </c>
      <c r="M74" s="1" t="s">
        <v>4836</v>
      </c>
      <c r="N74" s="1" t="s">
        <v>4792</v>
      </c>
      <c r="O74" s="1" t="s">
        <v>4812</v>
      </c>
      <c r="P74" s="1" t="s">
        <v>4864</v>
      </c>
      <c r="Q74" s="1" t="s">
        <v>27</v>
      </c>
      <c r="R74" s="1" t="s">
        <v>26</v>
      </c>
      <c r="S74" s="1" t="s">
        <v>2666</v>
      </c>
      <c r="T74" s="1" t="s">
        <v>2665</v>
      </c>
      <c r="U74" s="1">
        <v>2</v>
      </c>
      <c r="V74" s="1" t="s">
        <v>2439</v>
      </c>
      <c r="W74" s="1" t="s">
        <v>4863</v>
      </c>
      <c r="Y74" s="3">
        <v>45631</v>
      </c>
      <c r="Z74" s="1">
        <v>2024</v>
      </c>
      <c r="AA74" s="2">
        <v>27241999.239999998</v>
      </c>
      <c r="AB74" s="39"/>
      <c r="AC74" s="39">
        <v>5000000</v>
      </c>
      <c r="AG74" s="1" t="s">
        <v>1</v>
      </c>
      <c r="AI74" s="2">
        <v>5000000</v>
      </c>
    </row>
    <row r="75" spans="1:36" s="1" customFormat="1" ht="15" customHeight="1" x14ac:dyDescent="0.25">
      <c r="A75" s="1" t="s">
        <v>19</v>
      </c>
      <c r="B75" s="5" t="s">
        <v>18</v>
      </c>
      <c r="C75" s="1" t="s">
        <v>17</v>
      </c>
      <c r="D75" s="1" t="s">
        <v>16</v>
      </c>
      <c r="E75" s="1" t="s">
        <v>35</v>
      </c>
      <c r="F75" s="1" t="s">
        <v>4681</v>
      </c>
      <c r="G75" s="1" t="s">
        <v>4680</v>
      </c>
      <c r="H75" s="1" t="s">
        <v>12</v>
      </c>
      <c r="I75" s="1" t="s">
        <v>4862</v>
      </c>
      <c r="J75" s="1">
        <v>2023</v>
      </c>
      <c r="K75" s="1" t="s">
        <v>4861</v>
      </c>
      <c r="L75" s="1" t="s">
        <v>4860</v>
      </c>
      <c r="N75" s="1" t="s">
        <v>4792</v>
      </c>
      <c r="O75" s="1" t="s">
        <v>4812</v>
      </c>
      <c r="P75" s="1" t="s">
        <v>4851</v>
      </c>
      <c r="Q75" s="1" t="s">
        <v>27</v>
      </c>
      <c r="R75" s="1" t="s">
        <v>26</v>
      </c>
      <c r="S75" s="1" t="s">
        <v>2624</v>
      </c>
      <c r="T75" s="1" t="s">
        <v>2623</v>
      </c>
      <c r="U75" s="1">
        <v>2</v>
      </c>
      <c r="V75" s="1" t="s">
        <v>2439</v>
      </c>
      <c r="W75" s="1" t="s">
        <v>4859</v>
      </c>
      <c r="Y75" s="3">
        <v>45631</v>
      </c>
      <c r="Z75" s="1">
        <v>2024</v>
      </c>
      <c r="AA75" s="2">
        <v>5178681.72</v>
      </c>
      <c r="AB75" s="39"/>
      <c r="AC75" s="2">
        <v>786745.33</v>
      </c>
      <c r="AG75" s="1" t="s">
        <v>1</v>
      </c>
      <c r="AI75" s="2">
        <v>786745.33</v>
      </c>
    </row>
    <row r="76" spans="1:36" s="1" customFormat="1" ht="15" customHeight="1" x14ac:dyDescent="0.25">
      <c r="A76" s="1" t="s">
        <v>19</v>
      </c>
      <c r="B76" s="5" t="s">
        <v>18</v>
      </c>
      <c r="C76" s="1" t="s">
        <v>17</v>
      </c>
      <c r="D76" s="1" t="s">
        <v>16</v>
      </c>
      <c r="E76" s="1" t="s">
        <v>35</v>
      </c>
      <c r="F76" s="1" t="s">
        <v>4681</v>
      </c>
      <c r="G76" s="1" t="s">
        <v>4680</v>
      </c>
      <c r="H76" s="1" t="s">
        <v>12</v>
      </c>
      <c r="I76" s="1" t="s">
        <v>4858</v>
      </c>
      <c r="J76" s="1">
        <v>2023</v>
      </c>
      <c r="K76" s="1" t="s">
        <v>4857</v>
      </c>
      <c r="L76" s="57" t="s">
        <v>4856</v>
      </c>
      <c r="N76" s="1" t="s">
        <v>4792</v>
      </c>
      <c r="O76" s="1" t="s">
        <v>4812</v>
      </c>
      <c r="P76" s="1" t="s">
        <v>4851</v>
      </c>
      <c r="Q76" s="1" t="s">
        <v>27</v>
      </c>
      <c r="R76" s="1" t="s">
        <v>26</v>
      </c>
      <c r="S76" s="1" t="s">
        <v>2463</v>
      </c>
      <c r="T76" s="1" t="s">
        <v>2462</v>
      </c>
      <c r="U76" s="1">
        <v>1</v>
      </c>
      <c r="V76" s="1" t="s">
        <v>2439</v>
      </c>
      <c r="W76" s="1" t="s">
        <v>4855</v>
      </c>
      <c r="Y76" s="3">
        <v>45631</v>
      </c>
      <c r="Z76" s="1">
        <v>2024</v>
      </c>
      <c r="AA76" s="2">
        <v>13495447.9</v>
      </c>
      <c r="AB76" s="39"/>
      <c r="AC76" s="2">
        <v>2429180.62</v>
      </c>
      <c r="AG76" s="1" t="s">
        <v>1</v>
      </c>
      <c r="AI76" s="2">
        <v>2429180.62</v>
      </c>
    </row>
    <row r="77" spans="1:36" s="1" customFormat="1" ht="15" customHeight="1" x14ac:dyDescent="0.25">
      <c r="A77" s="1" t="s">
        <v>19</v>
      </c>
      <c r="B77" s="5" t="s">
        <v>18</v>
      </c>
      <c r="C77" s="1" t="s">
        <v>17</v>
      </c>
      <c r="D77" s="1" t="s">
        <v>16</v>
      </c>
      <c r="E77" s="1" t="s">
        <v>35</v>
      </c>
      <c r="F77" s="1" t="s">
        <v>4681</v>
      </c>
      <c r="G77" s="1" t="s">
        <v>4680</v>
      </c>
      <c r="H77" s="1" t="s">
        <v>12</v>
      </c>
      <c r="I77" s="1" t="s">
        <v>4854</v>
      </c>
      <c r="J77" s="1">
        <v>2023</v>
      </c>
      <c r="K77" s="1" t="s">
        <v>4853</v>
      </c>
      <c r="L77" s="1" t="s">
        <v>4852</v>
      </c>
      <c r="N77" s="1" t="s">
        <v>4792</v>
      </c>
      <c r="O77" s="1" t="s">
        <v>4812</v>
      </c>
      <c r="P77" s="1" t="s">
        <v>4851</v>
      </c>
      <c r="Q77" s="1" t="s">
        <v>27</v>
      </c>
      <c r="R77" s="1" t="s">
        <v>26</v>
      </c>
      <c r="S77" s="1" t="s">
        <v>2624</v>
      </c>
      <c r="T77" s="1" t="s">
        <v>2623</v>
      </c>
      <c r="U77" s="1">
        <v>2</v>
      </c>
      <c r="V77" s="1" t="s">
        <v>2439</v>
      </c>
      <c r="W77" s="1" t="s">
        <v>4850</v>
      </c>
      <c r="Y77" s="3">
        <v>45631</v>
      </c>
      <c r="Z77" s="1">
        <v>2024</v>
      </c>
      <c r="AA77" s="2">
        <v>5190846.32</v>
      </c>
      <c r="AB77" s="39"/>
      <c r="AC77" s="2">
        <v>808212.03</v>
      </c>
      <c r="AG77" s="1" t="s">
        <v>1</v>
      </c>
      <c r="AI77" s="2">
        <v>808212.03</v>
      </c>
    </row>
    <row r="78" spans="1:36" s="1" customFormat="1" ht="15" customHeight="1" x14ac:dyDescent="0.25">
      <c r="A78" s="1" t="s">
        <v>19</v>
      </c>
      <c r="B78" s="5" t="s">
        <v>18</v>
      </c>
      <c r="C78" s="1" t="s">
        <v>17</v>
      </c>
      <c r="D78" s="1" t="s">
        <v>16</v>
      </c>
      <c r="E78" s="1" t="s">
        <v>35</v>
      </c>
      <c r="F78" s="1" t="s">
        <v>4681</v>
      </c>
      <c r="G78" s="1" t="s">
        <v>4680</v>
      </c>
      <c r="H78" s="1" t="s">
        <v>12</v>
      </c>
      <c r="I78" s="1" t="s">
        <v>4849</v>
      </c>
      <c r="J78" s="1">
        <v>2023</v>
      </c>
      <c r="K78" s="1" t="s">
        <v>4848</v>
      </c>
      <c r="L78" s="1" t="s">
        <v>4847</v>
      </c>
      <c r="N78" s="1" t="s">
        <v>4792</v>
      </c>
      <c r="O78" s="1" t="s">
        <v>4812</v>
      </c>
      <c r="P78" s="1" t="s">
        <v>4846</v>
      </c>
      <c r="Q78" s="1" t="s">
        <v>27</v>
      </c>
      <c r="R78" s="1" t="s">
        <v>26</v>
      </c>
      <c r="S78" s="1" t="s">
        <v>2456</v>
      </c>
      <c r="T78" s="1" t="s">
        <v>2455</v>
      </c>
      <c r="U78" s="1">
        <v>1</v>
      </c>
      <c r="V78" s="1" t="s">
        <v>2439</v>
      </c>
      <c r="W78" s="1" t="s">
        <v>4845</v>
      </c>
      <c r="Y78" s="3">
        <v>45631</v>
      </c>
      <c r="Z78" s="1">
        <v>2024</v>
      </c>
      <c r="AA78" s="2">
        <v>19284419.359999999</v>
      </c>
      <c r="AB78" s="39"/>
      <c r="AC78" s="39">
        <v>4782536</v>
      </c>
      <c r="AG78" s="1" t="s">
        <v>1</v>
      </c>
      <c r="AI78" s="2">
        <v>4782536</v>
      </c>
    </row>
    <row r="79" spans="1:36" s="1" customFormat="1" ht="15" customHeight="1" x14ac:dyDescent="0.25">
      <c r="A79" s="1" t="s">
        <v>19</v>
      </c>
      <c r="B79" s="5" t="s">
        <v>18</v>
      </c>
      <c r="C79" s="1" t="s">
        <v>17</v>
      </c>
      <c r="D79" s="1" t="s">
        <v>16</v>
      </c>
      <c r="E79" s="1" t="s">
        <v>35</v>
      </c>
      <c r="F79" s="1" t="s">
        <v>4681</v>
      </c>
      <c r="G79" s="1" t="s">
        <v>4680</v>
      </c>
      <c r="H79" s="1" t="s">
        <v>12</v>
      </c>
      <c r="I79" s="1" t="s">
        <v>4844</v>
      </c>
      <c r="J79" s="1">
        <v>2023</v>
      </c>
      <c r="K79" s="1" t="s">
        <v>4843</v>
      </c>
      <c r="L79" s="1" t="s">
        <v>4842</v>
      </c>
      <c r="N79" s="1" t="s">
        <v>4792</v>
      </c>
      <c r="O79" s="1" t="s">
        <v>4812</v>
      </c>
      <c r="P79" s="1" t="s">
        <v>4841</v>
      </c>
      <c r="Q79" s="1" t="s">
        <v>27</v>
      </c>
      <c r="R79" s="1" t="s">
        <v>26</v>
      </c>
      <c r="S79" s="1" t="s">
        <v>2666</v>
      </c>
      <c r="T79" s="1" t="s">
        <v>2665</v>
      </c>
      <c r="U79" s="1">
        <v>2</v>
      </c>
      <c r="V79" s="1" t="s">
        <v>2439</v>
      </c>
      <c r="W79" s="1" t="s">
        <v>4840</v>
      </c>
      <c r="Y79" s="3">
        <v>45631</v>
      </c>
      <c r="Z79" s="1">
        <v>2024</v>
      </c>
      <c r="AA79" s="2">
        <v>45628058.689999998</v>
      </c>
      <c r="AB79" s="39"/>
      <c r="AC79" s="39">
        <v>9760000</v>
      </c>
      <c r="AG79" s="1" t="s">
        <v>1</v>
      </c>
      <c r="AI79" s="2">
        <v>9760000</v>
      </c>
    </row>
    <row r="80" spans="1:36" s="1" customFormat="1" ht="15" customHeight="1" x14ac:dyDescent="0.25">
      <c r="A80" s="1" t="s">
        <v>19</v>
      </c>
      <c r="B80" s="5" t="s">
        <v>18</v>
      </c>
      <c r="C80" s="1" t="s">
        <v>17</v>
      </c>
      <c r="D80" s="1" t="s">
        <v>16</v>
      </c>
      <c r="E80" s="1" t="s">
        <v>35</v>
      </c>
      <c r="F80" s="1" t="s">
        <v>4681</v>
      </c>
      <c r="G80" s="1" t="s">
        <v>4680</v>
      </c>
      <c r="H80" s="1" t="s">
        <v>12</v>
      </c>
      <c r="I80" s="1" t="s">
        <v>4839</v>
      </c>
      <c r="J80" s="1">
        <v>2023</v>
      </c>
      <c r="K80" s="1" t="s">
        <v>4838</v>
      </c>
      <c r="L80" s="1" t="s">
        <v>4837</v>
      </c>
      <c r="M80" s="1" t="s">
        <v>4836</v>
      </c>
      <c r="N80" s="1" t="s">
        <v>4792</v>
      </c>
      <c r="O80" s="1" t="s">
        <v>4812</v>
      </c>
      <c r="P80" s="1" t="s">
        <v>4835</v>
      </c>
      <c r="Q80" s="1" t="s">
        <v>27</v>
      </c>
      <c r="R80" s="1" t="s">
        <v>26</v>
      </c>
      <c r="S80" s="1" t="s">
        <v>810</v>
      </c>
      <c r="T80" s="1" t="s">
        <v>809</v>
      </c>
      <c r="U80" s="1">
        <v>1</v>
      </c>
      <c r="V80" s="1" t="s">
        <v>767</v>
      </c>
      <c r="W80" s="1" t="s">
        <v>4834</v>
      </c>
      <c r="Y80" s="3">
        <v>45631</v>
      </c>
      <c r="Z80" s="1">
        <v>2024</v>
      </c>
      <c r="AA80" s="2">
        <v>42639020.850000001</v>
      </c>
      <c r="AB80" s="39"/>
      <c r="AC80" s="2">
        <v>5411028.1399999997</v>
      </c>
      <c r="AG80" s="1" t="s">
        <v>1</v>
      </c>
      <c r="AI80" s="2">
        <v>5411028.1399999997</v>
      </c>
    </row>
    <row r="81" spans="1:37" ht="15" customHeight="1" x14ac:dyDescent="0.25">
      <c r="A81" s="1" t="s">
        <v>19</v>
      </c>
      <c r="B81" s="5" t="s">
        <v>18</v>
      </c>
      <c r="C81" s="1" t="s">
        <v>17</v>
      </c>
      <c r="D81" s="1" t="s">
        <v>16</v>
      </c>
      <c r="E81" s="1" t="s">
        <v>35</v>
      </c>
      <c r="F81" s="1" t="s">
        <v>4681</v>
      </c>
      <c r="G81" s="1" t="s">
        <v>4680</v>
      </c>
      <c r="H81" s="1" t="s">
        <v>12</v>
      </c>
      <c r="I81" s="1" t="s">
        <v>4833</v>
      </c>
      <c r="J81" s="1">
        <v>2023</v>
      </c>
      <c r="K81" s="1" t="s">
        <v>4832</v>
      </c>
      <c r="L81" s="1" t="s">
        <v>4831</v>
      </c>
      <c r="M81" s="1" t="s">
        <v>4830</v>
      </c>
      <c r="N81" s="1" t="s">
        <v>4792</v>
      </c>
      <c r="O81" s="1" t="s">
        <v>4812</v>
      </c>
      <c r="P81" s="1" t="s">
        <v>4829</v>
      </c>
      <c r="Q81" s="1" t="s">
        <v>27</v>
      </c>
      <c r="R81" s="1" t="s">
        <v>26</v>
      </c>
      <c r="S81" s="1" t="s">
        <v>810</v>
      </c>
      <c r="T81" s="1" t="s">
        <v>809</v>
      </c>
      <c r="U81" s="1">
        <v>1</v>
      </c>
      <c r="V81" s="1" t="s">
        <v>767</v>
      </c>
      <c r="W81" s="1" t="s">
        <v>4828</v>
      </c>
      <c r="Y81" s="3">
        <v>45631</v>
      </c>
      <c r="Z81" s="1">
        <v>2024</v>
      </c>
      <c r="AA81" s="2">
        <v>14523470.08</v>
      </c>
      <c r="AB81" s="39"/>
      <c r="AC81" s="39">
        <v>3650000</v>
      </c>
      <c r="AG81" s="1" t="s">
        <v>1</v>
      </c>
      <c r="AI81" s="2">
        <v>3650000</v>
      </c>
      <c r="AK81" s="1"/>
    </row>
    <row r="82" spans="1:37" ht="15" customHeight="1" x14ac:dyDescent="0.25">
      <c r="A82" s="1" t="s">
        <v>19</v>
      </c>
      <c r="B82" s="5" t="s">
        <v>18</v>
      </c>
      <c r="C82" s="1" t="s">
        <v>17</v>
      </c>
      <c r="D82" s="1" t="s">
        <v>16</v>
      </c>
      <c r="E82" s="1" t="s">
        <v>35</v>
      </c>
      <c r="F82" s="1" t="s">
        <v>4681</v>
      </c>
      <c r="G82" s="1" t="s">
        <v>4680</v>
      </c>
      <c r="H82" s="1" t="s">
        <v>12</v>
      </c>
      <c r="I82" s="1" t="s">
        <v>4827</v>
      </c>
      <c r="J82" s="1">
        <v>2023</v>
      </c>
      <c r="K82" s="1" t="s">
        <v>4826</v>
      </c>
      <c r="L82" s="1" t="s">
        <v>4825</v>
      </c>
      <c r="M82" s="1" t="s">
        <v>4824</v>
      </c>
      <c r="N82" s="1" t="s">
        <v>4792</v>
      </c>
      <c r="O82" s="1" t="s">
        <v>4812</v>
      </c>
      <c r="P82" s="1" t="s">
        <v>4823</v>
      </c>
      <c r="Q82" s="1" t="s">
        <v>27</v>
      </c>
      <c r="R82" s="1" t="s">
        <v>26</v>
      </c>
      <c r="S82" s="1" t="s">
        <v>805</v>
      </c>
      <c r="T82" s="1" t="s">
        <v>804</v>
      </c>
      <c r="U82" s="1">
        <v>2</v>
      </c>
      <c r="V82" s="1" t="s">
        <v>767</v>
      </c>
      <c r="W82" s="1" t="s">
        <v>4822</v>
      </c>
      <c r="Y82" s="3">
        <v>45631</v>
      </c>
      <c r="Z82" s="1">
        <v>2024</v>
      </c>
      <c r="AA82" s="2">
        <v>17484301.579999998</v>
      </c>
      <c r="AB82" s="39"/>
      <c r="AC82" s="2">
        <v>2166613.2000000002</v>
      </c>
      <c r="AG82" s="1" t="s">
        <v>1</v>
      </c>
      <c r="AI82" s="2">
        <v>2166613.2000000002</v>
      </c>
      <c r="AK82" s="1"/>
    </row>
    <row r="83" spans="1:37" ht="15" customHeight="1" x14ac:dyDescent="0.25">
      <c r="A83" s="1" t="s">
        <v>19</v>
      </c>
      <c r="B83" s="5" t="s">
        <v>18</v>
      </c>
      <c r="C83" s="1" t="s">
        <v>17</v>
      </c>
      <c r="D83" s="1" t="s">
        <v>16</v>
      </c>
      <c r="E83" s="1" t="s">
        <v>35</v>
      </c>
      <c r="F83" s="1" t="s">
        <v>4681</v>
      </c>
      <c r="G83" s="1" t="s">
        <v>4680</v>
      </c>
      <c r="H83" s="1" t="s">
        <v>12</v>
      </c>
      <c r="I83" s="1" t="s">
        <v>4821</v>
      </c>
      <c r="J83" s="1">
        <v>2023</v>
      </c>
      <c r="K83" s="1" t="s">
        <v>4817</v>
      </c>
      <c r="L83" s="1" t="s">
        <v>4820</v>
      </c>
      <c r="M83" s="1" t="s">
        <v>4819</v>
      </c>
      <c r="N83" s="1" t="s">
        <v>4792</v>
      </c>
      <c r="O83" s="1" t="s">
        <v>4812</v>
      </c>
      <c r="P83" s="1" t="s">
        <v>4818</v>
      </c>
      <c r="Q83" s="1" t="s">
        <v>27</v>
      </c>
      <c r="R83" s="1" t="s">
        <v>26</v>
      </c>
      <c r="S83" s="1" t="s">
        <v>2973</v>
      </c>
      <c r="T83" s="1" t="s">
        <v>2972</v>
      </c>
      <c r="U83" s="1">
        <v>2</v>
      </c>
      <c r="V83" s="1" t="s">
        <v>2439</v>
      </c>
      <c r="W83" s="1" t="s">
        <v>4817</v>
      </c>
      <c r="Y83" s="3">
        <v>45631</v>
      </c>
      <c r="Z83" s="1">
        <v>2024</v>
      </c>
      <c r="AA83" s="2">
        <v>50167673.270000003</v>
      </c>
      <c r="AB83" s="39"/>
      <c r="AC83" s="2">
        <v>11538564.85</v>
      </c>
      <c r="AG83" s="1" t="s">
        <v>1</v>
      </c>
      <c r="AI83" s="2">
        <v>11538564.85</v>
      </c>
      <c r="AK83" s="1"/>
    </row>
    <row r="84" spans="1:37" ht="15" customHeight="1" x14ac:dyDescent="0.25">
      <c r="A84" s="1" t="s">
        <v>19</v>
      </c>
      <c r="B84" s="5" t="s">
        <v>18</v>
      </c>
      <c r="C84" s="1" t="s">
        <v>17</v>
      </c>
      <c r="D84" s="1" t="s">
        <v>16</v>
      </c>
      <c r="E84" s="1" t="s">
        <v>35</v>
      </c>
      <c r="F84" s="1" t="s">
        <v>4681</v>
      </c>
      <c r="G84" s="1" t="s">
        <v>4680</v>
      </c>
      <c r="H84" s="1" t="s">
        <v>12</v>
      </c>
      <c r="I84" s="1" t="s">
        <v>4816</v>
      </c>
      <c r="J84" s="1">
        <v>2023</v>
      </c>
      <c r="K84" s="1" t="s">
        <v>4815</v>
      </c>
      <c r="L84" s="1" t="s">
        <v>4814</v>
      </c>
      <c r="M84" s="1" t="s">
        <v>4813</v>
      </c>
      <c r="N84" s="1" t="s">
        <v>4792</v>
      </c>
      <c r="O84" s="1" t="s">
        <v>4812</v>
      </c>
      <c r="P84" s="1" t="s">
        <v>4811</v>
      </c>
      <c r="Q84" s="1" t="s">
        <v>27</v>
      </c>
      <c r="R84" s="1" t="s">
        <v>26</v>
      </c>
      <c r="S84" s="1" t="s">
        <v>2624</v>
      </c>
      <c r="T84" s="1" t="s">
        <v>2623</v>
      </c>
      <c r="U84" s="1">
        <v>2</v>
      </c>
      <c r="V84" s="1" t="s">
        <v>2439</v>
      </c>
      <c r="W84" s="1" t="s">
        <v>4810</v>
      </c>
      <c r="Y84" s="3">
        <v>45631</v>
      </c>
      <c r="Z84" s="1">
        <v>2024</v>
      </c>
      <c r="AA84" s="2">
        <v>6235468.54</v>
      </c>
      <c r="AB84" s="39"/>
      <c r="AC84" s="2">
        <v>2182413.9900000002</v>
      </c>
      <c r="AG84" s="1" t="s">
        <v>1</v>
      </c>
      <c r="AI84" s="2">
        <v>2182413.9900000002</v>
      </c>
      <c r="AK84" s="1"/>
    </row>
    <row r="85" spans="1:37" ht="15" customHeight="1" x14ac:dyDescent="0.25">
      <c r="A85" s="1" t="s">
        <v>19</v>
      </c>
      <c r="B85" s="5" t="s">
        <v>18</v>
      </c>
      <c r="C85" s="4" t="s">
        <v>17</v>
      </c>
      <c r="D85" s="4" t="s">
        <v>16</v>
      </c>
      <c r="E85" s="4" t="s">
        <v>35</v>
      </c>
      <c r="F85" s="1" t="s">
        <v>3908</v>
      </c>
      <c r="G85" s="4" t="s">
        <v>3907</v>
      </c>
      <c r="H85" s="1" t="s">
        <v>3906</v>
      </c>
      <c r="I85" s="4" t="s">
        <v>4809</v>
      </c>
      <c r="J85" s="1">
        <v>2025</v>
      </c>
      <c r="K85" s="1" t="s">
        <v>4808</v>
      </c>
      <c r="L85" s="1" t="s">
        <v>4807</v>
      </c>
      <c r="M85" s="56" t="s">
        <v>4806</v>
      </c>
      <c r="N85" s="1" t="s">
        <v>4792</v>
      </c>
      <c r="O85" s="55" t="s">
        <v>4799</v>
      </c>
      <c r="P85" s="4" t="s">
        <v>4805</v>
      </c>
      <c r="Q85" s="4" t="s">
        <v>27</v>
      </c>
      <c r="R85" s="4" t="s">
        <v>26</v>
      </c>
      <c r="S85" s="4" t="s">
        <v>2655</v>
      </c>
      <c r="T85" s="4" t="s">
        <v>2654</v>
      </c>
      <c r="U85" s="4">
        <v>2</v>
      </c>
      <c r="V85" s="4" t="s">
        <v>2439</v>
      </c>
      <c r="W85" s="4" t="s">
        <v>4804</v>
      </c>
      <c r="Y85" s="52">
        <v>46014</v>
      </c>
      <c r="Z85" s="1">
        <v>2025</v>
      </c>
      <c r="AA85" s="39">
        <v>15608000</v>
      </c>
      <c r="AB85" s="39"/>
      <c r="AC85" s="39">
        <v>4454800</v>
      </c>
      <c r="AG85" s="1" t="s">
        <v>1</v>
      </c>
      <c r="AI85" s="2">
        <v>4454800</v>
      </c>
      <c r="AJ85" s="2"/>
      <c r="AK85" s="1"/>
    </row>
    <row r="86" spans="1:37" ht="15" customHeight="1" x14ac:dyDescent="0.25">
      <c r="A86" s="1" t="s">
        <v>19</v>
      </c>
      <c r="B86" s="5" t="s">
        <v>18</v>
      </c>
      <c r="C86" s="4" t="s">
        <v>17</v>
      </c>
      <c r="D86" s="4" t="s">
        <v>16</v>
      </c>
      <c r="E86" s="4" t="s">
        <v>35</v>
      </c>
      <c r="F86" s="1" t="s">
        <v>3908</v>
      </c>
      <c r="G86" s="4" t="s">
        <v>3907</v>
      </c>
      <c r="H86" s="1" t="s">
        <v>3906</v>
      </c>
      <c r="I86" s="4" t="s">
        <v>4803</v>
      </c>
      <c r="J86" s="1">
        <v>2025</v>
      </c>
      <c r="K86" s="1" t="s">
        <v>4802</v>
      </c>
      <c r="L86" s="1" t="s">
        <v>4801</v>
      </c>
      <c r="M86" s="9" t="s">
        <v>4800</v>
      </c>
      <c r="N86" s="1" t="s">
        <v>4792</v>
      </c>
      <c r="O86" s="1" t="s">
        <v>4799</v>
      </c>
      <c r="P86" s="4" t="s">
        <v>4798</v>
      </c>
      <c r="Q86" s="4" t="s">
        <v>27</v>
      </c>
      <c r="R86" s="4" t="s">
        <v>26</v>
      </c>
      <c r="S86" s="4" t="s">
        <v>2655</v>
      </c>
      <c r="T86" s="4" t="s">
        <v>2654</v>
      </c>
      <c r="U86" s="4">
        <v>2</v>
      </c>
      <c r="V86" s="4" t="s">
        <v>2439</v>
      </c>
      <c r="W86" s="4" t="s">
        <v>4797</v>
      </c>
      <c r="Y86" s="52">
        <v>46014</v>
      </c>
      <c r="Z86" s="1">
        <v>2025</v>
      </c>
      <c r="AA86" s="39">
        <v>3990000</v>
      </c>
      <c r="AB86" s="39"/>
      <c r="AC86" s="39">
        <v>1979800</v>
      </c>
      <c r="AG86" s="1" t="s">
        <v>1</v>
      </c>
      <c r="AI86" s="2">
        <v>1979800</v>
      </c>
      <c r="AJ86" s="2"/>
      <c r="AK86" s="1"/>
    </row>
    <row r="87" spans="1:37" ht="15" customHeight="1" x14ac:dyDescent="0.25">
      <c r="A87" s="1" t="s">
        <v>19</v>
      </c>
      <c r="B87" s="5" t="s">
        <v>18</v>
      </c>
      <c r="C87" s="4" t="s">
        <v>17</v>
      </c>
      <c r="D87" s="4" t="s">
        <v>16</v>
      </c>
      <c r="E87" s="4" t="s">
        <v>35</v>
      </c>
      <c r="F87" s="1" t="s">
        <v>3908</v>
      </c>
      <c r="G87" s="4" t="s">
        <v>3907</v>
      </c>
      <c r="H87" s="1" t="s">
        <v>3906</v>
      </c>
      <c r="I87" s="4" t="s">
        <v>4796</v>
      </c>
      <c r="J87" s="1">
        <v>2025</v>
      </c>
      <c r="K87" s="55" t="s">
        <v>4795</v>
      </c>
      <c r="L87" s="1" t="s">
        <v>4794</v>
      </c>
      <c r="M87" s="9" t="s">
        <v>4793</v>
      </c>
      <c r="N87" s="1" t="s">
        <v>4792</v>
      </c>
      <c r="O87" s="1" t="s">
        <v>4791</v>
      </c>
      <c r="P87" s="4" t="s">
        <v>3928</v>
      </c>
      <c r="Q87" s="4" t="s">
        <v>27</v>
      </c>
      <c r="R87" s="4" t="s">
        <v>26</v>
      </c>
      <c r="S87" s="4" t="s">
        <v>2624</v>
      </c>
      <c r="T87" s="4" t="s">
        <v>2623</v>
      </c>
      <c r="U87" s="4">
        <v>1</v>
      </c>
      <c r="V87" s="4" t="s">
        <v>2439</v>
      </c>
      <c r="W87" s="4" t="s">
        <v>4790</v>
      </c>
      <c r="Y87" s="52">
        <v>46014</v>
      </c>
      <c r="Z87" s="1">
        <v>2025</v>
      </c>
      <c r="AA87" s="39">
        <v>5413103.8899999997</v>
      </c>
      <c r="AB87" s="39"/>
      <c r="AC87" s="39">
        <v>2146559.9900000002</v>
      </c>
      <c r="AG87" s="1" t="s">
        <v>1</v>
      </c>
      <c r="AI87" s="2">
        <v>2146559.9900000002</v>
      </c>
      <c r="AJ87" s="2"/>
      <c r="AK87" s="1"/>
    </row>
    <row r="88" spans="1:37" ht="15" customHeight="1" x14ac:dyDescent="0.2">
      <c r="A88" s="1" t="s">
        <v>19</v>
      </c>
      <c r="B88" s="5" t="s">
        <v>18</v>
      </c>
      <c r="C88" s="1" t="s">
        <v>17</v>
      </c>
      <c r="D88" s="1" t="s">
        <v>16</v>
      </c>
      <c r="E88" s="1" t="s">
        <v>15</v>
      </c>
      <c r="F88" s="1" t="s">
        <v>1601</v>
      </c>
      <c r="G88" s="1" t="s">
        <v>1600</v>
      </c>
      <c r="H88" s="1" t="s">
        <v>12</v>
      </c>
      <c r="I88" s="1" t="s">
        <v>4789</v>
      </c>
      <c r="J88" s="1">
        <v>2022</v>
      </c>
      <c r="K88" s="1" t="s">
        <v>4788</v>
      </c>
      <c r="L88" s="1" t="s">
        <v>4787</v>
      </c>
      <c r="N88" s="1" t="s">
        <v>4786</v>
      </c>
      <c r="O88" s="1" t="e">
        <f>VLOOKUP(Tabla16[[#This Row],[Ref. Proyecto]],#REF!,9,FALSE)</f>
        <v>#REF!</v>
      </c>
      <c r="P88" s="1" t="s">
        <v>262</v>
      </c>
      <c r="Q88" s="1" t="s">
        <v>27</v>
      </c>
      <c r="R88" s="1" t="s">
        <v>26</v>
      </c>
      <c r="S88" s="1" t="s">
        <v>91</v>
      </c>
      <c r="T88" s="1" t="s">
        <v>90</v>
      </c>
      <c r="U88" s="1">
        <v>1</v>
      </c>
      <c r="V88" s="1" t="s">
        <v>23</v>
      </c>
      <c r="W88" s="1" t="s">
        <v>4785</v>
      </c>
      <c r="Y88" s="3">
        <v>45112</v>
      </c>
      <c r="Z88" s="1">
        <v>2023</v>
      </c>
      <c r="AA88" s="2">
        <v>3123700.8</v>
      </c>
      <c r="AB88" s="2"/>
      <c r="AC88" s="2">
        <v>2498960.64</v>
      </c>
      <c r="AD88" s="1">
        <v>3</v>
      </c>
      <c r="AG88" s="1" t="s">
        <v>1</v>
      </c>
      <c r="AI88" s="2">
        <v>2498960.64</v>
      </c>
      <c r="AK88" s="1"/>
    </row>
    <row r="89" spans="1:37" ht="15" customHeight="1" x14ac:dyDescent="0.2">
      <c r="A89" s="1" t="s">
        <v>19</v>
      </c>
      <c r="B89" s="5" t="s">
        <v>18</v>
      </c>
      <c r="C89" s="1" t="s">
        <v>17</v>
      </c>
      <c r="D89" s="1" t="s">
        <v>16</v>
      </c>
      <c r="E89" s="1" t="s">
        <v>15</v>
      </c>
      <c r="F89" s="1" t="s">
        <v>1591</v>
      </c>
      <c r="G89" s="1" t="s">
        <v>1590</v>
      </c>
      <c r="H89" s="1" t="s">
        <v>12</v>
      </c>
      <c r="I89" s="1" t="s">
        <v>4784</v>
      </c>
      <c r="J89" s="1">
        <v>2023</v>
      </c>
      <c r="K89" s="1" t="s">
        <v>4783</v>
      </c>
      <c r="L89" s="1" t="s">
        <v>4782</v>
      </c>
      <c r="M89" s="48" t="s">
        <v>4781</v>
      </c>
      <c r="N89" s="1" t="s">
        <v>4780</v>
      </c>
      <c r="O89" s="1" t="s">
        <v>4779</v>
      </c>
      <c r="P89" s="1" t="s">
        <v>4778</v>
      </c>
      <c r="Q89" s="1" t="s">
        <v>27</v>
      </c>
      <c r="R89" s="1" t="s">
        <v>26</v>
      </c>
      <c r="S89" s="1" t="s">
        <v>2624</v>
      </c>
      <c r="T89" s="1" t="s">
        <v>2623</v>
      </c>
      <c r="U89" s="1">
        <v>2</v>
      </c>
      <c r="V89" s="1" t="s">
        <v>2439</v>
      </c>
      <c r="W89" s="1" t="s">
        <v>4777</v>
      </c>
      <c r="X89" s="1" t="s">
        <v>2</v>
      </c>
      <c r="Y89" s="3">
        <v>45281</v>
      </c>
      <c r="Z89" s="1">
        <v>2023</v>
      </c>
      <c r="AA89" s="2">
        <v>71700000</v>
      </c>
      <c r="AB89" s="2" t="s">
        <v>0</v>
      </c>
      <c r="AC89" s="2">
        <v>15000000</v>
      </c>
      <c r="AD89" s="1" t="s">
        <v>0</v>
      </c>
      <c r="AF89" s="1" t="s">
        <v>0</v>
      </c>
      <c r="AG89" s="1" t="s">
        <v>1</v>
      </c>
      <c r="AH89" s="1" t="s">
        <v>0</v>
      </c>
      <c r="AI89" s="2">
        <v>15000000</v>
      </c>
      <c r="AK89" s="1" t="s">
        <v>0</v>
      </c>
    </row>
    <row r="90" spans="1:37" ht="15" customHeight="1" x14ac:dyDescent="0.2">
      <c r="A90" s="1" t="s">
        <v>19</v>
      </c>
      <c r="B90" s="5" t="s">
        <v>18</v>
      </c>
      <c r="C90" s="1" t="s">
        <v>17</v>
      </c>
      <c r="D90" s="1" t="s">
        <v>16</v>
      </c>
      <c r="E90" s="1" t="s">
        <v>35</v>
      </c>
      <c r="F90" s="1" t="s">
        <v>1829</v>
      </c>
      <c r="G90" s="1" t="s">
        <v>1828</v>
      </c>
      <c r="H90" s="1" t="s">
        <v>12</v>
      </c>
      <c r="I90" s="1" t="s">
        <v>4776</v>
      </c>
      <c r="J90" s="1">
        <v>2024</v>
      </c>
      <c r="K90" s="1" t="s">
        <v>4775</v>
      </c>
      <c r="L90" s="1" t="s">
        <v>4774</v>
      </c>
      <c r="M90" s="1" t="s">
        <v>4765</v>
      </c>
      <c r="N90" s="1" t="s">
        <v>4758</v>
      </c>
      <c r="O90" s="1" t="s">
        <v>4757</v>
      </c>
      <c r="P90" s="1" t="s">
        <v>1799</v>
      </c>
      <c r="Q90" s="1" t="s">
        <v>27</v>
      </c>
      <c r="R90" s="1" t="s">
        <v>26</v>
      </c>
      <c r="S90" s="1" t="s">
        <v>2677</v>
      </c>
      <c r="T90" s="1" t="s">
        <v>2676</v>
      </c>
      <c r="U90" s="1">
        <v>2</v>
      </c>
      <c r="V90" s="1" t="s">
        <v>2439</v>
      </c>
      <c r="W90" s="1" t="s">
        <v>4773</v>
      </c>
      <c r="X90" s="1" t="s">
        <v>1824</v>
      </c>
      <c r="Y90" s="3">
        <v>45807</v>
      </c>
      <c r="Z90" s="1">
        <v>2025</v>
      </c>
      <c r="AA90" s="2">
        <v>119000000</v>
      </c>
      <c r="AB90" s="2"/>
      <c r="AC90" s="2">
        <v>78000000</v>
      </c>
      <c r="AD90" s="1">
        <v>31</v>
      </c>
      <c r="AG90" s="1" t="s">
        <v>21</v>
      </c>
      <c r="AI90" s="2">
        <v>78000000</v>
      </c>
      <c r="AK90" s="1"/>
    </row>
    <row r="91" spans="1:37" ht="15" customHeight="1" x14ac:dyDescent="0.2">
      <c r="A91" s="1" t="s">
        <v>19</v>
      </c>
      <c r="B91" s="5" t="s">
        <v>18</v>
      </c>
      <c r="C91" s="1" t="s">
        <v>17</v>
      </c>
      <c r="D91" s="1" t="s">
        <v>16</v>
      </c>
      <c r="E91" s="1" t="s">
        <v>15</v>
      </c>
      <c r="F91" s="1" t="s">
        <v>1530</v>
      </c>
      <c r="G91" s="1" t="s">
        <v>1706</v>
      </c>
      <c r="H91" s="1" t="s">
        <v>12</v>
      </c>
      <c r="I91" s="1" t="s">
        <v>4772</v>
      </c>
      <c r="J91" s="1">
        <v>2022</v>
      </c>
      <c r="K91" s="1" t="s">
        <v>4771</v>
      </c>
      <c r="L91" s="1" t="s">
        <v>4770</v>
      </c>
      <c r="M91" s="1" t="s">
        <v>4765</v>
      </c>
      <c r="N91" s="1" t="s">
        <v>4758</v>
      </c>
      <c r="O91" s="1" t="s">
        <v>4757</v>
      </c>
      <c r="P91" s="1" t="s">
        <v>4764</v>
      </c>
      <c r="Q91" s="1" t="s">
        <v>27</v>
      </c>
      <c r="R91" s="1" t="s">
        <v>26</v>
      </c>
      <c r="S91" s="1" t="s">
        <v>2677</v>
      </c>
      <c r="T91" s="1" t="s">
        <v>2676</v>
      </c>
      <c r="U91" s="1">
        <v>2</v>
      </c>
      <c r="V91" s="1" t="s">
        <v>2439</v>
      </c>
      <c r="W91" s="1" t="s">
        <v>4769</v>
      </c>
      <c r="X91" s="1" t="s">
        <v>2</v>
      </c>
      <c r="Y91" s="3">
        <v>45069</v>
      </c>
      <c r="Z91" s="1">
        <v>2023</v>
      </c>
      <c r="AA91" s="2">
        <v>37422500</v>
      </c>
      <c r="AB91" s="2"/>
      <c r="AC91" s="2">
        <v>15000000</v>
      </c>
      <c r="AD91" s="1">
        <v>7</v>
      </c>
      <c r="AG91" s="1" t="s">
        <v>1</v>
      </c>
      <c r="AI91" s="2">
        <v>15000000</v>
      </c>
      <c r="AK91" s="1"/>
    </row>
    <row r="92" spans="1:37" ht="15" customHeight="1" x14ac:dyDescent="0.2">
      <c r="A92" s="1" t="s">
        <v>19</v>
      </c>
      <c r="B92" s="5" t="s">
        <v>18</v>
      </c>
      <c r="C92" s="1" t="s">
        <v>17</v>
      </c>
      <c r="D92" s="1" t="s">
        <v>16</v>
      </c>
      <c r="E92" s="1" t="s">
        <v>15</v>
      </c>
      <c r="F92" s="1" t="s">
        <v>1807</v>
      </c>
      <c r="G92" s="1" t="s">
        <v>1806</v>
      </c>
      <c r="H92" s="1" t="s">
        <v>12</v>
      </c>
      <c r="I92" s="1" t="s">
        <v>4768</v>
      </c>
      <c r="J92" s="1">
        <v>2022</v>
      </c>
      <c r="K92" s="1" t="s">
        <v>4767</v>
      </c>
      <c r="L92" s="1" t="s">
        <v>4766</v>
      </c>
      <c r="M92" s="1" t="s">
        <v>4765</v>
      </c>
      <c r="N92" s="1" t="s">
        <v>4758</v>
      </c>
      <c r="O92" s="1" t="s">
        <v>4757</v>
      </c>
      <c r="P92" s="1" t="s">
        <v>4764</v>
      </c>
      <c r="Q92" s="1" t="s">
        <v>27</v>
      </c>
      <c r="R92" s="1" t="s">
        <v>26</v>
      </c>
      <c r="S92" s="1" t="s">
        <v>2677</v>
      </c>
      <c r="T92" s="1" t="s">
        <v>2676</v>
      </c>
      <c r="U92" s="1">
        <v>2</v>
      </c>
      <c r="V92" s="1" t="s">
        <v>2439</v>
      </c>
      <c r="W92" s="1" t="s">
        <v>4763</v>
      </c>
      <c r="X92" s="1" t="s">
        <v>2</v>
      </c>
      <c r="Y92" s="3">
        <v>45019</v>
      </c>
      <c r="Z92" s="1">
        <v>2023</v>
      </c>
      <c r="AA92" s="2">
        <v>34303738.109999999</v>
      </c>
      <c r="AB92" s="2"/>
      <c r="AC92" s="2">
        <v>14877521.310000001</v>
      </c>
      <c r="AD92" s="1">
        <v>7</v>
      </c>
      <c r="AG92" s="1" t="s">
        <v>1</v>
      </c>
      <c r="AI92" s="2">
        <v>14877521.310000001</v>
      </c>
      <c r="AK92" s="1"/>
    </row>
    <row r="93" spans="1:37" ht="15" customHeight="1" x14ac:dyDescent="0.2">
      <c r="A93" s="1" t="s">
        <v>19</v>
      </c>
      <c r="B93" s="5" t="s">
        <v>18</v>
      </c>
      <c r="C93" s="1" t="s">
        <v>17</v>
      </c>
      <c r="D93" s="1" t="s">
        <v>16</v>
      </c>
      <c r="E93" s="1" t="s">
        <v>15</v>
      </c>
      <c r="F93" s="1" t="s">
        <v>1807</v>
      </c>
      <c r="G93" s="1" t="s">
        <v>1806</v>
      </c>
      <c r="H93" s="1" t="s">
        <v>12</v>
      </c>
      <c r="I93" s="1" t="s">
        <v>4762</v>
      </c>
      <c r="J93" s="1">
        <v>2022</v>
      </c>
      <c r="K93" s="1" t="s">
        <v>4761</v>
      </c>
      <c r="L93" s="1" t="s">
        <v>4760</v>
      </c>
      <c r="M93" s="1" t="s">
        <v>4759</v>
      </c>
      <c r="N93" s="1" t="s">
        <v>4758</v>
      </c>
      <c r="O93" s="1" t="s">
        <v>4757</v>
      </c>
      <c r="P93" s="1" t="s">
        <v>4756</v>
      </c>
      <c r="Q93" s="1" t="s">
        <v>27</v>
      </c>
      <c r="R93" s="1" t="s">
        <v>26</v>
      </c>
      <c r="S93" s="1" t="s">
        <v>2441</v>
      </c>
      <c r="T93" s="1" t="s">
        <v>2440</v>
      </c>
      <c r="U93" s="1">
        <v>1</v>
      </c>
      <c r="V93" s="1" t="s">
        <v>2439</v>
      </c>
      <c r="W93" s="1" t="s">
        <v>4755</v>
      </c>
      <c r="X93" s="1" t="s">
        <v>2</v>
      </c>
      <c r="Y93" s="3">
        <v>45019</v>
      </c>
      <c r="Z93" s="1">
        <v>2023</v>
      </c>
      <c r="AA93" s="2">
        <v>13892011.109999999</v>
      </c>
      <c r="AB93" s="2"/>
      <c r="AC93" s="2">
        <v>6028593.1299999999</v>
      </c>
      <c r="AD93" s="1">
        <v>7</v>
      </c>
      <c r="AG93" s="1" t="s">
        <v>1</v>
      </c>
      <c r="AI93" s="2">
        <v>6028593.1299999999</v>
      </c>
      <c r="AK93" s="1"/>
    </row>
    <row r="94" spans="1:37" ht="15" customHeight="1" x14ac:dyDescent="0.25">
      <c r="A94" s="1" t="s">
        <v>19</v>
      </c>
      <c r="B94" s="5" t="s">
        <v>18</v>
      </c>
      <c r="C94" s="1" t="s">
        <v>17</v>
      </c>
      <c r="D94" s="1" t="s">
        <v>16</v>
      </c>
      <c r="E94" s="1" t="s">
        <v>35</v>
      </c>
      <c r="F94" s="1" t="s">
        <v>4681</v>
      </c>
      <c r="G94" s="1" t="s">
        <v>4680</v>
      </c>
      <c r="H94" s="1" t="s">
        <v>12</v>
      </c>
      <c r="I94" s="1" t="s">
        <v>4754</v>
      </c>
      <c r="J94" s="1">
        <v>2023</v>
      </c>
      <c r="K94" s="1" t="s">
        <v>4753</v>
      </c>
      <c r="L94" s="1" t="s">
        <v>4752</v>
      </c>
      <c r="M94" s="1" t="s">
        <v>4751</v>
      </c>
      <c r="N94" s="1" t="s">
        <v>4750</v>
      </c>
      <c r="O94" s="1" t="s">
        <v>4749</v>
      </c>
      <c r="P94" s="1" t="s">
        <v>4748</v>
      </c>
      <c r="Q94" s="1" t="s">
        <v>8</v>
      </c>
      <c r="R94" s="1" t="s">
        <v>7</v>
      </c>
      <c r="S94" s="1" t="s">
        <v>4747</v>
      </c>
      <c r="T94" s="1" t="s">
        <v>4746</v>
      </c>
      <c r="U94" s="1">
        <v>0</v>
      </c>
      <c r="V94" s="1" t="s">
        <v>4</v>
      </c>
      <c r="W94" s="1" t="s">
        <v>4745</v>
      </c>
      <c r="Y94" s="3">
        <v>45631</v>
      </c>
      <c r="Z94" s="1">
        <v>2024</v>
      </c>
      <c r="AA94" s="39">
        <v>2517557</v>
      </c>
      <c r="AB94" s="39"/>
      <c r="AC94" s="39">
        <v>1007023</v>
      </c>
      <c r="AG94" s="1" t="s">
        <v>1</v>
      </c>
      <c r="AI94" s="2">
        <v>1007023</v>
      </c>
      <c r="AK94" s="1"/>
    </row>
    <row r="95" spans="1:37" ht="15" customHeight="1" x14ac:dyDescent="0.2">
      <c r="A95" s="1" t="s">
        <v>19</v>
      </c>
      <c r="B95" s="5" t="s">
        <v>18</v>
      </c>
      <c r="C95" s="1" t="s">
        <v>17</v>
      </c>
      <c r="D95" s="1" t="s">
        <v>16</v>
      </c>
      <c r="E95" s="1" t="s">
        <v>35</v>
      </c>
      <c r="F95" s="1" t="s">
        <v>14</v>
      </c>
      <c r="G95" s="1" t="s">
        <v>13</v>
      </c>
      <c r="H95" s="1" t="s">
        <v>12</v>
      </c>
      <c r="I95" s="1" t="s">
        <v>4744</v>
      </c>
      <c r="J95" s="1">
        <v>2022</v>
      </c>
      <c r="K95" s="1" t="s">
        <v>4743</v>
      </c>
      <c r="L95" s="1" t="s">
        <v>4742</v>
      </c>
      <c r="M95" s="1" t="s">
        <v>4741</v>
      </c>
      <c r="N95" s="1" t="s">
        <v>10</v>
      </c>
      <c r="P95" s="1" t="s">
        <v>4740</v>
      </c>
      <c r="Q95" s="1" t="s">
        <v>780</v>
      </c>
      <c r="R95" s="1" t="s">
        <v>4739</v>
      </c>
      <c r="S95" s="1" t="s">
        <v>4738</v>
      </c>
      <c r="T95" s="1" t="s">
        <v>4737</v>
      </c>
      <c r="V95" s="1" t="s">
        <v>4</v>
      </c>
      <c r="W95" s="1" t="s">
        <v>4736</v>
      </c>
      <c r="X95" s="1" t="s">
        <v>2</v>
      </c>
      <c r="Y95" s="3">
        <v>45208</v>
      </c>
      <c r="Z95" s="1">
        <v>2023</v>
      </c>
      <c r="AA95" s="2">
        <v>220800</v>
      </c>
      <c r="AB95" s="2"/>
      <c r="AC95" s="2">
        <v>150144</v>
      </c>
      <c r="AG95" s="1" t="s">
        <v>1</v>
      </c>
      <c r="AI95" s="2">
        <v>150144</v>
      </c>
      <c r="AK95" s="1"/>
    </row>
    <row r="96" spans="1:37" ht="15" customHeight="1" x14ac:dyDescent="0.25">
      <c r="A96" s="1" t="s">
        <v>19</v>
      </c>
      <c r="B96" s="5" t="s">
        <v>18</v>
      </c>
      <c r="C96" s="4" t="s">
        <v>17</v>
      </c>
      <c r="D96" s="4" t="s">
        <v>16</v>
      </c>
      <c r="E96" s="4" t="s">
        <v>35</v>
      </c>
      <c r="F96" s="1" t="s">
        <v>3908</v>
      </c>
      <c r="G96" s="4" t="s">
        <v>3907</v>
      </c>
      <c r="H96" s="1" t="s">
        <v>3906</v>
      </c>
      <c r="I96" s="4" t="s">
        <v>4735</v>
      </c>
      <c r="J96" s="1">
        <v>2025</v>
      </c>
      <c r="K96" s="1" t="s">
        <v>4734</v>
      </c>
      <c r="L96" s="1" t="s">
        <v>4733</v>
      </c>
      <c r="M96" s="48" t="s">
        <v>4732</v>
      </c>
      <c r="P96" s="4" t="s">
        <v>4731</v>
      </c>
      <c r="Q96" s="4" t="s">
        <v>771</v>
      </c>
      <c r="R96" s="4" t="s">
        <v>1060</v>
      </c>
      <c r="S96" s="4" t="s">
        <v>4730</v>
      </c>
      <c r="T96" s="4" t="s">
        <v>4043</v>
      </c>
      <c r="U96" s="4">
        <v>1</v>
      </c>
      <c r="V96" s="4" t="s">
        <v>771</v>
      </c>
      <c r="W96" s="4" t="s">
        <v>4729</v>
      </c>
      <c r="Y96" s="52">
        <v>46014</v>
      </c>
      <c r="Z96" s="1">
        <v>2025</v>
      </c>
      <c r="AA96" s="39">
        <v>1314900</v>
      </c>
      <c r="AB96" s="39"/>
      <c r="AC96" s="39">
        <v>359377.84</v>
      </c>
      <c r="AG96" s="1" t="s">
        <v>1</v>
      </c>
      <c r="AI96" s="2">
        <v>359377.84</v>
      </c>
      <c r="AJ96" s="2"/>
      <c r="AK96" s="1"/>
    </row>
    <row r="97" spans="1:38" ht="15" customHeight="1" x14ac:dyDescent="0.25">
      <c r="A97" s="1" t="s">
        <v>19</v>
      </c>
      <c r="B97" s="5" t="s">
        <v>18</v>
      </c>
      <c r="C97" s="1" t="s">
        <v>17</v>
      </c>
      <c r="D97" s="1" t="s">
        <v>16</v>
      </c>
      <c r="E97" s="1" t="s">
        <v>35</v>
      </c>
      <c r="F97" s="1" t="s">
        <v>4728</v>
      </c>
      <c r="G97" s="1" t="s">
        <v>4727</v>
      </c>
      <c r="H97" s="1" t="s">
        <v>12</v>
      </c>
      <c r="I97" s="1" t="s">
        <v>4726</v>
      </c>
      <c r="J97" s="1">
        <v>2024</v>
      </c>
      <c r="K97" s="1" t="s">
        <v>4725</v>
      </c>
      <c r="L97" s="1" t="s">
        <v>4725</v>
      </c>
      <c r="P97" s="1" t="s">
        <v>4724</v>
      </c>
      <c r="Q97" s="1" t="s">
        <v>771</v>
      </c>
      <c r="R97" s="1" t="s">
        <v>1060</v>
      </c>
      <c r="S97" s="1" t="s">
        <v>4251</v>
      </c>
      <c r="T97" s="1" t="s">
        <v>4250</v>
      </c>
      <c r="V97" s="1" t="s">
        <v>771</v>
      </c>
      <c r="W97" s="1" t="s">
        <v>4723</v>
      </c>
      <c r="Y97" s="3">
        <v>45869</v>
      </c>
      <c r="Z97" s="1">
        <v>2025</v>
      </c>
      <c r="AA97" s="2">
        <v>1610951</v>
      </c>
      <c r="AB97" s="12"/>
      <c r="AC97" s="2">
        <v>563125</v>
      </c>
      <c r="AG97" s="1" t="s">
        <v>1</v>
      </c>
      <c r="AI97" s="2">
        <v>563125</v>
      </c>
      <c r="AJ97" s="2"/>
      <c r="AK97" s="1"/>
    </row>
    <row r="98" spans="1:38" ht="15" customHeight="1" x14ac:dyDescent="0.2">
      <c r="A98" s="1" t="s">
        <v>19</v>
      </c>
      <c r="B98" s="5" t="s">
        <v>18</v>
      </c>
      <c r="C98" s="1" t="s">
        <v>37</v>
      </c>
      <c r="D98" s="1" t="s">
        <v>36</v>
      </c>
      <c r="E98" s="1" t="s">
        <v>35</v>
      </c>
      <c r="F98" s="1" t="s">
        <v>2131</v>
      </c>
      <c r="G98" s="1" t="s">
        <v>33</v>
      </c>
      <c r="H98" s="1" t="s">
        <v>2130</v>
      </c>
      <c r="I98" s="1" t="s">
        <v>4722</v>
      </c>
      <c r="J98" s="1">
        <v>2021</v>
      </c>
      <c r="K98" s="1" t="s">
        <v>4721</v>
      </c>
      <c r="L98" s="1" t="s">
        <v>4721</v>
      </c>
      <c r="P98" s="1" t="s">
        <v>2126</v>
      </c>
      <c r="Q98" s="1" t="s">
        <v>780</v>
      </c>
      <c r="R98" s="1" t="s">
        <v>941</v>
      </c>
      <c r="S98" s="1" t="s">
        <v>3339</v>
      </c>
      <c r="T98" s="1" t="s">
        <v>3338</v>
      </c>
      <c r="U98" s="1">
        <v>1</v>
      </c>
      <c r="V98" s="1" t="s">
        <v>3267</v>
      </c>
      <c r="W98" s="1" t="s">
        <v>4720</v>
      </c>
      <c r="Y98" s="3">
        <v>44363</v>
      </c>
      <c r="Z98" s="1">
        <v>2021</v>
      </c>
      <c r="AA98" s="2">
        <v>1066888.01</v>
      </c>
      <c r="AB98" s="2"/>
      <c r="AC98" s="2">
        <v>1066888.01</v>
      </c>
      <c r="AG98" s="1" t="s">
        <v>21</v>
      </c>
      <c r="AI98" s="2">
        <v>1066888.01</v>
      </c>
      <c r="AJ98" s="2"/>
      <c r="AK98" s="1"/>
      <c r="AL98" s="1" t="s">
        <v>4719</v>
      </c>
    </row>
    <row r="99" spans="1:38" ht="15" customHeight="1" x14ac:dyDescent="0.25">
      <c r="A99" s="1" t="s">
        <v>19</v>
      </c>
      <c r="B99" s="5" t="s">
        <v>18</v>
      </c>
      <c r="C99" s="4" t="s">
        <v>17</v>
      </c>
      <c r="D99" s="4" t="s">
        <v>16</v>
      </c>
      <c r="E99" s="4" t="s">
        <v>35</v>
      </c>
      <c r="F99" s="1" t="s">
        <v>3908</v>
      </c>
      <c r="G99" s="4" t="s">
        <v>3907</v>
      </c>
      <c r="H99" s="1" t="s">
        <v>3906</v>
      </c>
      <c r="I99" s="4" t="s">
        <v>4718</v>
      </c>
      <c r="J99" s="1">
        <v>2025</v>
      </c>
      <c r="K99" s="1" t="s">
        <v>4717</v>
      </c>
      <c r="L99" s="1" t="s">
        <v>4716</v>
      </c>
      <c r="P99" s="4" t="s">
        <v>4715</v>
      </c>
      <c r="Q99" s="4" t="s">
        <v>1749</v>
      </c>
      <c r="R99" s="4" t="s">
        <v>1748</v>
      </c>
      <c r="S99" s="4" t="s">
        <v>1768</v>
      </c>
      <c r="T99" s="4" t="s">
        <v>1767</v>
      </c>
      <c r="U99" s="4">
        <v>0</v>
      </c>
      <c r="V99" s="4" t="s">
        <v>1745</v>
      </c>
      <c r="W99" s="4" t="s">
        <v>4714</v>
      </c>
      <c r="Y99" s="52">
        <v>46014</v>
      </c>
      <c r="Z99" s="1">
        <v>2025</v>
      </c>
      <c r="AA99" s="39">
        <v>3600000</v>
      </c>
      <c r="AB99" s="39"/>
      <c r="AC99" s="39">
        <v>1468000</v>
      </c>
      <c r="AG99" s="1" t="s">
        <v>1</v>
      </c>
      <c r="AI99" s="2">
        <v>1468000</v>
      </c>
      <c r="AJ99" s="2"/>
      <c r="AK99" s="1"/>
    </row>
    <row r="100" spans="1:38" ht="15" customHeight="1" x14ac:dyDescent="0.25">
      <c r="A100" s="1" t="s">
        <v>19</v>
      </c>
      <c r="B100" s="5" t="s">
        <v>18</v>
      </c>
      <c r="C100" s="4" t="s">
        <v>17</v>
      </c>
      <c r="D100" s="4" t="s">
        <v>16</v>
      </c>
      <c r="E100" s="4" t="s">
        <v>35</v>
      </c>
      <c r="F100" s="1" t="s">
        <v>3908</v>
      </c>
      <c r="G100" s="4" t="s">
        <v>3907</v>
      </c>
      <c r="H100" s="1" t="s">
        <v>3906</v>
      </c>
      <c r="I100" s="4" t="s">
        <v>4713</v>
      </c>
      <c r="J100" s="1">
        <v>2025</v>
      </c>
      <c r="K100" s="1" t="s">
        <v>4712</v>
      </c>
      <c r="L100" s="1" t="s">
        <v>4711</v>
      </c>
      <c r="P100" s="4" t="s">
        <v>4710</v>
      </c>
      <c r="Q100" s="4" t="s">
        <v>1749</v>
      </c>
      <c r="R100" s="4" t="s">
        <v>1748</v>
      </c>
      <c r="S100" s="4" t="s">
        <v>1768</v>
      </c>
      <c r="T100" s="4" t="s">
        <v>1767</v>
      </c>
      <c r="U100" s="4">
        <v>0</v>
      </c>
      <c r="V100" s="4" t="s">
        <v>1745</v>
      </c>
      <c r="W100" s="4" t="s">
        <v>4709</v>
      </c>
      <c r="Y100" s="52">
        <v>46014</v>
      </c>
      <c r="Z100" s="1">
        <v>2025</v>
      </c>
      <c r="AA100" s="39">
        <v>23400000</v>
      </c>
      <c r="AB100" s="39"/>
      <c r="AC100" s="39">
        <v>19350000</v>
      </c>
      <c r="AG100" s="1" t="s">
        <v>1</v>
      </c>
      <c r="AI100" s="2">
        <v>19350000</v>
      </c>
      <c r="AJ100" s="2"/>
      <c r="AK100" s="1"/>
    </row>
    <row r="101" spans="1:38" ht="15" customHeight="1" x14ac:dyDescent="0.2">
      <c r="A101" s="1" t="s">
        <v>19</v>
      </c>
      <c r="B101" s="5" t="s">
        <v>18</v>
      </c>
      <c r="C101" s="1" t="s">
        <v>17</v>
      </c>
      <c r="D101" s="1" t="s">
        <v>16</v>
      </c>
      <c r="E101" s="1" t="s">
        <v>35</v>
      </c>
      <c r="F101" s="1" t="s">
        <v>1562</v>
      </c>
      <c r="G101" s="1" t="s">
        <v>1561</v>
      </c>
      <c r="H101" s="1" t="s">
        <v>12</v>
      </c>
      <c r="I101" s="1" t="s">
        <v>4708</v>
      </c>
      <c r="J101" s="1">
        <v>2024</v>
      </c>
      <c r="K101" s="1" t="s">
        <v>4707</v>
      </c>
      <c r="L101" s="1" t="s">
        <v>4706</v>
      </c>
      <c r="P101" s="1" t="s">
        <v>4705</v>
      </c>
      <c r="Q101" s="1" t="s">
        <v>1749</v>
      </c>
      <c r="R101" s="1" t="s">
        <v>1748</v>
      </c>
      <c r="S101" s="1" t="s">
        <v>1811</v>
      </c>
      <c r="T101" s="1" t="s">
        <v>1810</v>
      </c>
      <c r="V101" s="1" t="s">
        <v>1745</v>
      </c>
      <c r="W101" s="1" t="s">
        <v>4704</v>
      </c>
      <c r="Y101" s="3">
        <v>45834</v>
      </c>
      <c r="Z101" s="1">
        <v>2025</v>
      </c>
      <c r="AA101" s="2">
        <v>7922856</v>
      </c>
      <c r="AB101" s="2"/>
      <c r="AC101" s="2">
        <v>3030492</v>
      </c>
      <c r="AG101" s="1" t="s">
        <v>1</v>
      </c>
      <c r="AI101" s="2">
        <v>3030492</v>
      </c>
      <c r="AK101" s="1"/>
    </row>
    <row r="102" spans="1:38" ht="15" customHeight="1" x14ac:dyDescent="0.25">
      <c r="A102" s="1" t="s">
        <v>19</v>
      </c>
      <c r="B102" s="5" t="s">
        <v>109</v>
      </c>
      <c r="C102" s="4" t="s">
        <v>17</v>
      </c>
      <c r="D102" s="4" t="s">
        <v>16</v>
      </c>
      <c r="E102" s="1" t="s">
        <v>35</v>
      </c>
      <c r="F102" s="1" t="s">
        <v>2073</v>
      </c>
      <c r="G102" s="4" t="s">
        <v>2072</v>
      </c>
      <c r="H102" s="1" t="s">
        <v>12</v>
      </c>
      <c r="I102" s="4" t="s">
        <v>4700</v>
      </c>
      <c r="J102" s="1">
        <v>2024</v>
      </c>
      <c r="K102" s="1" t="s">
        <v>4699</v>
      </c>
      <c r="L102" s="9" t="s">
        <v>4698</v>
      </c>
      <c r="M102" s="9" t="s">
        <v>4697</v>
      </c>
      <c r="P102" s="4" t="s">
        <v>1587</v>
      </c>
      <c r="Q102" s="4" t="s">
        <v>771</v>
      </c>
      <c r="R102" s="4" t="s">
        <v>770</v>
      </c>
      <c r="S102" s="20" t="s">
        <v>4703</v>
      </c>
      <c r="T102" s="4" t="s">
        <v>4702</v>
      </c>
      <c r="U102" s="4">
        <v>2</v>
      </c>
      <c r="V102" s="1" t="s">
        <v>767</v>
      </c>
      <c r="W102" s="53" t="s">
        <v>4701</v>
      </c>
      <c r="Y102" s="52">
        <v>45820</v>
      </c>
      <c r="Z102" s="1">
        <v>2025</v>
      </c>
      <c r="AA102" s="54">
        <v>42280178.530000001</v>
      </c>
      <c r="AB102" s="38"/>
      <c r="AC102" s="54">
        <v>19250000</v>
      </c>
      <c r="AG102" s="1" t="s">
        <v>1</v>
      </c>
      <c r="AI102" s="54">
        <v>19250000</v>
      </c>
      <c r="AJ102" s="2"/>
      <c r="AK102" s="1"/>
      <c r="AL102" s="1" t="s">
        <v>4695</v>
      </c>
    </row>
    <row r="103" spans="1:38" ht="15" customHeight="1" x14ac:dyDescent="0.25">
      <c r="A103" s="1" t="s">
        <v>19</v>
      </c>
      <c r="B103" s="5" t="s">
        <v>109</v>
      </c>
      <c r="C103" s="4" t="s">
        <v>17</v>
      </c>
      <c r="D103" s="4" t="s">
        <v>16</v>
      </c>
      <c r="E103" s="1" t="s">
        <v>35</v>
      </c>
      <c r="F103" s="1" t="s">
        <v>2073</v>
      </c>
      <c r="G103" s="4" t="s">
        <v>2072</v>
      </c>
      <c r="H103" s="1" t="s">
        <v>12</v>
      </c>
      <c r="I103" s="4" t="s">
        <v>4700</v>
      </c>
      <c r="J103" s="1">
        <v>2024</v>
      </c>
      <c r="K103" s="1" t="s">
        <v>4699</v>
      </c>
      <c r="L103" s="9" t="s">
        <v>4698</v>
      </c>
      <c r="M103" s="9" t="s">
        <v>4697</v>
      </c>
      <c r="P103" s="4" t="s">
        <v>1587</v>
      </c>
      <c r="Q103" s="4" t="s">
        <v>771</v>
      </c>
      <c r="R103" s="4" t="s">
        <v>770</v>
      </c>
      <c r="S103" s="20" t="s">
        <v>1396</v>
      </c>
      <c r="T103" s="4" t="s">
        <v>1395</v>
      </c>
      <c r="U103" s="4">
        <v>2</v>
      </c>
      <c r="V103" s="1" t="s">
        <v>767</v>
      </c>
      <c r="W103" s="53" t="s">
        <v>4696</v>
      </c>
      <c r="Y103" s="52">
        <v>45820</v>
      </c>
      <c r="Z103" s="1">
        <v>2025</v>
      </c>
      <c r="AA103" s="51">
        <v>126840535.59</v>
      </c>
      <c r="AB103" s="38"/>
      <c r="AC103" s="51">
        <v>57750000</v>
      </c>
      <c r="AG103" s="1" t="s">
        <v>1</v>
      </c>
      <c r="AI103" s="51">
        <v>57750000</v>
      </c>
      <c r="AJ103" s="2"/>
      <c r="AK103" s="1"/>
      <c r="AL103" s="1" t="s">
        <v>4695</v>
      </c>
    </row>
    <row r="104" spans="1:38" ht="15" customHeight="1" x14ac:dyDescent="0.2">
      <c r="A104" s="1" t="s">
        <v>19</v>
      </c>
      <c r="B104" s="5" t="s">
        <v>109</v>
      </c>
      <c r="C104" s="1" t="s">
        <v>17</v>
      </c>
      <c r="D104" s="1" t="s">
        <v>16</v>
      </c>
      <c r="E104" s="1" t="s">
        <v>35</v>
      </c>
      <c r="F104" s="1" t="s">
        <v>1575</v>
      </c>
      <c r="G104" s="1" t="s">
        <v>1574</v>
      </c>
      <c r="H104" s="1" t="s">
        <v>12</v>
      </c>
      <c r="I104" s="1" t="s">
        <v>4694</v>
      </c>
      <c r="J104" s="1">
        <v>2023</v>
      </c>
      <c r="K104" s="1" t="s">
        <v>4693</v>
      </c>
      <c r="L104" s="1" t="s">
        <v>4692</v>
      </c>
      <c r="P104" s="1" t="s">
        <v>4691</v>
      </c>
      <c r="Q104" s="1" t="s">
        <v>780</v>
      </c>
      <c r="R104" s="1" t="s">
        <v>941</v>
      </c>
      <c r="S104" s="1" t="s">
        <v>1227</v>
      </c>
      <c r="T104" s="1" t="s">
        <v>1226</v>
      </c>
      <c r="U104" s="1">
        <v>2</v>
      </c>
      <c r="V104" s="1" t="s">
        <v>767</v>
      </c>
      <c r="W104" s="1" t="s">
        <v>4690</v>
      </c>
      <c r="X104" s="1" t="s">
        <v>2</v>
      </c>
      <c r="Y104" s="3">
        <v>45786</v>
      </c>
      <c r="Z104" s="1">
        <v>2025</v>
      </c>
      <c r="AA104" s="2">
        <v>1913036.31</v>
      </c>
      <c r="AB104" s="2"/>
      <c r="AC104" s="2" t="e">
        <f>VLOOKUP([1]!Tabla3[[#This Row],[Ref. Proyecto]],'[1]Datos para ITJ-26-02-26'!$B$2:$O$1644,12,FALSE)</f>
        <v>#REF!</v>
      </c>
      <c r="AG104" s="2" t="s">
        <v>1</v>
      </c>
      <c r="AI104" s="2">
        <v>886114.36</v>
      </c>
      <c r="AK104" s="1"/>
    </row>
    <row r="105" spans="1:38" ht="15" customHeight="1" x14ac:dyDescent="0.2">
      <c r="A105" s="1" t="s">
        <v>19</v>
      </c>
      <c r="B105" s="5" t="s">
        <v>18</v>
      </c>
      <c r="C105" s="1" t="s">
        <v>37</v>
      </c>
      <c r="D105" s="1" t="s">
        <v>36</v>
      </c>
      <c r="E105" s="1" t="s">
        <v>35</v>
      </c>
      <c r="F105" s="1" t="s">
        <v>4689</v>
      </c>
      <c r="G105" s="1" t="s">
        <v>33</v>
      </c>
      <c r="H105" s="1" t="s">
        <v>4688</v>
      </c>
      <c r="I105" s="1" t="s">
        <v>4687</v>
      </c>
      <c r="J105" s="1">
        <v>2021</v>
      </c>
      <c r="K105" s="1" t="s">
        <v>4686</v>
      </c>
      <c r="L105" s="1" t="s">
        <v>4684</v>
      </c>
      <c r="P105" s="1" t="s">
        <v>4685</v>
      </c>
      <c r="Q105" s="1" t="s">
        <v>27</v>
      </c>
      <c r="R105" s="1" t="s">
        <v>26</v>
      </c>
      <c r="S105" s="1" t="s">
        <v>68</v>
      </c>
      <c r="T105" s="1" t="s">
        <v>67</v>
      </c>
      <c r="U105" s="1">
        <v>1</v>
      </c>
      <c r="V105" s="1" t="s">
        <v>23</v>
      </c>
      <c r="W105" s="1" t="s">
        <v>4684</v>
      </c>
      <c r="Y105" s="3">
        <v>44732</v>
      </c>
      <c r="Z105" s="1">
        <v>2022</v>
      </c>
      <c r="AA105" s="2">
        <v>999000</v>
      </c>
      <c r="AB105" s="2"/>
      <c r="AC105" s="2">
        <v>999000</v>
      </c>
      <c r="AG105" s="1" t="s">
        <v>4683</v>
      </c>
      <c r="AI105" s="2">
        <v>999000</v>
      </c>
      <c r="AJ105" s="2"/>
      <c r="AK105" s="1"/>
      <c r="AL105" s="1" t="s">
        <v>4682</v>
      </c>
    </row>
    <row r="106" spans="1:38" ht="15" customHeight="1" x14ac:dyDescent="0.25">
      <c r="A106" s="1" t="s">
        <v>19</v>
      </c>
      <c r="B106" s="5" t="s">
        <v>18</v>
      </c>
      <c r="C106" s="1" t="s">
        <v>17</v>
      </c>
      <c r="D106" s="1" t="s">
        <v>16</v>
      </c>
      <c r="E106" s="1" t="s">
        <v>35</v>
      </c>
      <c r="F106" s="1" t="s">
        <v>4681</v>
      </c>
      <c r="G106" s="1" t="s">
        <v>4680</v>
      </c>
      <c r="H106" s="1" t="s">
        <v>12</v>
      </c>
      <c r="I106" s="1" t="s">
        <v>4679</v>
      </c>
      <c r="J106" s="1">
        <v>2023</v>
      </c>
      <c r="K106" s="1" t="s">
        <v>4678</v>
      </c>
      <c r="L106" s="1" t="s">
        <v>4677</v>
      </c>
      <c r="M106" s="1" t="s">
        <v>4676</v>
      </c>
      <c r="P106" s="1" t="s">
        <v>4675</v>
      </c>
      <c r="Q106" s="1" t="s">
        <v>4674</v>
      </c>
      <c r="R106" s="1" t="s">
        <v>4674</v>
      </c>
      <c r="S106" s="1" t="s">
        <v>4673</v>
      </c>
      <c r="T106" s="1" t="s">
        <v>4672</v>
      </c>
      <c r="U106" s="1">
        <v>0</v>
      </c>
      <c r="V106" s="1" t="s">
        <v>4671</v>
      </c>
      <c r="W106" s="1" t="s">
        <v>4670</v>
      </c>
      <c r="Y106" s="3">
        <v>45631</v>
      </c>
      <c r="Z106" s="1">
        <v>2024</v>
      </c>
      <c r="AA106" s="39">
        <v>18743740</v>
      </c>
      <c r="AB106" s="39"/>
      <c r="AC106" s="2">
        <v>6729002.6600000001</v>
      </c>
      <c r="AG106" s="1" t="s">
        <v>1</v>
      </c>
      <c r="AI106" s="2">
        <v>6729002.6600000001</v>
      </c>
      <c r="AK106" s="1"/>
    </row>
    <row r="107" spans="1:38" ht="15" customHeight="1" x14ac:dyDescent="0.2">
      <c r="A107" s="1" t="s">
        <v>19</v>
      </c>
      <c r="B107" s="5" t="s">
        <v>18</v>
      </c>
      <c r="C107" s="1" t="s">
        <v>17</v>
      </c>
      <c r="D107" s="1" t="s">
        <v>16</v>
      </c>
      <c r="E107" s="1" t="s">
        <v>35</v>
      </c>
      <c r="F107" s="1" t="s">
        <v>1829</v>
      </c>
      <c r="G107" s="1" t="s">
        <v>1828</v>
      </c>
      <c r="H107" s="1" t="s">
        <v>12</v>
      </c>
      <c r="I107" s="1" t="s">
        <v>4669</v>
      </c>
      <c r="J107" s="1">
        <v>2024</v>
      </c>
      <c r="K107" s="1" t="s">
        <v>4668</v>
      </c>
      <c r="L107" s="1" t="s">
        <v>4667</v>
      </c>
      <c r="P107" s="1" t="s">
        <v>4666</v>
      </c>
      <c r="Q107" s="1" t="s">
        <v>771</v>
      </c>
      <c r="R107" s="1" t="s">
        <v>1060</v>
      </c>
      <c r="S107" s="1" t="s">
        <v>3956</v>
      </c>
      <c r="T107" s="1" t="s">
        <v>3955</v>
      </c>
      <c r="U107" s="1">
        <v>1</v>
      </c>
      <c r="V107" s="1" t="s">
        <v>771</v>
      </c>
      <c r="W107" s="1" t="s">
        <v>4665</v>
      </c>
      <c r="X107" s="1" t="s">
        <v>1824</v>
      </c>
      <c r="Y107" s="3">
        <v>45807</v>
      </c>
      <c r="Z107" s="1">
        <v>2025</v>
      </c>
      <c r="AA107" s="2">
        <v>55000000</v>
      </c>
      <c r="AB107" s="2"/>
      <c r="AC107" s="2">
        <v>53000000</v>
      </c>
      <c r="AD107" s="1">
        <v>40</v>
      </c>
      <c r="AG107" s="1" t="s">
        <v>21</v>
      </c>
      <c r="AI107" s="2">
        <v>53000000</v>
      </c>
      <c r="AK107" s="1"/>
    </row>
    <row r="108" spans="1:38" ht="15" customHeight="1" x14ac:dyDescent="0.2">
      <c r="A108" s="1" t="s">
        <v>19</v>
      </c>
      <c r="B108" s="5" t="s">
        <v>18</v>
      </c>
      <c r="C108" s="1" t="s">
        <v>17</v>
      </c>
      <c r="D108" s="1" t="s">
        <v>16</v>
      </c>
      <c r="E108" s="1" t="s">
        <v>35</v>
      </c>
      <c r="F108" s="1" t="s">
        <v>2073</v>
      </c>
      <c r="G108" s="1" t="s">
        <v>2072</v>
      </c>
      <c r="H108" s="1" t="s">
        <v>12</v>
      </c>
      <c r="I108" s="1" t="s">
        <v>4664</v>
      </c>
      <c r="J108" s="1">
        <v>2024</v>
      </c>
      <c r="K108" s="1" t="s">
        <v>4663</v>
      </c>
      <c r="L108" s="1" t="s">
        <v>4662</v>
      </c>
      <c r="M108" s="1" t="s">
        <v>4661</v>
      </c>
      <c r="P108" s="1" t="s">
        <v>4660</v>
      </c>
      <c r="Q108" s="1" t="s">
        <v>771</v>
      </c>
      <c r="R108" s="1" t="s">
        <v>1060</v>
      </c>
      <c r="S108" s="1" t="s">
        <v>3956</v>
      </c>
      <c r="T108" s="1" t="s">
        <v>3955</v>
      </c>
      <c r="U108" s="1">
        <v>1</v>
      </c>
      <c r="V108" s="1" t="s">
        <v>771</v>
      </c>
      <c r="W108" s="1" t="s">
        <v>4659</v>
      </c>
      <c r="X108" s="1" t="s">
        <v>2065</v>
      </c>
      <c r="Y108" s="3">
        <v>45820</v>
      </c>
      <c r="Z108" s="1">
        <v>2025</v>
      </c>
      <c r="AA108" s="2">
        <v>534942519.5</v>
      </c>
      <c r="AB108" s="2"/>
      <c r="AC108" s="2">
        <v>245000000</v>
      </c>
      <c r="AD108" s="1">
        <v>396</v>
      </c>
      <c r="AG108" s="1" t="s">
        <v>1</v>
      </c>
      <c r="AI108" s="2">
        <v>245000000</v>
      </c>
      <c r="AK108" s="1"/>
    </row>
    <row r="109" spans="1:38" ht="15" customHeight="1" x14ac:dyDescent="0.2">
      <c r="A109" s="1" t="s">
        <v>19</v>
      </c>
      <c r="B109" s="5" t="s">
        <v>18</v>
      </c>
      <c r="C109" s="1" t="s">
        <v>17</v>
      </c>
      <c r="D109" s="1" t="s">
        <v>16</v>
      </c>
      <c r="E109" s="1" t="s">
        <v>15</v>
      </c>
      <c r="F109" s="1" t="s">
        <v>1601</v>
      </c>
      <c r="G109" s="1" t="s">
        <v>1600</v>
      </c>
      <c r="H109" s="1" t="s">
        <v>12</v>
      </c>
      <c r="I109" s="1" t="s">
        <v>4658</v>
      </c>
      <c r="J109" s="1">
        <v>2022</v>
      </c>
      <c r="K109" s="1" t="s">
        <v>4657</v>
      </c>
      <c r="L109" s="1" t="s">
        <v>4656</v>
      </c>
      <c r="P109" s="1" t="s">
        <v>4655</v>
      </c>
      <c r="Q109" s="1" t="s">
        <v>771</v>
      </c>
      <c r="R109" s="1" t="s">
        <v>1060</v>
      </c>
      <c r="S109" s="1" t="s">
        <v>4228</v>
      </c>
      <c r="T109" s="1" t="s">
        <v>4227</v>
      </c>
      <c r="U109" s="1">
        <v>1</v>
      </c>
      <c r="V109" s="1" t="s">
        <v>771</v>
      </c>
      <c r="W109" s="1" t="s">
        <v>4654</v>
      </c>
      <c r="Y109" s="3">
        <v>45112</v>
      </c>
      <c r="Z109" s="1">
        <v>2023</v>
      </c>
      <c r="AA109" s="2">
        <v>823328.81</v>
      </c>
      <c r="AB109" s="2"/>
      <c r="AC109" s="2">
        <v>592796.74</v>
      </c>
      <c r="AD109" s="1">
        <v>1</v>
      </c>
      <c r="AG109" s="1" t="s">
        <v>1</v>
      </c>
      <c r="AI109" s="2">
        <v>592796.74</v>
      </c>
      <c r="AK109" s="1"/>
    </row>
    <row r="110" spans="1:38" ht="15" customHeight="1" x14ac:dyDescent="0.2">
      <c r="A110" s="1" t="s">
        <v>19</v>
      </c>
      <c r="B110" s="5" t="s">
        <v>18</v>
      </c>
      <c r="C110" s="1" t="s">
        <v>17</v>
      </c>
      <c r="D110" s="1" t="s">
        <v>16</v>
      </c>
      <c r="E110" s="1" t="s">
        <v>35</v>
      </c>
      <c r="F110" s="1" t="s">
        <v>1585</v>
      </c>
      <c r="G110" s="1" t="s">
        <v>1584</v>
      </c>
      <c r="H110" s="1" t="s">
        <v>12</v>
      </c>
      <c r="I110" s="1" t="s">
        <v>4653</v>
      </c>
      <c r="J110" s="1">
        <v>2022</v>
      </c>
      <c r="K110" s="1" t="s">
        <v>4652</v>
      </c>
      <c r="L110" s="1" t="s">
        <v>4651</v>
      </c>
      <c r="P110" s="1" t="s">
        <v>4650</v>
      </c>
      <c r="Q110" s="1" t="s">
        <v>771</v>
      </c>
      <c r="R110" s="1" t="s">
        <v>1060</v>
      </c>
      <c r="S110" s="1" t="s">
        <v>4649</v>
      </c>
      <c r="T110" s="1" t="s">
        <v>4648</v>
      </c>
      <c r="U110" s="1">
        <v>1</v>
      </c>
      <c r="V110" s="1" t="s">
        <v>771</v>
      </c>
      <c r="W110" s="1" t="s">
        <v>4647</v>
      </c>
      <c r="X110" s="1" t="s">
        <v>1576</v>
      </c>
      <c r="Y110" s="3">
        <v>45287</v>
      </c>
      <c r="Z110" s="1">
        <v>2023</v>
      </c>
      <c r="AA110" s="2">
        <v>25190703.77</v>
      </c>
      <c r="AB110" s="2"/>
      <c r="AC110" s="2">
        <v>7557211.1299999999</v>
      </c>
      <c r="AD110" s="1">
        <v>2</v>
      </c>
      <c r="AG110" s="1" t="s">
        <v>1</v>
      </c>
      <c r="AI110" s="2">
        <v>7557211.1299999999</v>
      </c>
      <c r="AK110" s="1"/>
    </row>
    <row r="111" spans="1:38" ht="15" customHeight="1" x14ac:dyDescent="0.2">
      <c r="A111" s="1" t="s">
        <v>19</v>
      </c>
      <c r="B111" s="5" t="s">
        <v>18</v>
      </c>
      <c r="C111" s="1" t="s">
        <v>17</v>
      </c>
      <c r="D111" s="1" t="s">
        <v>16</v>
      </c>
      <c r="E111" s="1" t="s">
        <v>35</v>
      </c>
      <c r="F111" s="1" t="s">
        <v>4646</v>
      </c>
      <c r="G111" s="1" t="s">
        <v>3698</v>
      </c>
      <c r="H111" s="1" t="s">
        <v>12</v>
      </c>
      <c r="I111" s="1" t="s">
        <v>4645</v>
      </c>
      <c r="J111" s="1">
        <v>2024</v>
      </c>
      <c r="K111" s="1" t="s">
        <v>4644</v>
      </c>
      <c r="L111" s="1" t="s">
        <v>4643</v>
      </c>
      <c r="P111" s="1" t="s">
        <v>4642</v>
      </c>
      <c r="Q111" s="1" t="s">
        <v>771</v>
      </c>
      <c r="R111" s="1" t="s">
        <v>1060</v>
      </c>
      <c r="S111" s="1" t="s">
        <v>4044</v>
      </c>
      <c r="T111" s="1" t="s">
        <v>4043</v>
      </c>
      <c r="U111" s="1">
        <v>1</v>
      </c>
      <c r="V111" s="1" t="s">
        <v>771</v>
      </c>
      <c r="W111" s="1" t="s">
        <v>4641</v>
      </c>
      <c r="X111" s="1" t="s">
        <v>1824</v>
      </c>
      <c r="Y111" s="3">
        <v>45958</v>
      </c>
      <c r="Z111" s="1">
        <v>2025</v>
      </c>
      <c r="AA111" s="2">
        <v>98634</v>
      </c>
      <c r="AB111" s="2"/>
      <c r="AC111" s="2">
        <v>29299.8</v>
      </c>
      <c r="AG111" s="1" t="s">
        <v>1</v>
      </c>
      <c r="AI111" s="2">
        <v>29299.8</v>
      </c>
      <c r="AK111" s="1"/>
    </row>
    <row r="112" spans="1:38" ht="15" customHeight="1" x14ac:dyDescent="0.2">
      <c r="A112" s="1" t="s">
        <v>19</v>
      </c>
      <c r="B112" s="5" t="s">
        <v>109</v>
      </c>
      <c r="C112" s="1" t="s">
        <v>37</v>
      </c>
      <c r="D112" s="1" t="s">
        <v>132</v>
      </c>
      <c r="E112" s="1" t="s">
        <v>35</v>
      </c>
      <c r="G112" s="1" t="s">
        <v>131</v>
      </c>
      <c r="H112" s="1" t="s">
        <v>130</v>
      </c>
      <c r="I112" s="1" t="s">
        <v>4640</v>
      </c>
      <c r="J112" s="1">
        <v>2024</v>
      </c>
      <c r="P112" s="1" t="s">
        <v>4112</v>
      </c>
      <c r="Q112" s="1" t="s">
        <v>771</v>
      </c>
      <c r="R112" s="1" t="s">
        <v>1060</v>
      </c>
      <c r="S112" s="1" t="s">
        <v>4052</v>
      </c>
      <c r="T112" s="1" t="s">
        <v>4051</v>
      </c>
      <c r="U112" s="1">
        <v>1</v>
      </c>
      <c r="V112" s="1" t="s">
        <v>771</v>
      </c>
      <c r="Y112" s="3">
        <v>45588</v>
      </c>
      <c r="Z112" s="1">
        <v>2024</v>
      </c>
      <c r="AA112" s="2"/>
      <c r="AB112" s="2"/>
      <c r="AC112" s="2">
        <v>467324.14327060163</v>
      </c>
      <c r="AG112" s="1" t="s">
        <v>21</v>
      </c>
      <c r="AI112" s="2">
        <v>467324.14327060163</v>
      </c>
      <c r="AK112" s="1"/>
      <c r="AL112" s="1" t="s">
        <v>127</v>
      </c>
    </row>
    <row r="113" spans="1:38" ht="15" customHeight="1" x14ac:dyDescent="0.2">
      <c r="A113" s="1" t="s">
        <v>19</v>
      </c>
      <c r="B113" s="5" t="s">
        <v>109</v>
      </c>
      <c r="C113" s="1" t="s">
        <v>37</v>
      </c>
      <c r="D113" s="1" t="s">
        <v>132</v>
      </c>
      <c r="E113" s="1" t="s">
        <v>35</v>
      </c>
      <c r="G113" s="1" t="s">
        <v>131</v>
      </c>
      <c r="H113" s="1" t="s">
        <v>130</v>
      </c>
      <c r="I113" s="1" t="s">
        <v>4639</v>
      </c>
      <c r="J113" s="1">
        <v>2019</v>
      </c>
      <c r="P113" s="1" t="s">
        <v>4112</v>
      </c>
      <c r="Q113" s="1" t="s">
        <v>771</v>
      </c>
      <c r="R113" s="1" t="s">
        <v>1060</v>
      </c>
      <c r="S113" s="1" t="s">
        <v>4052</v>
      </c>
      <c r="T113" s="1" t="s">
        <v>4051</v>
      </c>
      <c r="U113" s="1">
        <v>1</v>
      </c>
      <c r="V113" s="1" t="s">
        <v>771</v>
      </c>
      <c r="Y113" s="3">
        <v>43647</v>
      </c>
      <c r="Z113" s="1">
        <v>2019</v>
      </c>
      <c r="AA113" s="2"/>
      <c r="AB113" s="2"/>
      <c r="AC113" s="2">
        <v>766629.14999999991</v>
      </c>
      <c r="AG113" s="1" t="s">
        <v>21</v>
      </c>
      <c r="AI113" s="2">
        <v>766629.14999999991</v>
      </c>
      <c r="AK113" s="1"/>
      <c r="AL113" s="1" t="s">
        <v>127</v>
      </c>
    </row>
    <row r="114" spans="1:38" ht="15" customHeight="1" x14ac:dyDescent="0.2">
      <c r="A114" s="1" t="s">
        <v>19</v>
      </c>
      <c r="B114" s="5" t="s">
        <v>109</v>
      </c>
      <c r="C114" s="1" t="s">
        <v>37</v>
      </c>
      <c r="D114" s="1" t="s">
        <v>132</v>
      </c>
      <c r="E114" s="1" t="s">
        <v>35</v>
      </c>
      <c r="G114" s="1" t="s">
        <v>131</v>
      </c>
      <c r="H114" s="1" t="s">
        <v>130</v>
      </c>
      <c r="I114" s="1" t="s">
        <v>4638</v>
      </c>
      <c r="J114" s="1">
        <v>2020</v>
      </c>
      <c r="P114" s="1" t="s">
        <v>4112</v>
      </c>
      <c r="Q114" s="1" t="s">
        <v>771</v>
      </c>
      <c r="R114" s="1" t="s">
        <v>1060</v>
      </c>
      <c r="S114" s="1" t="s">
        <v>4052</v>
      </c>
      <c r="T114" s="1" t="s">
        <v>4051</v>
      </c>
      <c r="U114" s="1">
        <v>1</v>
      </c>
      <c r="V114" s="1" t="s">
        <v>771</v>
      </c>
      <c r="Y114" s="3">
        <v>44184</v>
      </c>
      <c r="Z114" s="1">
        <v>2020</v>
      </c>
      <c r="AA114" s="2"/>
      <c r="AB114" s="2"/>
      <c r="AC114" s="2">
        <v>531386.74</v>
      </c>
      <c r="AG114" s="1" t="s">
        <v>21</v>
      </c>
      <c r="AI114" s="2">
        <v>531386.74</v>
      </c>
      <c r="AK114" s="1"/>
      <c r="AL114" s="1" t="s">
        <v>127</v>
      </c>
    </row>
    <row r="115" spans="1:38" ht="15" customHeight="1" x14ac:dyDescent="0.2">
      <c r="A115" s="1" t="s">
        <v>19</v>
      </c>
      <c r="B115" s="5" t="s">
        <v>109</v>
      </c>
      <c r="C115" s="1" t="s">
        <v>37</v>
      </c>
      <c r="D115" s="1" t="s">
        <v>132</v>
      </c>
      <c r="E115" s="1" t="s">
        <v>35</v>
      </c>
      <c r="G115" s="1" t="s">
        <v>131</v>
      </c>
      <c r="H115" s="1" t="s">
        <v>130</v>
      </c>
      <c r="I115" s="1" t="s">
        <v>4637</v>
      </c>
      <c r="J115" s="1">
        <v>2018</v>
      </c>
      <c r="P115" s="1" t="s">
        <v>4112</v>
      </c>
      <c r="Q115" s="1" t="s">
        <v>771</v>
      </c>
      <c r="R115" s="1" t="s">
        <v>1060</v>
      </c>
      <c r="S115" s="1" t="s">
        <v>4052</v>
      </c>
      <c r="T115" s="1" t="s">
        <v>4051</v>
      </c>
      <c r="U115" s="1">
        <v>1</v>
      </c>
      <c r="V115" s="1" t="s">
        <v>771</v>
      </c>
      <c r="Y115" s="3">
        <v>43464</v>
      </c>
      <c r="Z115" s="1">
        <v>2018</v>
      </c>
      <c r="AA115" s="2"/>
      <c r="AB115" s="2"/>
      <c r="AC115" s="2">
        <v>573838.32000000007</v>
      </c>
      <c r="AG115" s="1" t="s">
        <v>21</v>
      </c>
      <c r="AI115" s="2">
        <v>573838.32000000007</v>
      </c>
      <c r="AK115" s="1"/>
      <c r="AL115" s="1" t="s">
        <v>127</v>
      </c>
    </row>
    <row r="116" spans="1:38" ht="15" customHeight="1" x14ac:dyDescent="0.2">
      <c r="A116" s="1" t="s">
        <v>19</v>
      </c>
      <c r="B116" s="5" t="s">
        <v>109</v>
      </c>
      <c r="C116" s="1" t="s">
        <v>37</v>
      </c>
      <c r="D116" s="1" t="s">
        <v>132</v>
      </c>
      <c r="E116" s="1" t="s">
        <v>35</v>
      </c>
      <c r="G116" s="1" t="s">
        <v>131</v>
      </c>
      <c r="H116" s="1" t="s">
        <v>130</v>
      </c>
      <c r="I116" s="1" t="s">
        <v>4636</v>
      </c>
      <c r="J116" s="1">
        <v>2018</v>
      </c>
      <c r="P116" s="1" t="s">
        <v>4112</v>
      </c>
      <c r="Q116" s="1" t="s">
        <v>771</v>
      </c>
      <c r="R116" s="1" t="s">
        <v>1060</v>
      </c>
      <c r="S116" s="1" t="s">
        <v>4052</v>
      </c>
      <c r="T116" s="1" t="s">
        <v>4051</v>
      </c>
      <c r="U116" s="1">
        <v>1</v>
      </c>
      <c r="V116" s="1" t="s">
        <v>771</v>
      </c>
      <c r="Y116" s="3">
        <v>43464</v>
      </c>
      <c r="Z116" s="1">
        <v>2018</v>
      </c>
      <c r="AA116" s="2"/>
      <c r="AB116" s="2"/>
      <c r="AC116" s="2">
        <v>171920.86</v>
      </c>
      <c r="AG116" s="1" t="s">
        <v>21</v>
      </c>
      <c r="AI116" s="2">
        <v>171920.86</v>
      </c>
      <c r="AK116" s="1"/>
      <c r="AL116" s="1" t="s">
        <v>127</v>
      </c>
    </row>
    <row r="117" spans="1:38" ht="15" customHeight="1" x14ac:dyDescent="0.2">
      <c r="A117" s="1" t="s">
        <v>19</v>
      </c>
      <c r="B117" s="5" t="s">
        <v>109</v>
      </c>
      <c r="C117" s="1" t="s">
        <v>37</v>
      </c>
      <c r="D117" s="1" t="s">
        <v>132</v>
      </c>
      <c r="E117" s="1" t="s">
        <v>35</v>
      </c>
      <c r="G117" s="1" t="s">
        <v>131</v>
      </c>
      <c r="H117" s="1" t="s">
        <v>130</v>
      </c>
      <c r="I117" s="1" t="s">
        <v>4635</v>
      </c>
      <c r="J117" s="1">
        <v>2018</v>
      </c>
      <c r="P117" s="1" t="s">
        <v>4112</v>
      </c>
      <c r="Q117" s="1" t="s">
        <v>771</v>
      </c>
      <c r="R117" s="1" t="s">
        <v>1060</v>
      </c>
      <c r="S117" s="1" t="s">
        <v>4052</v>
      </c>
      <c r="T117" s="1" t="s">
        <v>4051</v>
      </c>
      <c r="U117" s="1">
        <v>1</v>
      </c>
      <c r="V117" s="1" t="s">
        <v>771</v>
      </c>
      <c r="Y117" s="3">
        <v>43464</v>
      </c>
      <c r="Z117" s="1">
        <v>2018</v>
      </c>
      <c r="AA117" s="2"/>
      <c r="AB117" s="2"/>
      <c r="AC117" s="2">
        <v>521507.92000000004</v>
      </c>
      <c r="AG117" s="1" t="s">
        <v>21</v>
      </c>
      <c r="AI117" s="2">
        <v>521507.92000000004</v>
      </c>
      <c r="AK117" s="1"/>
      <c r="AL117" s="1" t="s">
        <v>127</v>
      </c>
    </row>
    <row r="118" spans="1:38" ht="15" customHeight="1" x14ac:dyDescent="0.2">
      <c r="A118" s="1" t="s">
        <v>19</v>
      </c>
      <c r="B118" s="5" t="s">
        <v>109</v>
      </c>
      <c r="C118" s="1" t="s">
        <v>37</v>
      </c>
      <c r="D118" s="1" t="s">
        <v>132</v>
      </c>
      <c r="E118" s="1" t="s">
        <v>35</v>
      </c>
      <c r="G118" s="1" t="s">
        <v>131</v>
      </c>
      <c r="H118" s="1" t="s">
        <v>130</v>
      </c>
      <c r="I118" s="1" t="s">
        <v>4634</v>
      </c>
      <c r="J118" s="1">
        <v>2019</v>
      </c>
      <c r="P118" s="1" t="s">
        <v>4112</v>
      </c>
      <c r="Q118" s="1" t="s">
        <v>771</v>
      </c>
      <c r="R118" s="1" t="s">
        <v>1060</v>
      </c>
      <c r="S118" s="1" t="s">
        <v>4052</v>
      </c>
      <c r="T118" s="1" t="s">
        <v>4051</v>
      </c>
      <c r="U118" s="1">
        <v>1</v>
      </c>
      <c r="V118" s="1" t="s">
        <v>771</v>
      </c>
      <c r="Y118" s="3">
        <v>43814</v>
      </c>
      <c r="Z118" s="1">
        <v>2019</v>
      </c>
      <c r="AA118" s="2"/>
      <c r="AB118" s="2"/>
      <c r="AC118" s="2">
        <v>431997.16</v>
      </c>
      <c r="AG118" s="1" t="s">
        <v>21</v>
      </c>
      <c r="AI118" s="2">
        <v>431997.16</v>
      </c>
      <c r="AK118" s="1"/>
      <c r="AL118" s="1" t="s">
        <v>127</v>
      </c>
    </row>
    <row r="119" spans="1:38" ht="15" customHeight="1" x14ac:dyDescent="0.2">
      <c r="A119" s="1" t="s">
        <v>19</v>
      </c>
      <c r="B119" s="5" t="s">
        <v>109</v>
      </c>
      <c r="C119" s="1" t="s">
        <v>37</v>
      </c>
      <c r="D119" s="1" t="s">
        <v>132</v>
      </c>
      <c r="E119" s="1" t="s">
        <v>35</v>
      </c>
      <c r="G119" s="1" t="s">
        <v>131</v>
      </c>
      <c r="H119" s="1" t="s">
        <v>130</v>
      </c>
      <c r="I119" s="1" t="s">
        <v>4633</v>
      </c>
      <c r="J119" s="1">
        <v>2018</v>
      </c>
      <c r="P119" s="1" t="s">
        <v>4112</v>
      </c>
      <c r="Q119" s="1" t="s">
        <v>771</v>
      </c>
      <c r="R119" s="1" t="s">
        <v>1060</v>
      </c>
      <c r="S119" s="1" t="s">
        <v>4052</v>
      </c>
      <c r="T119" s="1" t="s">
        <v>4051</v>
      </c>
      <c r="U119" s="1">
        <v>1</v>
      </c>
      <c r="V119" s="1" t="s">
        <v>771</v>
      </c>
      <c r="Y119" s="3">
        <v>43465</v>
      </c>
      <c r="Z119" s="1">
        <v>2018</v>
      </c>
      <c r="AA119" s="2"/>
      <c r="AB119" s="2"/>
      <c r="AC119" s="2">
        <v>605503.97</v>
      </c>
      <c r="AG119" s="1" t="s">
        <v>21</v>
      </c>
      <c r="AI119" s="2">
        <v>605503.97</v>
      </c>
      <c r="AK119" s="1"/>
      <c r="AL119" s="1" t="s">
        <v>127</v>
      </c>
    </row>
    <row r="120" spans="1:38" ht="15" customHeight="1" x14ac:dyDescent="0.2">
      <c r="A120" s="1" t="s">
        <v>19</v>
      </c>
      <c r="B120" s="5" t="s">
        <v>109</v>
      </c>
      <c r="C120" s="1" t="s">
        <v>37</v>
      </c>
      <c r="D120" s="1" t="s">
        <v>132</v>
      </c>
      <c r="E120" s="1" t="s">
        <v>35</v>
      </c>
      <c r="G120" s="1" t="s">
        <v>131</v>
      </c>
      <c r="H120" s="1" t="s">
        <v>130</v>
      </c>
      <c r="I120" s="1" t="s">
        <v>4632</v>
      </c>
      <c r="J120" s="1">
        <v>2020</v>
      </c>
      <c r="P120" s="1" t="s">
        <v>4112</v>
      </c>
      <c r="Q120" s="1" t="s">
        <v>771</v>
      </c>
      <c r="R120" s="1" t="s">
        <v>1060</v>
      </c>
      <c r="S120" s="1" t="s">
        <v>4052</v>
      </c>
      <c r="T120" s="1" t="s">
        <v>4051</v>
      </c>
      <c r="U120" s="1">
        <v>1</v>
      </c>
      <c r="V120" s="1" t="s">
        <v>771</v>
      </c>
      <c r="Y120" s="3">
        <v>43820</v>
      </c>
      <c r="Z120" s="1">
        <v>2019</v>
      </c>
      <c r="AA120" s="2"/>
      <c r="AB120" s="2"/>
      <c r="AC120" s="2">
        <v>217845.13999999998</v>
      </c>
      <c r="AG120" s="1" t="s">
        <v>21</v>
      </c>
      <c r="AI120" s="2">
        <v>217845.13999999998</v>
      </c>
      <c r="AK120" s="1"/>
      <c r="AL120" s="1" t="s">
        <v>127</v>
      </c>
    </row>
    <row r="121" spans="1:38" ht="15" customHeight="1" x14ac:dyDescent="0.2">
      <c r="A121" s="1" t="s">
        <v>19</v>
      </c>
      <c r="B121" s="5" t="s">
        <v>109</v>
      </c>
      <c r="C121" s="1" t="s">
        <v>37</v>
      </c>
      <c r="D121" s="1" t="s">
        <v>132</v>
      </c>
      <c r="E121" s="1" t="s">
        <v>35</v>
      </c>
      <c r="G121" s="1" t="s">
        <v>131</v>
      </c>
      <c r="H121" s="1" t="s">
        <v>130</v>
      </c>
      <c r="I121" s="1" t="s">
        <v>4631</v>
      </c>
      <c r="J121" s="1">
        <v>2019</v>
      </c>
      <c r="P121" s="1" t="s">
        <v>4146</v>
      </c>
      <c r="Q121" s="1" t="s">
        <v>771</v>
      </c>
      <c r="R121" s="1" t="s">
        <v>1060</v>
      </c>
      <c r="S121" s="1" t="s">
        <v>4080</v>
      </c>
      <c r="T121" s="1" t="s">
        <v>4079</v>
      </c>
      <c r="U121" s="1">
        <v>1</v>
      </c>
      <c r="V121" s="1" t="s">
        <v>771</v>
      </c>
      <c r="Y121" s="3">
        <v>43524</v>
      </c>
      <c r="Z121" s="1">
        <v>2019</v>
      </c>
      <c r="AA121" s="2"/>
      <c r="AB121" s="2"/>
      <c r="AC121" s="2">
        <v>407356.35000000003</v>
      </c>
      <c r="AG121" s="1" t="s">
        <v>21</v>
      </c>
      <c r="AI121" s="2">
        <v>407356.35000000003</v>
      </c>
      <c r="AK121" s="1"/>
      <c r="AL121" s="1" t="s">
        <v>127</v>
      </c>
    </row>
    <row r="122" spans="1:38" ht="15" customHeight="1" x14ac:dyDescent="0.2">
      <c r="A122" s="1" t="s">
        <v>19</v>
      </c>
      <c r="B122" s="5" t="s">
        <v>109</v>
      </c>
      <c r="C122" s="1" t="s">
        <v>37</v>
      </c>
      <c r="D122" s="1" t="s">
        <v>132</v>
      </c>
      <c r="E122" s="1" t="s">
        <v>35</v>
      </c>
      <c r="G122" s="1" t="s">
        <v>131</v>
      </c>
      <c r="H122" s="1" t="s">
        <v>130</v>
      </c>
      <c r="I122" s="1" t="s">
        <v>4630</v>
      </c>
      <c r="J122" s="1">
        <v>2018</v>
      </c>
      <c r="P122" s="1" t="s">
        <v>4112</v>
      </c>
      <c r="Q122" s="1" t="s">
        <v>771</v>
      </c>
      <c r="R122" s="1" t="s">
        <v>1060</v>
      </c>
      <c r="S122" s="1" t="s">
        <v>4052</v>
      </c>
      <c r="T122" s="1" t="s">
        <v>4051</v>
      </c>
      <c r="U122" s="1">
        <v>1</v>
      </c>
      <c r="V122" s="1" t="s">
        <v>771</v>
      </c>
      <c r="Y122" s="3">
        <v>43464</v>
      </c>
      <c r="Z122" s="1">
        <v>2018</v>
      </c>
      <c r="AA122" s="2"/>
      <c r="AB122" s="2"/>
      <c r="AC122" s="2">
        <v>143657.57</v>
      </c>
      <c r="AG122" s="1" t="s">
        <v>21</v>
      </c>
      <c r="AI122" s="2">
        <v>143657.57</v>
      </c>
      <c r="AK122" s="1"/>
      <c r="AL122" s="1" t="s">
        <v>127</v>
      </c>
    </row>
    <row r="123" spans="1:38" ht="15" customHeight="1" x14ac:dyDescent="0.2">
      <c r="A123" s="1" t="s">
        <v>19</v>
      </c>
      <c r="B123" s="5" t="s">
        <v>109</v>
      </c>
      <c r="C123" s="1" t="s">
        <v>37</v>
      </c>
      <c r="D123" s="1" t="s">
        <v>132</v>
      </c>
      <c r="E123" s="1" t="s">
        <v>35</v>
      </c>
      <c r="G123" s="1" t="s">
        <v>131</v>
      </c>
      <c r="H123" s="1" t="s">
        <v>130</v>
      </c>
      <c r="I123" s="1" t="s">
        <v>4629</v>
      </c>
      <c r="J123" s="1">
        <v>2018</v>
      </c>
      <c r="P123" s="1" t="s">
        <v>4112</v>
      </c>
      <c r="Q123" s="1" t="s">
        <v>771</v>
      </c>
      <c r="R123" s="1" t="s">
        <v>1060</v>
      </c>
      <c r="S123" s="1" t="s">
        <v>4052</v>
      </c>
      <c r="T123" s="1" t="s">
        <v>4051</v>
      </c>
      <c r="U123" s="1">
        <v>1</v>
      </c>
      <c r="V123" s="1" t="s">
        <v>771</v>
      </c>
      <c r="Y123" s="3">
        <v>43464</v>
      </c>
      <c r="Z123" s="1">
        <v>2018</v>
      </c>
      <c r="AA123" s="2"/>
      <c r="AB123" s="2"/>
      <c r="AC123" s="2">
        <v>199446.48000000004</v>
      </c>
      <c r="AG123" s="1" t="s">
        <v>21</v>
      </c>
      <c r="AI123" s="2">
        <v>199446.48000000004</v>
      </c>
      <c r="AK123" s="1"/>
      <c r="AL123" s="1" t="s">
        <v>127</v>
      </c>
    </row>
    <row r="124" spans="1:38" ht="15" customHeight="1" x14ac:dyDescent="0.2">
      <c r="A124" s="1" t="s">
        <v>19</v>
      </c>
      <c r="B124" s="5" t="s">
        <v>109</v>
      </c>
      <c r="C124" s="1" t="s">
        <v>37</v>
      </c>
      <c r="D124" s="1" t="s">
        <v>132</v>
      </c>
      <c r="E124" s="1" t="s">
        <v>35</v>
      </c>
      <c r="G124" s="1" t="s">
        <v>131</v>
      </c>
      <c r="H124" s="1" t="s">
        <v>130</v>
      </c>
      <c r="I124" s="1" t="s">
        <v>4628</v>
      </c>
      <c r="J124" s="1">
        <v>2018</v>
      </c>
      <c r="P124" s="1" t="s">
        <v>4112</v>
      </c>
      <c r="Q124" s="1" t="s">
        <v>771</v>
      </c>
      <c r="R124" s="1" t="s">
        <v>1060</v>
      </c>
      <c r="S124" s="1" t="s">
        <v>4052</v>
      </c>
      <c r="T124" s="1" t="s">
        <v>4051</v>
      </c>
      <c r="U124" s="1">
        <v>1</v>
      </c>
      <c r="V124" s="1" t="s">
        <v>771</v>
      </c>
      <c r="Y124" s="3">
        <v>43464</v>
      </c>
      <c r="Z124" s="1">
        <v>2018</v>
      </c>
      <c r="AA124" s="2"/>
      <c r="AB124" s="2"/>
      <c r="AC124" s="2">
        <v>191005.44</v>
      </c>
      <c r="AG124" s="1" t="s">
        <v>21</v>
      </c>
      <c r="AI124" s="2">
        <v>191005.44</v>
      </c>
      <c r="AK124" s="1"/>
      <c r="AL124" s="1" t="s">
        <v>127</v>
      </c>
    </row>
    <row r="125" spans="1:38" ht="15" customHeight="1" x14ac:dyDescent="0.2">
      <c r="A125" s="1" t="s">
        <v>19</v>
      </c>
      <c r="B125" s="5" t="s">
        <v>109</v>
      </c>
      <c r="C125" s="1" t="s">
        <v>37</v>
      </c>
      <c r="D125" s="1" t="s">
        <v>132</v>
      </c>
      <c r="E125" s="1" t="s">
        <v>35</v>
      </c>
      <c r="G125" s="1" t="s">
        <v>131</v>
      </c>
      <c r="H125" s="1" t="s">
        <v>130</v>
      </c>
      <c r="I125" s="1" t="s">
        <v>4627</v>
      </c>
      <c r="J125" s="1">
        <v>2018</v>
      </c>
      <c r="P125" s="1" t="s">
        <v>4112</v>
      </c>
      <c r="Q125" s="1" t="s">
        <v>771</v>
      </c>
      <c r="R125" s="1" t="s">
        <v>1060</v>
      </c>
      <c r="S125" s="1" t="s">
        <v>4052</v>
      </c>
      <c r="T125" s="1" t="s">
        <v>4051</v>
      </c>
      <c r="U125" s="1">
        <v>1</v>
      </c>
      <c r="V125" s="1" t="s">
        <v>771</v>
      </c>
      <c r="Y125" s="3">
        <v>43464</v>
      </c>
      <c r="Z125" s="1">
        <v>2018</v>
      </c>
      <c r="AA125" s="2"/>
      <c r="AB125" s="2"/>
      <c r="AC125" s="2">
        <v>287159.90000000002</v>
      </c>
      <c r="AG125" s="1" t="s">
        <v>21</v>
      </c>
      <c r="AI125" s="2">
        <v>287159.90000000002</v>
      </c>
      <c r="AK125" s="1"/>
      <c r="AL125" s="1" t="s">
        <v>127</v>
      </c>
    </row>
    <row r="126" spans="1:38" ht="15" customHeight="1" x14ac:dyDescent="0.2">
      <c r="A126" s="1" t="s">
        <v>19</v>
      </c>
      <c r="B126" s="5" t="s">
        <v>109</v>
      </c>
      <c r="C126" s="1" t="s">
        <v>37</v>
      </c>
      <c r="D126" s="1" t="s">
        <v>132</v>
      </c>
      <c r="E126" s="1" t="s">
        <v>35</v>
      </c>
      <c r="G126" s="1" t="s">
        <v>131</v>
      </c>
      <c r="H126" s="1" t="s">
        <v>130</v>
      </c>
      <c r="I126" s="1" t="s">
        <v>4626</v>
      </c>
      <c r="J126" s="1">
        <v>2018</v>
      </c>
      <c r="P126" s="1" t="s">
        <v>4112</v>
      </c>
      <c r="Q126" s="1" t="s">
        <v>771</v>
      </c>
      <c r="R126" s="1" t="s">
        <v>1060</v>
      </c>
      <c r="S126" s="1" t="s">
        <v>4052</v>
      </c>
      <c r="T126" s="1" t="s">
        <v>4051</v>
      </c>
      <c r="U126" s="1">
        <v>1</v>
      </c>
      <c r="V126" s="1" t="s">
        <v>771</v>
      </c>
      <c r="Y126" s="3">
        <v>43464</v>
      </c>
      <c r="Z126" s="1">
        <v>2018</v>
      </c>
      <c r="AA126" s="2"/>
      <c r="AB126" s="2"/>
      <c r="AC126" s="2">
        <v>257188.06</v>
      </c>
      <c r="AG126" s="1" t="s">
        <v>21</v>
      </c>
      <c r="AI126" s="2">
        <v>257188.06</v>
      </c>
      <c r="AK126" s="1"/>
      <c r="AL126" s="1" t="s">
        <v>127</v>
      </c>
    </row>
    <row r="127" spans="1:38" ht="15" customHeight="1" x14ac:dyDescent="0.2">
      <c r="A127" s="1" t="s">
        <v>19</v>
      </c>
      <c r="B127" s="5" t="s">
        <v>109</v>
      </c>
      <c r="C127" s="1" t="s">
        <v>37</v>
      </c>
      <c r="D127" s="1" t="s">
        <v>132</v>
      </c>
      <c r="E127" s="1" t="s">
        <v>35</v>
      </c>
      <c r="G127" s="1" t="s">
        <v>131</v>
      </c>
      <c r="H127" s="1" t="s">
        <v>130</v>
      </c>
      <c r="I127" s="1" t="s">
        <v>4625</v>
      </c>
      <c r="J127" s="1">
        <v>2022</v>
      </c>
      <c r="P127" s="1" t="s">
        <v>4146</v>
      </c>
      <c r="Q127" s="1" t="s">
        <v>771</v>
      </c>
      <c r="R127" s="1" t="s">
        <v>1060</v>
      </c>
      <c r="S127" s="1" t="s">
        <v>4052</v>
      </c>
      <c r="T127" s="1" t="s">
        <v>4051</v>
      </c>
      <c r="U127" s="1">
        <v>1</v>
      </c>
      <c r="V127" s="1" t="s">
        <v>771</v>
      </c>
      <c r="Y127" s="3">
        <v>44562</v>
      </c>
      <c r="Z127" s="1">
        <v>2022</v>
      </c>
      <c r="AA127" s="2"/>
      <c r="AB127" s="2"/>
      <c r="AC127" s="2">
        <v>713597.1</v>
      </c>
      <c r="AG127" s="1" t="s">
        <v>21</v>
      </c>
      <c r="AI127" s="2">
        <v>713597.1</v>
      </c>
      <c r="AK127" s="1"/>
      <c r="AL127" s="1" t="s">
        <v>127</v>
      </c>
    </row>
    <row r="128" spans="1:38" ht="15" customHeight="1" x14ac:dyDescent="0.2">
      <c r="A128" s="1" t="s">
        <v>19</v>
      </c>
      <c r="B128" s="5" t="s">
        <v>109</v>
      </c>
      <c r="C128" s="1" t="s">
        <v>37</v>
      </c>
      <c r="D128" s="1" t="s">
        <v>132</v>
      </c>
      <c r="E128" s="1" t="s">
        <v>35</v>
      </c>
      <c r="G128" s="1" t="s">
        <v>131</v>
      </c>
      <c r="H128" s="1" t="s">
        <v>130</v>
      </c>
      <c r="I128" s="1" t="s">
        <v>4624</v>
      </c>
      <c r="J128" s="1">
        <v>2023</v>
      </c>
      <c r="P128" s="1" t="s">
        <v>4112</v>
      </c>
      <c r="Q128" s="1" t="s">
        <v>771</v>
      </c>
      <c r="R128" s="1" t="s">
        <v>1060</v>
      </c>
      <c r="S128" s="1" t="s">
        <v>4052</v>
      </c>
      <c r="T128" s="1" t="s">
        <v>4051</v>
      </c>
      <c r="U128" s="1">
        <v>1</v>
      </c>
      <c r="V128" s="1" t="s">
        <v>771</v>
      </c>
      <c r="Y128" s="3">
        <v>45069</v>
      </c>
      <c r="Z128" s="1">
        <v>2023</v>
      </c>
      <c r="AA128" s="2"/>
      <c r="AB128" s="2"/>
      <c r="AC128" s="2">
        <v>561147.15</v>
      </c>
      <c r="AG128" s="1" t="s">
        <v>21</v>
      </c>
      <c r="AI128" s="2">
        <v>561147.15</v>
      </c>
      <c r="AK128" s="1"/>
      <c r="AL128" s="1" t="s">
        <v>127</v>
      </c>
    </row>
    <row r="129" spans="1:38" ht="15" customHeight="1" x14ac:dyDescent="0.2">
      <c r="A129" s="1" t="s">
        <v>19</v>
      </c>
      <c r="B129" s="5" t="s">
        <v>109</v>
      </c>
      <c r="C129" s="1" t="s">
        <v>37</v>
      </c>
      <c r="D129" s="1" t="s">
        <v>132</v>
      </c>
      <c r="E129" s="1" t="s">
        <v>35</v>
      </c>
      <c r="G129" s="1" t="s">
        <v>131</v>
      </c>
      <c r="H129" s="1" t="s">
        <v>130</v>
      </c>
      <c r="I129" s="1" t="s">
        <v>4623</v>
      </c>
      <c r="J129" s="1">
        <v>2022</v>
      </c>
      <c r="P129" s="1" t="s">
        <v>4112</v>
      </c>
      <c r="Q129" s="1" t="s">
        <v>771</v>
      </c>
      <c r="R129" s="1" t="s">
        <v>1060</v>
      </c>
      <c r="S129" s="1" t="s">
        <v>4052</v>
      </c>
      <c r="T129" s="1" t="s">
        <v>4051</v>
      </c>
      <c r="U129" s="1">
        <v>1</v>
      </c>
      <c r="V129" s="1" t="s">
        <v>771</v>
      </c>
      <c r="Y129" s="3">
        <v>44599</v>
      </c>
      <c r="Z129" s="1">
        <v>2022</v>
      </c>
      <c r="AA129" s="2"/>
      <c r="AB129" s="2"/>
      <c r="AC129" s="2">
        <v>651464.41999999993</v>
      </c>
      <c r="AG129" s="1" t="s">
        <v>21</v>
      </c>
      <c r="AI129" s="2">
        <v>651464.41999999993</v>
      </c>
      <c r="AK129" s="1"/>
      <c r="AL129" s="1" t="s">
        <v>127</v>
      </c>
    </row>
    <row r="130" spans="1:38" ht="15" customHeight="1" x14ac:dyDescent="0.2">
      <c r="A130" s="1" t="s">
        <v>19</v>
      </c>
      <c r="B130" s="5" t="s">
        <v>109</v>
      </c>
      <c r="C130" s="1" t="s">
        <v>37</v>
      </c>
      <c r="D130" s="1" t="s">
        <v>132</v>
      </c>
      <c r="E130" s="1" t="s">
        <v>35</v>
      </c>
      <c r="G130" s="1" t="s">
        <v>131</v>
      </c>
      <c r="H130" s="1" t="s">
        <v>130</v>
      </c>
      <c r="I130" s="1" t="s">
        <v>4622</v>
      </c>
      <c r="J130" s="1">
        <v>2018</v>
      </c>
      <c r="P130" s="1" t="s">
        <v>4112</v>
      </c>
      <c r="Q130" s="1" t="s">
        <v>771</v>
      </c>
      <c r="R130" s="1" t="s">
        <v>1060</v>
      </c>
      <c r="S130" s="1" t="s">
        <v>4052</v>
      </c>
      <c r="T130" s="1" t="s">
        <v>4051</v>
      </c>
      <c r="U130" s="1">
        <v>1</v>
      </c>
      <c r="V130" s="1" t="s">
        <v>771</v>
      </c>
      <c r="Y130" s="3">
        <v>43464</v>
      </c>
      <c r="Z130" s="1">
        <v>2018</v>
      </c>
      <c r="AA130" s="2"/>
      <c r="AB130" s="2"/>
      <c r="AC130" s="2">
        <v>531071.92000000004</v>
      </c>
      <c r="AG130" s="1" t="s">
        <v>21</v>
      </c>
      <c r="AI130" s="2">
        <v>531071.92000000004</v>
      </c>
      <c r="AK130" s="1"/>
      <c r="AL130" s="1" t="s">
        <v>127</v>
      </c>
    </row>
    <row r="131" spans="1:38" ht="15" customHeight="1" x14ac:dyDescent="0.2">
      <c r="A131" s="1" t="s">
        <v>19</v>
      </c>
      <c r="B131" s="5" t="s">
        <v>109</v>
      </c>
      <c r="C131" s="1" t="s">
        <v>37</v>
      </c>
      <c r="D131" s="1" t="s">
        <v>132</v>
      </c>
      <c r="E131" s="1" t="s">
        <v>35</v>
      </c>
      <c r="G131" s="1" t="s">
        <v>131</v>
      </c>
      <c r="H131" s="1" t="s">
        <v>130</v>
      </c>
      <c r="I131" s="1" t="s">
        <v>4621</v>
      </c>
      <c r="J131" s="1">
        <v>2018</v>
      </c>
      <c r="P131" s="1" t="s">
        <v>4112</v>
      </c>
      <c r="Q131" s="1" t="s">
        <v>771</v>
      </c>
      <c r="R131" s="1" t="s">
        <v>1060</v>
      </c>
      <c r="S131" s="1" t="s">
        <v>4052</v>
      </c>
      <c r="T131" s="1" t="s">
        <v>4051</v>
      </c>
      <c r="U131" s="1">
        <v>1</v>
      </c>
      <c r="V131" s="1" t="s">
        <v>771</v>
      </c>
      <c r="Y131" s="3">
        <v>43464</v>
      </c>
      <c r="Z131" s="1">
        <v>2018</v>
      </c>
      <c r="AA131" s="2"/>
      <c r="AB131" s="2"/>
      <c r="AC131" s="2">
        <v>713820.4800000001</v>
      </c>
      <c r="AG131" s="1" t="s">
        <v>21</v>
      </c>
      <c r="AI131" s="2">
        <v>713820.4800000001</v>
      </c>
      <c r="AK131" s="1"/>
      <c r="AL131" s="1" t="s">
        <v>127</v>
      </c>
    </row>
    <row r="132" spans="1:38" ht="15" customHeight="1" x14ac:dyDescent="0.2">
      <c r="A132" s="1" t="s">
        <v>19</v>
      </c>
      <c r="B132" s="5" t="s">
        <v>109</v>
      </c>
      <c r="C132" s="1" t="s">
        <v>37</v>
      </c>
      <c r="D132" s="1" t="s">
        <v>132</v>
      </c>
      <c r="E132" s="1" t="s">
        <v>35</v>
      </c>
      <c r="G132" s="1" t="s">
        <v>135</v>
      </c>
      <c r="H132" s="1" t="s">
        <v>130</v>
      </c>
      <c r="I132" s="1" t="s">
        <v>4620</v>
      </c>
      <c r="J132" s="1">
        <v>2019</v>
      </c>
      <c r="P132" s="1" t="s">
        <v>4146</v>
      </c>
      <c r="Q132" s="1" t="s">
        <v>771</v>
      </c>
      <c r="R132" s="1" t="s">
        <v>1060</v>
      </c>
      <c r="S132" s="1" t="s">
        <v>4080</v>
      </c>
      <c r="T132" s="1" t="s">
        <v>4079</v>
      </c>
      <c r="U132" s="1">
        <v>1</v>
      </c>
      <c r="V132" s="1" t="s">
        <v>771</v>
      </c>
      <c r="Y132" s="3">
        <v>43809</v>
      </c>
      <c r="Z132" s="1">
        <v>2019</v>
      </c>
      <c r="AA132" s="2"/>
      <c r="AB132" s="2"/>
      <c r="AC132" s="2">
        <v>19025.36</v>
      </c>
      <c r="AG132" s="1" t="s">
        <v>21</v>
      </c>
      <c r="AI132" s="2">
        <v>19025.36</v>
      </c>
      <c r="AK132" s="1"/>
    </row>
    <row r="133" spans="1:38" ht="15" customHeight="1" x14ac:dyDescent="0.2">
      <c r="A133" s="1" t="s">
        <v>19</v>
      </c>
      <c r="B133" s="5" t="s">
        <v>109</v>
      </c>
      <c r="C133" s="1" t="s">
        <v>37</v>
      </c>
      <c r="D133" s="1" t="s">
        <v>132</v>
      </c>
      <c r="E133" s="1" t="s">
        <v>35</v>
      </c>
      <c r="G133" s="1" t="s">
        <v>135</v>
      </c>
      <c r="H133" s="1" t="s">
        <v>130</v>
      </c>
      <c r="I133" s="1" t="s">
        <v>4619</v>
      </c>
      <c r="J133" s="1">
        <v>2019</v>
      </c>
      <c r="P133" s="1" t="s">
        <v>4146</v>
      </c>
      <c r="Q133" s="1" t="s">
        <v>771</v>
      </c>
      <c r="R133" s="1" t="s">
        <v>1060</v>
      </c>
      <c r="S133" s="1" t="s">
        <v>4080</v>
      </c>
      <c r="T133" s="1" t="s">
        <v>4079</v>
      </c>
      <c r="U133" s="1">
        <v>1</v>
      </c>
      <c r="V133" s="1" t="s">
        <v>771</v>
      </c>
      <c r="Y133" s="3">
        <v>43809</v>
      </c>
      <c r="Z133" s="1">
        <v>2019</v>
      </c>
      <c r="AA133" s="2"/>
      <c r="AB133" s="2"/>
      <c r="AC133" s="2">
        <v>19273.78</v>
      </c>
      <c r="AG133" s="1" t="s">
        <v>21</v>
      </c>
      <c r="AI133" s="2">
        <v>19273.78</v>
      </c>
      <c r="AK133" s="1"/>
    </row>
    <row r="134" spans="1:38" ht="15" customHeight="1" x14ac:dyDescent="0.2">
      <c r="A134" s="1" t="s">
        <v>19</v>
      </c>
      <c r="B134" s="5" t="s">
        <v>109</v>
      </c>
      <c r="C134" s="1" t="s">
        <v>37</v>
      </c>
      <c r="D134" s="1" t="s">
        <v>132</v>
      </c>
      <c r="E134" s="1" t="s">
        <v>35</v>
      </c>
      <c r="G134" s="1" t="s">
        <v>135</v>
      </c>
      <c r="H134" s="1" t="s">
        <v>130</v>
      </c>
      <c r="I134" s="1" t="s">
        <v>4618</v>
      </c>
      <c r="J134" s="1">
        <v>2021</v>
      </c>
      <c r="P134" s="1" t="s">
        <v>4146</v>
      </c>
      <c r="Q134" s="1" t="s">
        <v>771</v>
      </c>
      <c r="R134" s="1" t="s">
        <v>1060</v>
      </c>
      <c r="S134" s="1" t="s">
        <v>4080</v>
      </c>
      <c r="T134" s="1" t="s">
        <v>4079</v>
      </c>
      <c r="U134" s="1">
        <v>1</v>
      </c>
      <c r="V134" s="1" t="s">
        <v>771</v>
      </c>
      <c r="Y134" s="3">
        <v>44322</v>
      </c>
      <c r="Z134" s="1">
        <v>2021</v>
      </c>
      <c r="AA134" s="2"/>
      <c r="AB134" s="2"/>
      <c r="AC134" s="2">
        <v>15658.45</v>
      </c>
      <c r="AG134" s="1" t="s">
        <v>21</v>
      </c>
      <c r="AI134" s="2">
        <v>15658.45</v>
      </c>
      <c r="AK134" s="1"/>
    </row>
    <row r="135" spans="1:38" ht="15" customHeight="1" x14ac:dyDescent="0.2">
      <c r="A135" s="1" t="s">
        <v>19</v>
      </c>
      <c r="B135" s="5" t="s">
        <v>18</v>
      </c>
      <c r="C135" s="1" t="s">
        <v>37</v>
      </c>
      <c r="D135" s="1" t="s">
        <v>211</v>
      </c>
      <c r="E135" s="1" t="s">
        <v>35</v>
      </c>
      <c r="F135" s="1" t="s">
        <v>637</v>
      </c>
      <c r="G135" s="1" t="s">
        <v>636</v>
      </c>
      <c r="H135" s="1" t="s">
        <v>130</v>
      </c>
      <c r="I135" s="1" t="s">
        <v>4617</v>
      </c>
      <c r="J135" s="1">
        <v>2017</v>
      </c>
      <c r="K135" s="1" t="s">
        <v>4612</v>
      </c>
      <c r="L135" s="1" t="s">
        <v>4616</v>
      </c>
      <c r="M135" s="1" t="s">
        <v>4615</v>
      </c>
      <c r="N135" s="1" t="s">
        <v>4614</v>
      </c>
      <c r="P135" s="1" t="s">
        <v>4613</v>
      </c>
      <c r="Q135" s="1" t="s">
        <v>771</v>
      </c>
      <c r="R135" s="1" t="s">
        <v>1060</v>
      </c>
      <c r="S135" s="1" t="s">
        <v>4052</v>
      </c>
      <c r="T135" s="1" t="s">
        <v>4051</v>
      </c>
      <c r="U135" s="1">
        <v>1</v>
      </c>
      <c r="V135" s="1" t="s">
        <v>771</v>
      </c>
      <c r="W135" s="1" t="s">
        <v>4612</v>
      </c>
      <c r="X135" s="1" t="s">
        <v>319</v>
      </c>
      <c r="Y135" s="3">
        <v>44923</v>
      </c>
      <c r="Z135" s="1">
        <v>2022</v>
      </c>
      <c r="AA135" s="2">
        <v>20598890</v>
      </c>
      <c r="AB135" s="2"/>
      <c r="AC135" s="2">
        <v>2625000</v>
      </c>
      <c r="AD135" s="1">
        <v>30</v>
      </c>
      <c r="AE135" s="1">
        <v>8</v>
      </c>
      <c r="AG135" s="1" t="s">
        <v>21</v>
      </c>
      <c r="AI135" s="2">
        <v>2625000</v>
      </c>
      <c r="AK135" s="1"/>
    </row>
    <row r="136" spans="1:38" ht="15" customHeight="1" x14ac:dyDescent="0.2">
      <c r="A136" s="1" t="s">
        <v>19</v>
      </c>
      <c r="B136" s="5" t="s">
        <v>18</v>
      </c>
      <c r="C136" s="1" t="s">
        <v>37</v>
      </c>
      <c r="D136" s="1" t="s">
        <v>211</v>
      </c>
      <c r="E136" s="1" t="s">
        <v>35</v>
      </c>
      <c r="F136" s="1" t="s">
        <v>637</v>
      </c>
      <c r="G136" s="1" t="s">
        <v>636</v>
      </c>
      <c r="H136" s="1" t="s">
        <v>130</v>
      </c>
      <c r="I136" s="1" t="s">
        <v>4611</v>
      </c>
      <c r="J136" s="1" t="s">
        <v>316</v>
      </c>
      <c r="K136" s="1" t="s">
        <v>1379</v>
      </c>
      <c r="L136" s="1" t="s">
        <v>4610</v>
      </c>
      <c r="M136" s="1" t="s">
        <v>4536</v>
      </c>
      <c r="N136" s="1" t="s">
        <v>4609</v>
      </c>
      <c r="P136" s="1" t="s">
        <v>4534</v>
      </c>
      <c r="Q136" s="1" t="s">
        <v>771</v>
      </c>
      <c r="R136" s="1" t="s">
        <v>1060</v>
      </c>
      <c r="S136" s="1" t="s">
        <v>4228</v>
      </c>
      <c r="T136" s="1" t="s">
        <v>4227</v>
      </c>
      <c r="U136" s="1">
        <v>1</v>
      </c>
      <c r="V136" s="1" t="s">
        <v>771</v>
      </c>
      <c r="W136" s="1" t="s">
        <v>1379</v>
      </c>
      <c r="X136" s="1" t="s">
        <v>52</v>
      </c>
      <c r="Y136" s="3">
        <v>43825</v>
      </c>
      <c r="Z136" s="1">
        <v>2019</v>
      </c>
      <c r="AA136" s="2">
        <v>3429084</v>
      </c>
      <c r="AB136" s="2"/>
      <c r="AC136" s="2">
        <v>525000</v>
      </c>
      <c r="AD136" s="1">
        <v>15</v>
      </c>
      <c r="AG136" s="1" t="s">
        <v>21</v>
      </c>
      <c r="AH136" s="1" t="s">
        <v>1079</v>
      </c>
      <c r="AI136" s="2">
        <v>332084.88</v>
      </c>
      <c r="AK136" s="1"/>
    </row>
    <row r="137" spans="1:38" ht="15" customHeight="1" x14ac:dyDescent="0.2">
      <c r="A137" s="1" t="s">
        <v>19</v>
      </c>
      <c r="B137" s="5" t="s">
        <v>109</v>
      </c>
      <c r="C137" s="1" t="s">
        <v>37</v>
      </c>
      <c r="D137" s="1" t="s">
        <v>211</v>
      </c>
      <c r="E137" s="1" t="s">
        <v>35</v>
      </c>
      <c r="F137" s="1" t="s">
        <v>637</v>
      </c>
      <c r="G137" s="1" t="s">
        <v>636</v>
      </c>
      <c r="H137" s="1" t="s">
        <v>130</v>
      </c>
      <c r="I137" s="1" t="s">
        <v>4608</v>
      </c>
      <c r="J137" s="1" t="s">
        <v>316</v>
      </c>
      <c r="K137" s="50" t="s">
        <v>4607</v>
      </c>
      <c r="P137" s="1" t="s">
        <v>4606</v>
      </c>
      <c r="Q137" s="1" t="s">
        <v>771</v>
      </c>
      <c r="R137" s="1" t="s">
        <v>1060</v>
      </c>
      <c r="S137" s="1" t="s">
        <v>4052</v>
      </c>
      <c r="T137" s="1" t="s">
        <v>4051</v>
      </c>
      <c r="U137" s="1">
        <v>1</v>
      </c>
      <c r="V137" s="1" t="s">
        <v>771</v>
      </c>
      <c r="W137" s="1" t="s">
        <v>4605</v>
      </c>
      <c r="X137" s="1" t="s">
        <v>319</v>
      </c>
      <c r="Y137" s="3">
        <v>44299</v>
      </c>
      <c r="Z137" s="1">
        <v>2021</v>
      </c>
      <c r="AA137" s="2">
        <v>307741.19</v>
      </c>
      <c r="AB137" s="2"/>
      <c r="AC137" s="2">
        <v>76935.3</v>
      </c>
      <c r="AD137" s="1">
        <v>3</v>
      </c>
      <c r="AE137" s="1">
        <v>1</v>
      </c>
      <c r="AG137" s="1" t="s">
        <v>106</v>
      </c>
      <c r="AH137" s="1" t="s">
        <v>105</v>
      </c>
      <c r="AI137" s="2">
        <v>0</v>
      </c>
      <c r="AK137" s="1"/>
    </row>
    <row r="138" spans="1:38" ht="15" customHeight="1" x14ac:dyDescent="0.2">
      <c r="A138" s="1" t="s">
        <v>19</v>
      </c>
      <c r="B138" s="5" t="s">
        <v>109</v>
      </c>
      <c r="C138" s="1" t="s">
        <v>37</v>
      </c>
      <c r="D138" s="1" t="s">
        <v>211</v>
      </c>
      <c r="E138" s="1" t="s">
        <v>35</v>
      </c>
      <c r="F138" s="1" t="s">
        <v>637</v>
      </c>
      <c r="G138" s="1" t="s">
        <v>636</v>
      </c>
      <c r="H138" s="1" t="s">
        <v>130</v>
      </c>
      <c r="I138" s="1" t="s">
        <v>4604</v>
      </c>
      <c r="J138" s="1" t="s">
        <v>316</v>
      </c>
      <c r="K138" s="1" t="s">
        <v>4603</v>
      </c>
      <c r="P138" s="1" t="s">
        <v>4531</v>
      </c>
      <c r="Q138" s="1" t="s">
        <v>771</v>
      </c>
      <c r="R138" s="1" t="s">
        <v>1060</v>
      </c>
      <c r="S138" s="1" t="s">
        <v>4080</v>
      </c>
      <c r="T138" s="1" t="s">
        <v>4079</v>
      </c>
      <c r="U138" s="1">
        <v>1</v>
      </c>
      <c r="V138" s="1" t="s">
        <v>771</v>
      </c>
      <c r="W138" s="1" t="s">
        <v>4602</v>
      </c>
      <c r="X138" s="1" t="s">
        <v>529</v>
      </c>
      <c r="Y138" s="3">
        <v>44181</v>
      </c>
      <c r="Z138" s="1">
        <v>2020</v>
      </c>
      <c r="AA138" s="2">
        <v>636316.31000000006</v>
      </c>
      <c r="AB138" s="2"/>
      <c r="AC138" s="2">
        <v>78750</v>
      </c>
      <c r="AD138" s="1">
        <v>3</v>
      </c>
      <c r="AG138" s="1" t="s">
        <v>106</v>
      </c>
      <c r="AH138" s="1" t="s">
        <v>105</v>
      </c>
      <c r="AI138" s="2">
        <v>0</v>
      </c>
      <c r="AK138" s="1"/>
    </row>
    <row r="139" spans="1:38" ht="15" customHeight="1" x14ac:dyDescent="0.2">
      <c r="A139" s="1" t="s">
        <v>19</v>
      </c>
      <c r="B139" s="5" t="s">
        <v>109</v>
      </c>
      <c r="C139" s="1" t="s">
        <v>37</v>
      </c>
      <c r="D139" s="1" t="s">
        <v>211</v>
      </c>
      <c r="E139" s="1" t="s">
        <v>35</v>
      </c>
      <c r="F139" s="1" t="s">
        <v>637</v>
      </c>
      <c r="G139" s="1" t="s">
        <v>636</v>
      </c>
      <c r="H139" s="1" t="s">
        <v>130</v>
      </c>
      <c r="I139" s="1" t="s">
        <v>4601</v>
      </c>
      <c r="J139" s="1" t="s">
        <v>316</v>
      </c>
      <c r="K139" s="1" t="s">
        <v>4600</v>
      </c>
      <c r="P139" s="1" t="s">
        <v>4341</v>
      </c>
      <c r="Q139" s="1" t="s">
        <v>771</v>
      </c>
      <c r="R139" s="1" t="s">
        <v>1060</v>
      </c>
      <c r="S139" s="1" t="s">
        <v>4052</v>
      </c>
      <c r="T139" s="1" t="s">
        <v>4051</v>
      </c>
      <c r="U139" s="1">
        <v>1</v>
      </c>
      <c r="V139" s="1" t="s">
        <v>771</v>
      </c>
      <c r="W139" s="1" t="s">
        <v>4599</v>
      </c>
      <c r="X139" s="1" t="s">
        <v>304</v>
      </c>
      <c r="Y139" s="3">
        <v>44299</v>
      </c>
      <c r="Z139" s="1">
        <v>2021</v>
      </c>
      <c r="AA139" s="2">
        <v>468160.4</v>
      </c>
      <c r="AB139" s="2"/>
      <c r="AC139" s="2">
        <v>105000</v>
      </c>
      <c r="AD139" s="1">
        <v>3</v>
      </c>
      <c r="AE139" s="1">
        <v>3</v>
      </c>
      <c r="AG139" s="1" t="s">
        <v>106</v>
      </c>
      <c r="AH139" s="1" t="s">
        <v>105</v>
      </c>
      <c r="AI139" s="2">
        <v>0</v>
      </c>
      <c r="AK139" s="1" t="s">
        <v>1393</v>
      </c>
    </row>
    <row r="140" spans="1:38" ht="15" customHeight="1" x14ac:dyDescent="0.2">
      <c r="A140" s="1" t="s">
        <v>19</v>
      </c>
      <c r="B140" s="5" t="s">
        <v>109</v>
      </c>
      <c r="C140" s="1" t="s">
        <v>37</v>
      </c>
      <c r="D140" s="1" t="s">
        <v>211</v>
      </c>
      <c r="E140" s="1" t="s">
        <v>35</v>
      </c>
      <c r="F140" s="1" t="s">
        <v>637</v>
      </c>
      <c r="G140" s="1" t="s">
        <v>636</v>
      </c>
      <c r="H140" s="1" t="s">
        <v>130</v>
      </c>
      <c r="I140" s="1" t="s">
        <v>4598</v>
      </c>
      <c r="J140" s="1" t="s">
        <v>316</v>
      </c>
      <c r="K140" s="1" t="s">
        <v>4596</v>
      </c>
      <c r="P140" s="1" t="s">
        <v>4597</v>
      </c>
      <c r="Q140" s="1" t="s">
        <v>771</v>
      </c>
      <c r="R140" s="1" t="s">
        <v>1060</v>
      </c>
      <c r="S140" s="1" t="s">
        <v>4044</v>
      </c>
      <c r="T140" s="1" t="s">
        <v>4043</v>
      </c>
      <c r="U140" s="1">
        <v>1</v>
      </c>
      <c r="V140" s="1" t="s">
        <v>771</v>
      </c>
      <c r="W140" s="1" t="s">
        <v>4596</v>
      </c>
      <c r="X140" s="1" t="s">
        <v>319</v>
      </c>
      <c r="Y140" s="3">
        <v>44747</v>
      </c>
      <c r="Z140" s="1">
        <v>2022</v>
      </c>
      <c r="AA140" s="2">
        <v>819166.4</v>
      </c>
      <c r="AB140" s="2"/>
      <c r="AC140" s="2">
        <v>87500</v>
      </c>
      <c r="AD140" s="1">
        <v>3</v>
      </c>
      <c r="AE140" s="1">
        <v>1</v>
      </c>
      <c r="AG140" s="1" t="s">
        <v>106</v>
      </c>
      <c r="AH140" s="1" t="s">
        <v>105</v>
      </c>
      <c r="AI140" s="2">
        <v>0</v>
      </c>
      <c r="AK140" s="1" t="s">
        <v>318</v>
      </c>
    </row>
    <row r="141" spans="1:38" ht="15" customHeight="1" x14ac:dyDescent="0.2">
      <c r="A141" s="1" t="s">
        <v>19</v>
      </c>
      <c r="B141" s="5" t="s">
        <v>109</v>
      </c>
      <c r="C141" s="1" t="s">
        <v>37</v>
      </c>
      <c r="D141" s="1" t="s">
        <v>211</v>
      </c>
      <c r="E141" s="1" t="s">
        <v>35</v>
      </c>
      <c r="F141" s="1" t="s">
        <v>637</v>
      </c>
      <c r="G141" s="1" t="s">
        <v>636</v>
      </c>
      <c r="H141" s="1" t="s">
        <v>130</v>
      </c>
      <c r="I141" s="1" t="s">
        <v>4595</v>
      </c>
      <c r="J141" s="1" t="s">
        <v>316</v>
      </c>
      <c r="K141" s="1" t="s">
        <v>4593</v>
      </c>
      <c r="P141" s="1" t="s">
        <v>4594</v>
      </c>
      <c r="Q141" s="1" t="s">
        <v>771</v>
      </c>
      <c r="R141" s="1" t="s">
        <v>1060</v>
      </c>
      <c r="S141" s="1" t="s">
        <v>3956</v>
      </c>
      <c r="T141" s="1" t="s">
        <v>3955</v>
      </c>
      <c r="U141" s="1">
        <v>1</v>
      </c>
      <c r="V141" s="1" t="s">
        <v>771</v>
      </c>
      <c r="W141" s="1" t="s">
        <v>4593</v>
      </c>
      <c r="X141" s="1" t="s">
        <v>319</v>
      </c>
      <c r="Y141" s="3">
        <v>44893</v>
      </c>
      <c r="Z141" s="1">
        <v>2022</v>
      </c>
      <c r="AA141" s="2">
        <v>1065512</v>
      </c>
      <c r="AB141" s="2"/>
      <c r="AC141" s="2">
        <v>201250</v>
      </c>
      <c r="AD141" s="1">
        <v>6</v>
      </c>
      <c r="AE141" s="1">
        <v>5</v>
      </c>
      <c r="AG141" s="1" t="s">
        <v>106</v>
      </c>
      <c r="AH141" s="1" t="s">
        <v>1088</v>
      </c>
      <c r="AI141" s="2">
        <v>0</v>
      </c>
      <c r="AK141" s="1" t="s">
        <v>4062</v>
      </c>
    </row>
    <row r="142" spans="1:38" ht="15" customHeight="1" x14ac:dyDescent="0.2">
      <c r="A142" s="1" t="s">
        <v>19</v>
      </c>
      <c r="B142" s="5" t="s">
        <v>109</v>
      </c>
      <c r="C142" s="1" t="s">
        <v>37</v>
      </c>
      <c r="D142" s="1" t="s">
        <v>211</v>
      </c>
      <c r="E142" s="1" t="s">
        <v>35</v>
      </c>
      <c r="F142" s="1" t="s">
        <v>637</v>
      </c>
      <c r="G142" s="1" t="s">
        <v>636</v>
      </c>
      <c r="H142" s="1" t="s">
        <v>130</v>
      </c>
      <c r="I142" s="1" t="s">
        <v>4592</v>
      </c>
      <c r="J142" s="1" t="s">
        <v>316</v>
      </c>
      <c r="K142" s="1" t="s">
        <v>4591</v>
      </c>
      <c r="P142" s="1" t="s">
        <v>4346</v>
      </c>
      <c r="Q142" s="1" t="s">
        <v>771</v>
      </c>
      <c r="R142" s="1" t="s">
        <v>1060</v>
      </c>
      <c r="S142" s="1" t="s">
        <v>4004</v>
      </c>
      <c r="T142" s="1" t="s">
        <v>4003</v>
      </c>
      <c r="U142" s="1">
        <v>2</v>
      </c>
      <c r="V142" s="1" t="s">
        <v>771</v>
      </c>
      <c r="W142" s="1" t="s">
        <v>4591</v>
      </c>
      <c r="X142" s="1" t="s">
        <v>52</v>
      </c>
      <c r="Y142" s="3">
        <v>44187</v>
      </c>
      <c r="Z142" s="1">
        <v>2020</v>
      </c>
      <c r="AA142" s="2">
        <v>6328168</v>
      </c>
      <c r="AB142" s="2"/>
      <c r="AC142" s="2">
        <v>1225000</v>
      </c>
      <c r="AD142" s="1">
        <v>35</v>
      </c>
      <c r="AG142" s="1" t="s">
        <v>106</v>
      </c>
      <c r="AH142" s="1" t="s">
        <v>105</v>
      </c>
      <c r="AI142" s="2">
        <v>0</v>
      </c>
      <c r="AK142" s="1"/>
    </row>
    <row r="143" spans="1:38" ht="15" customHeight="1" x14ac:dyDescent="0.2">
      <c r="A143" s="1" t="s">
        <v>19</v>
      </c>
      <c r="B143" s="5" t="s">
        <v>18</v>
      </c>
      <c r="C143" s="1" t="s">
        <v>37</v>
      </c>
      <c r="D143" s="1" t="s">
        <v>211</v>
      </c>
      <c r="E143" s="1" t="s">
        <v>35</v>
      </c>
      <c r="F143" s="1" t="s">
        <v>637</v>
      </c>
      <c r="G143" s="1" t="s">
        <v>636</v>
      </c>
      <c r="H143" s="1" t="s">
        <v>130</v>
      </c>
      <c r="I143" s="1" t="s">
        <v>4590</v>
      </c>
      <c r="J143" s="1" t="s">
        <v>316</v>
      </c>
      <c r="K143" s="1" t="s">
        <v>4586</v>
      </c>
      <c r="L143" s="1" t="s">
        <v>4589</v>
      </c>
      <c r="N143" s="1" t="s">
        <v>4588</v>
      </c>
      <c r="P143" s="1" t="s">
        <v>4587</v>
      </c>
      <c r="Q143" s="1" t="s">
        <v>771</v>
      </c>
      <c r="R143" s="1" t="s">
        <v>1060</v>
      </c>
      <c r="S143" s="1" t="s">
        <v>4191</v>
      </c>
      <c r="T143" s="1" t="s">
        <v>4190</v>
      </c>
      <c r="U143" s="1">
        <v>2</v>
      </c>
      <c r="V143" s="1" t="s">
        <v>771</v>
      </c>
      <c r="W143" s="1" t="s">
        <v>4586</v>
      </c>
      <c r="X143" s="1" t="s">
        <v>319</v>
      </c>
      <c r="Y143" s="3">
        <v>43825</v>
      </c>
      <c r="Z143" s="1">
        <v>2019</v>
      </c>
      <c r="AA143" s="2">
        <v>2431647.54</v>
      </c>
      <c r="AB143" s="2"/>
      <c r="AC143" s="2">
        <v>47250</v>
      </c>
      <c r="AD143" s="1">
        <v>3</v>
      </c>
      <c r="AE143" s="1">
        <v>1</v>
      </c>
      <c r="AG143" s="1" t="s">
        <v>21</v>
      </c>
      <c r="AH143" s="1" t="s">
        <v>1079</v>
      </c>
      <c r="AI143" s="2">
        <v>46472.75</v>
      </c>
      <c r="AK143" s="1"/>
    </row>
    <row r="144" spans="1:38" ht="15" customHeight="1" x14ac:dyDescent="0.2">
      <c r="A144" s="1" t="s">
        <v>19</v>
      </c>
      <c r="B144" s="5" t="s">
        <v>109</v>
      </c>
      <c r="C144" s="1" t="s">
        <v>37</v>
      </c>
      <c r="D144" s="1" t="s">
        <v>211</v>
      </c>
      <c r="E144" s="1" t="s">
        <v>35</v>
      </c>
      <c r="F144" s="1" t="s">
        <v>260</v>
      </c>
      <c r="G144" s="1" t="s">
        <v>259</v>
      </c>
      <c r="H144" s="1" t="s">
        <v>130</v>
      </c>
      <c r="I144" s="1" t="s">
        <v>4585</v>
      </c>
      <c r="J144" s="1" t="s">
        <v>316</v>
      </c>
      <c r="K144" s="1" t="s">
        <v>4584</v>
      </c>
      <c r="P144" s="1" t="s">
        <v>4478</v>
      </c>
      <c r="Q144" s="1" t="s">
        <v>771</v>
      </c>
      <c r="R144" s="1" t="s">
        <v>1060</v>
      </c>
      <c r="S144" s="1" t="s">
        <v>3956</v>
      </c>
      <c r="T144" s="1" t="s">
        <v>3955</v>
      </c>
      <c r="U144" s="1">
        <v>1</v>
      </c>
      <c r="V144" s="1" t="s">
        <v>771</v>
      </c>
      <c r="W144" s="1" t="s">
        <v>4583</v>
      </c>
      <c r="X144" s="1" t="s">
        <v>52</v>
      </c>
      <c r="Y144" s="3">
        <v>44514</v>
      </c>
      <c r="Z144" s="1">
        <v>2021</v>
      </c>
      <c r="AA144" s="2">
        <v>302068</v>
      </c>
      <c r="AB144" s="2"/>
      <c r="AC144" s="2">
        <v>50000</v>
      </c>
      <c r="AD144" s="1">
        <v>1</v>
      </c>
      <c r="AG144" s="1" t="s">
        <v>106</v>
      </c>
      <c r="AH144" s="1" t="s">
        <v>105</v>
      </c>
      <c r="AI144" s="2">
        <v>0</v>
      </c>
      <c r="AK144" s="1" t="s">
        <v>1408</v>
      </c>
    </row>
    <row r="145" spans="1:38" ht="15" customHeight="1" x14ac:dyDescent="0.2">
      <c r="A145" s="1" t="s">
        <v>19</v>
      </c>
      <c r="B145" s="5" t="s">
        <v>18</v>
      </c>
      <c r="C145" s="1" t="s">
        <v>37</v>
      </c>
      <c r="D145" s="1" t="s">
        <v>211</v>
      </c>
      <c r="E145" s="1" t="s">
        <v>35</v>
      </c>
      <c r="F145" s="1" t="s">
        <v>260</v>
      </c>
      <c r="G145" s="1" t="s">
        <v>259</v>
      </c>
      <c r="H145" s="1" t="s">
        <v>130</v>
      </c>
      <c r="I145" s="1" t="s">
        <v>4582</v>
      </c>
      <c r="J145" s="1" t="s">
        <v>316</v>
      </c>
      <c r="K145" s="1" t="s">
        <v>4578</v>
      </c>
      <c r="L145" s="1" t="s">
        <v>4581</v>
      </c>
      <c r="N145" s="1" t="s">
        <v>4580</v>
      </c>
      <c r="P145" s="1" t="s">
        <v>4579</v>
      </c>
      <c r="Q145" s="1" t="s">
        <v>771</v>
      </c>
      <c r="R145" s="1" t="s">
        <v>1060</v>
      </c>
      <c r="S145" s="1" t="s">
        <v>3988</v>
      </c>
      <c r="T145" s="1" t="s">
        <v>3987</v>
      </c>
      <c r="U145" s="1">
        <v>1</v>
      </c>
      <c r="V145" s="1" t="s">
        <v>771</v>
      </c>
      <c r="W145" s="1" t="s">
        <v>4578</v>
      </c>
      <c r="X145" s="1" t="s">
        <v>52</v>
      </c>
      <c r="Y145" s="3">
        <v>43825</v>
      </c>
      <c r="Z145" s="1">
        <v>2019</v>
      </c>
      <c r="AA145" s="2">
        <v>453970</v>
      </c>
      <c r="AB145" s="2"/>
      <c r="AC145" s="2">
        <v>68095.5</v>
      </c>
      <c r="AD145" s="1">
        <v>2</v>
      </c>
      <c r="AG145" s="1" t="s">
        <v>21</v>
      </c>
      <c r="AH145" s="1" t="s">
        <v>1115</v>
      </c>
      <c r="AI145" s="2">
        <v>68095.5</v>
      </c>
      <c r="AK145" s="1" t="s">
        <v>1393</v>
      </c>
    </row>
    <row r="146" spans="1:38" ht="15" customHeight="1" x14ac:dyDescent="0.2">
      <c r="A146" s="1" t="s">
        <v>19</v>
      </c>
      <c r="B146" s="5" t="s">
        <v>18</v>
      </c>
      <c r="C146" s="1" t="s">
        <v>37</v>
      </c>
      <c r="D146" s="1" t="s">
        <v>211</v>
      </c>
      <c r="E146" s="1" t="s">
        <v>35</v>
      </c>
      <c r="F146" s="1" t="s">
        <v>260</v>
      </c>
      <c r="G146" s="1" t="s">
        <v>259</v>
      </c>
      <c r="H146" s="1" t="s">
        <v>130</v>
      </c>
      <c r="I146" s="1" t="s">
        <v>4577</v>
      </c>
      <c r="J146" s="1" t="s">
        <v>316</v>
      </c>
      <c r="K146" s="1" t="s">
        <v>4576</v>
      </c>
      <c r="L146" s="1" t="s">
        <v>4575</v>
      </c>
      <c r="P146" s="1" t="s">
        <v>4262</v>
      </c>
      <c r="Q146" s="1" t="s">
        <v>771</v>
      </c>
      <c r="R146" s="1" t="s">
        <v>1060</v>
      </c>
      <c r="S146" s="1" t="s">
        <v>3981</v>
      </c>
      <c r="T146" s="1" t="s">
        <v>3980</v>
      </c>
      <c r="U146" s="1">
        <v>1</v>
      </c>
      <c r="V146" s="1" t="s">
        <v>771</v>
      </c>
      <c r="W146" s="1" t="s">
        <v>4574</v>
      </c>
      <c r="X146" s="1" t="s">
        <v>319</v>
      </c>
      <c r="Y146" s="3">
        <v>44127</v>
      </c>
      <c r="Z146" s="1">
        <v>2020</v>
      </c>
      <c r="AA146" s="2">
        <v>350537.32</v>
      </c>
      <c r="AB146" s="2"/>
      <c r="AC146" s="2">
        <v>108634.33</v>
      </c>
      <c r="AD146" s="1">
        <v>3</v>
      </c>
      <c r="AE146" s="1">
        <v>3</v>
      </c>
      <c r="AG146" s="1" t="s">
        <v>21</v>
      </c>
      <c r="AH146" s="1" t="s">
        <v>1079</v>
      </c>
      <c r="AI146" s="2">
        <v>108495.18</v>
      </c>
      <c r="AK146" s="1"/>
      <c r="AL146" s="1" t="s">
        <v>4573</v>
      </c>
    </row>
    <row r="147" spans="1:38" ht="15" customHeight="1" x14ac:dyDescent="0.2">
      <c r="A147" s="1" t="s">
        <v>19</v>
      </c>
      <c r="B147" s="5" t="s">
        <v>109</v>
      </c>
      <c r="C147" s="1" t="s">
        <v>37</v>
      </c>
      <c r="D147" s="1" t="s">
        <v>211</v>
      </c>
      <c r="E147" s="1" t="s">
        <v>35</v>
      </c>
      <c r="F147" s="1" t="s">
        <v>260</v>
      </c>
      <c r="G147" s="1" t="s">
        <v>259</v>
      </c>
      <c r="H147" s="1" t="s">
        <v>130</v>
      </c>
      <c r="I147" s="1" t="s">
        <v>4572</v>
      </c>
      <c r="J147" s="1" t="s">
        <v>316</v>
      </c>
      <c r="K147" s="1" t="s">
        <v>4571</v>
      </c>
      <c r="P147" s="1" t="s">
        <v>4570</v>
      </c>
      <c r="Q147" s="1" t="s">
        <v>771</v>
      </c>
      <c r="R147" s="1" t="s">
        <v>1060</v>
      </c>
      <c r="S147" s="1" t="s">
        <v>4080</v>
      </c>
      <c r="T147" s="1" t="s">
        <v>4079</v>
      </c>
      <c r="U147" s="1">
        <v>1</v>
      </c>
      <c r="V147" s="1" t="s">
        <v>771</v>
      </c>
      <c r="W147" s="1" t="s">
        <v>4569</v>
      </c>
      <c r="X147" s="1" t="s">
        <v>529</v>
      </c>
      <c r="Y147" s="3">
        <v>44181</v>
      </c>
      <c r="Z147" s="1">
        <v>2020</v>
      </c>
      <c r="AA147" s="2">
        <v>343532.53</v>
      </c>
      <c r="AB147" s="2"/>
      <c r="AC147" s="2">
        <v>50000</v>
      </c>
      <c r="AD147" s="1">
        <v>1</v>
      </c>
      <c r="AG147" s="1" t="s">
        <v>106</v>
      </c>
      <c r="AH147" s="1" t="s">
        <v>105</v>
      </c>
      <c r="AI147" s="2">
        <v>0</v>
      </c>
      <c r="AK147" s="1"/>
    </row>
    <row r="148" spans="1:38" ht="15" customHeight="1" x14ac:dyDescent="0.2">
      <c r="A148" s="1" t="s">
        <v>19</v>
      </c>
      <c r="B148" s="5" t="s">
        <v>18</v>
      </c>
      <c r="C148" s="1" t="s">
        <v>37</v>
      </c>
      <c r="D148" s="1" t="s">
        <v>211</v>
      </c>
      <c r="E148" s="1" t="s">
        <v>35</v>
      </c>
      <c r="F148" s="1" t="s">
        <v>260</v>
      </c>
      <c r="G148" s="1" t="s">
        <v>259</v>
      </c>
      <c r="H148" s="1" t="s">
        <v>130</v>
      </c>
      <c r="I148" s="1" t="s">
        <v>4568</v>
      </c>
      <c r="J148" s="1" t="s">
        <v>316</v>
      </c>
      <c r="K148" s="1" t="s">
        <v>4567</v>
      </c>
      <c r="L148" s="1" t="s">
        <v>4566</v>
      </c>
      <c r="N148" s="1" t="s">
        <v>4565</v>
      </c>
      <c r="P148" s="1" t="s">
        <v>4564</v>
      </c>
      <c r="Q148" s="1" t="s">
        <v>771</v>
      </c>
      <c r="R148" s="1" t="s">
        <v>1060</v>
      </c>
      <c r="S148" s="1" t="s">
        <v>3988</v>
      </c>
      <c r="T148" s="1" t="s">
        <v>3987</v>
      </c>
      <c r="U148" s="1">
        <v>1</v>
      </c>
      <c r="V148" s="1" t="s">
        <v>771</v>
      </c>
      <c r="W148" s="1" t="s">
        <v>4563</v>
      </c>
      <c r="X148" s="1" t="s">
        <v>52</v>
      </c>
      <c r="Y148" s="3">
        <v>43825</v>
      </c>
      <c r="Z148" s="1">
        <v>2019</v>
      </c>
      <c r="AA148" s="2">
        <v>499221</v>
      </c>
      <c r="AB148" s="2"/>
      <c r="AC148" s="2">
        <v>74883.149999999994</v>
      </c>
      <c r="AD148" s="1">
        <v>2</v>
      </c>
      <c r="AG148" s="1" t="s">
        <v>21</v>
      </c>
      <c r="AH148" s="1" t="s">
        <v>1115</v>
      </c>
      <c r="AI148" s="2">
        <v>74883.149999999994</v>
      </c>
      <c r="AK148" s="1" t="s">
        <v>1408</v>
      </c>
    </row>
    <row r="149" spans="1:38" ht="15" customHeight="1" x14ac:dyDescent="0.2">
      <c r="A149" s="1" t="s">
        <v>19</v>
      </c>
      <c r="B149" s="5" t="s">
        <v>18</v>
      </c>
      <c r="C149" s="1" t="s">
        <v>37</v>
      </c>
      <c r="D149" s="1" t="s">
        <v>211</v>
      </c>
      <c r="E149" s="1" t="s">
        <v>35</v>
      </c>
      <c r="F149" s="1" t="s">
        <v>260</v>
      </c>
      <c r="G149" s="1" t="s">
        <v>259</v>
      </c>
      <c r="H149" s="1" t="s">
        <v>130</v>
      </c>
      <c r="I149" s="1" t="s">
        <v>4562</v>
      </c>
      <c r="J149" s="1" t="s">
        <v>316</v>
      </c>
      <c r="K149" s="1" t="s">
        <v>4561</v>
      </c>
      <c r="L149" s="1" t="s">
        <v>4560</v>
      </c>
      <c r="N149" s="1" t="s">
        <v>4559</v>
      </c>
      <c r="P149" s="1" t="s">
        <v>4558</v>
      </c>
      <c r="Q149" s="1" t="s">
        <v>771</v>
      </c>
      <c r="R149" s="1" t="s">
        <v>1060</v>
      </c>
      <c r="S149" s="1" t="s">
        <v>3956</v>
      </c>
      <c r="T149" s="1" t="s">
        <v>3955</v>
      </c>
      <c r="U149" s="1">
        <v>1</v>
      </c>
      <c r="V149" s="1" t="s">
        <v>771</v>
      </c>
      <c r="W149" s="1" t="s">
        <v>4557</v>
      </c>
      <c r="X149" s="1" t="s">
        <v>319</v>
      </c>
      <c r="Y149" s="3">
        <v>44127</v>
      </c>
      <c r="Z149" s="1">
        <v>2020</v>
      </c>
      <c r="AA149" s="2">
        <v>189940.89</v>
      </c>
      <c r="AB149" s="2"/>
      <c r="AC149" s="2">
        <v>65000</v>
      </c>
      <c r="AD149" s="1">
        <v>1</v>
      </c>
      <c r="AG149" s="1" t="s">
        <v>21</v>
      </c>
      <c r="AH149" s="1" t="s">
        <v>1079</v>
      </c>
      <c r="AI149" s="2">
        <v>51257.369999999995</v>
      </c>
      <c r="AK149" s="1" t="s">
        <v>1393</v>
      </c>
    </row>
    <row r="150" spans="1:38" ht="15" customHeight="1" x14ac:dyDescent="0.2">
      <c r="A150" s="1" t="s">
        <v>19</v>
      </c>
      <c r="B150" s="5" t="s">
        <v>109</v>
      </c>
      <c r="C150" s="1" t="s">
        <v>37</v>
      </c>
      <c r="D150" s="1" t="s">
        <v>211</v>
      </c>
      <c r="E150" s="1" t="s">
        <v>35</v>
      </c>
      <c r="F150" s="1" t="s">
        <v>260</v>
      </c>
      <c r="G150" s="1" t="s">
        <v>259</v>
      </c>
      <c r="H150" s="1" t="s">
        <v>130</v>
      </c>
      <c r="I150" s="1" t="s">
        <v>4556</v>
      </c>
      <c r="J150" s="1" t="s">
        <v>316</v>
      </c>
      <c r="K150" s="1" t="s">
        <v>4554</v>
      </c>
      <c r="P150" s="1" t="s">
        <v>4555</v>
      </c>
      <c r="Q150" s="1" t="s">
        <v>771</v>
      </c>
      <c r="R150" s="1" t="s">
        <v>1060</v>
      </c>
      <c r="S150" s="1" t="s">
        <v>3988</v>
      </c>
      <c r="T150" s="1" t="s">
        <v>3987</v>
      </c>
      <c r="U150" s="1">
        <v>1</v>
      </c>
      <c r="V150" s="1" t="s">
        <v>771</v>
      </c>
      <c r="W150" s="1" t="s">
        <v>4554</v>
      </c>
      <c r="X150" s="1" t="s">
        <v>319</v>
      </c>
      <c r="Y150" s="3">
        <v>44343</v>
      </c>
      <c r="Z150" s="1">
        <v>2021</v>
      </c>
      <c r="AA150" s="2">
        <v>396810</v>
      </c>
      <c r="AB150" s="2"/>
      <c r="AC150" s="2">
        <v>100000</v>
      </c>
      <c r="AD150" s="1">
        <v>0</v>
      </c>
      <c r="AG150" s="1" t="s">
        <v>106</v>
      </c>
      <c r="AH150" s="1" t="s">
        <v>105</v>
      </c>
      <c r="AI150" s="2">
        <v>0</v>
      </c>
      <c r="AK150" s="1" t="s">
        <v>1408</v>
      </c>
    </row>
    <row r="151" spans="1:38" ht="15" customHeight="1" x14ac:dyDescent="0.2">
      <c r="A151" s="1" t="s">
        <v>19</v>
      </c>
      <c r="B151" s="5" t="s">
        <v>109</v>
      </c>
      <c r="C151" s="1" t="s">
        <v>37</v>
      </c>
      <c r="D151" s="1" t="s">
        <v>211</v>
      </c>
      <c r="E151" s="1" t="s">
        <v>35</v>
      </c>
      <c r="F151" s="1" t="s">
        <v>260</v>
      </c>
      <c r="G151" s="1" t="s">
        <v>259</v>
      </c>
      <c r="H151" s="1" t="s">
        <v>130</v>
      </c>
      <c r="I151" s="1" t="s">
        <v>4553</v>
      </c>
      <c r="J151" s="1" t="s">
        <v>316</v>
      </c>
      <c r="K151" s="1" t="s">
        <v>4552</v>
      </c>
      <c r="P151" s="1" t="s">
        <v>4223</v>
      </c>
      <c r="Q151" s="1" t="s">
        <v>771</v>
      </c>
      <c r="R151" s="1" t="s">
        <v>1060</v>
      </c>
      <c r="S151" s="1" t="s">
        <v>4325</v>
      </c>
      <c r="T151" s="1" t="s">
        <v>4324</v>
      </c>
      <c r="U151" s="1">
        <v>2</v>
      </c>
      <c r="V151" s="1" t="s">
        <v>771</v>
      </c>
      <c r="W151" s="1" t="s">
        <v>4552</v>
      </c>
      <c r="X151" s="1" t="s">
        <v>319</v>
      </c>
      <c r="Y151" s="3">
        <v>44726</v>
      </c>
      <c r="Z151" s="1">
        <v>2022</v>
      </c>
      <c r="AA151" s="2">
        <v>41392.11</v>
      </c>
      <c r="AB151" s="2"/>
      <c r="AC151" s="2">
        <v>7243.62</v>
      </c>
      <c r="AD151" s="1">
        <v>0</v>
      </c>
      <c r="AG151" s="1" t="s">
        <v>106</v>
      </c>
      <c r="AH151" s="1" t="s">
        <v>105</v>
      </c>
      <c r="AI151" s="2">
        <v>0</v>
      </c>
      <c r="AK151" s="1"/>
      <c r="AL151" s="1" t="s">
        <v>4551</v>
      </c>
    </row>
    <row r="152" spans="1:38" ht="15" customHeight="1" x14ac:dyDescent="0.2">
      <c r="A152" s="1" t="s">
        <v>19</v>
      </c>
      <c r="B152" s="5" t="s">
        <v>18</v>
      </c>
      <c r="C152" s="1" t="s">
        <v>37</v>
      </c>
      <c r="D152" s="1" t="s">
        <v>211</v>
      </c>
      <c r="E152" s="1" t="s">
        <v>35</v>
      </c>
      <c r="F152" s="1" t="s">
        <v>637</v>
      </c>
      <c r="G152" s="1" t="s">
        <v>636</v>
      </c>
      <c r="H152" s="1" t="s">
        <v>130</v>
      </c>
      <c r="I152" s="1" t="s">
        <v>4550</v>
      </c>
      <c r="J152" s="1">
        <v>2021</v>
      </c>
      <c r="K152" s="1" t="s">
        <v>4549</v>
      </c>
      <c r="L152" s="1" t="s">
        <v>4548</v>
      </c>
      <c r="N152" s="1" t="s">
        <v>4547</v>
      </c>
      <c r="P152" s="1" t="s">
        <v>4546</v>
      </c>
      <c r="Q152" s="1" t="s">
        <v>771</v>
      </c>
      <c r="R152" s="1" t="s">
        <v>1060</v>
      </c>
      <c r="S152" s="1" t="s">
        <v>4191</v>
      </c>
      <c r="T152" s="1" t="s">
        <v>4190</v>
      </c>
      <c r="U152" s="1">
        <v>2</v>
      </c>
      <c r="V152" s="1" t="s">
        <v>771</v>
      </c>
      <c r="W152" s="1" t="s">
        <v>4545</v>
      </c>
      <c r="X152" s="1" t="s">
        <v>298</v>
      </c>
      <c r="Y152" s="3">
        <v>44557</v>
      </c>
      <c r="Z152" s="1">
        <v>2021</v>
      </c>
      <c r="AA152" s="2">
        <v>2611705</v>
      </c>
      <c r="AB152" s="2"/>
      <c r="AC152" s="2">
        <v>315000</v>
      </c>
      <c r="AD152" s="1">
        <v>13</v>
      </c>
      <c r="AE152" s="1">
        <v>2</v>
      </c>
      <c r="AG152" s="1" t="s">
        <v>21</v>
      </c>
      <c r="AH152" s="1" t="s">
        <v>1115</v>
      </c>
      <c r="AI152" s="2">
        <v>315000</v>
      </c>
      <c r="AK152" s="1"/>
    </row>
    <row r="153" spans="1:38" ht="15" customHeight="1" x14ac:dyDescent="0.2">
      <c r="A153" s="1" t="s">
        <v>19</v>
      </c>
      <c r="B153" s="5" t="s">
        <v>18</v>
      </c>
      <c r="C153" s="1" t="s">
        <v>37</v>
      </c>
      <c r="D153" s="1" t="s">
        <v>211</v>
      </c>
      <c r="E153" s="1" t="s">
        <v>35</v>
      </c>
      <c r="F153" s="1" t="s">
        <v>637</v>
      </c>
      <c r="G153" s="1" t="s">
        <v>636</v>
      </c>
      <c r="H153" s="1" t="s">
        <v>130</v>
      </c>
      <c r="I153" s="1" t="s">
        <v>4544</v>
      </c>
      <c r="J153" s="1">
        <v>2021</v>
      </c>
      <c r="K153" s="1" t="s">
        <v>4543</v>
      </c>
      <c r="L153" s="1" t="s">
        <v>4542</v>
      </c>
      <c r="M153" s="1" t="s">
        <v>4375</v>
      </c>
      <c r="N153" s="1" t="s">
        <v>4541</v>
      </c>
      <c r="P153" s="1" t="s">
        <v>4374</v>
      </c>
      <c r="Q153" s="1" t="s">
        <v>771</v>
      </c>
      <c r="R153" s="1" t="s">
        <v>1060</v>
      </c>
      <c r="S153" s="1" t="s">
        <v>3988</v>
      </c>
      <c r="T153" s="1" t="s">
        <v>3987</v>
      </c>
      <c r="U153" s="1">
        <v>1</v>
      </c>
      <c r="V153" s="1" t="s">
        <v>771</v>
      </c>
      <c r="W153" s="1" t="s">
        <v>4540</v>
      </c>
      <c r="X153" s="1" t="s">
        <v>298</v>
      </c>
      <c r="Y153" s="3">
        <v>44557</v>
      </c>
      <c r="Z153" s="1">
        <v>2021</v>
      </c>
      <c r="AA153" s="2">
        <v>2184676.44</v>
      </c>
      <c r="AB153" s="2"/>
      <c r="AC153" s="2">
        <v>110000</v>
      </c>
      <c r="AD153" s="1">
        <v>3</v>
      </c>
      <c r="AE153" s="1">
        <v>1</v>
      </c>
      <c r="AG153" s="1" t="s">
        <v>21</v>
      </c>
      <c r="AH153" s="1" t="s">
        <v>1115</v>
      </c>
      <c r="AI153" s="2">
        <v>110000</v>
      </c>
      <c r="AK153" s="1"/>
    </row>
    <row r="154" spans="1:38" ht="15" customHeight="1" x14ac:dyDescent="0.2">
      <c r="A154" s="1" t="s">
        <v>19</v>
      </c>
      <c r="B154" s="5" t="s">
        <v>18</v>
      </c>
      <c r="C154" s="1" t="s">
        <v>37</v>
      </c>
      <c r="D154" s="1" t="s">
        <v>211</v>
      </c>
      <c r="E154" s="1" t="s">
        <v>35</v>
      </c>
      <c r="F154" s="1" t="s">
        <v>637</v>
      </c>
      <c r="G154" s="1" t="s">
        <v>636</v>
      </c>
      <c r="H154" s="1" t="s">
        <v>130</v>
      </c>
      <c r="I154" s="1" t="s">
        <v>4539</v>
      </c>
      <c r="J154" s="1">
        <v>2021</v>
      </c>
      <c r="K154" s="1" t="s">
        <v>4538</v>
      </c>
      <c r="L154" s="1" t="s">
        <v>4537</v>
      </c>
      <c r="M154" s="1" t="s">
        <v>4536</v>
      </c>
      <c r="N154" s="1" t="s">
        <v>4535</v>
      </c>
      <c r="P154" s="1" t="s">
        <v>4534</v>
      </c>
      <c r="Q154" s="1" t="s">
        <v>771</v>
      </c>
      <c r="R154" s="1" t="s">
        <v>1060</v>
      </c>
      <c r="S154" s="1" t="s">
        <v>4228</v>
      </c>
      <c r="T154" s="1" t="s">
        <v>4227</v>
      </c>
      <c r="U154" s="1">
        <v>1</v>
      </c>
      <c r="V154" s="1" t="s">
        <v>771</v>
      </c>
      <c r="W154" s="1" t="s">
        <v>4533</v>
      </c>
      <c r="X154" s="1" t="s">
        <v>298</v>
      </c>
      <c r="Y154" s="3">
        <v>44557</v>
      </c>
      <c r="Z154" s="1">
        <v>2021</v>
      </c>
      <c r="AA154" s="2">
        <v>1648874.67</v>
      </c>
      <c r="AB154" s="2"/>
      <c r="AC154" s="2">
        <v>150000</v>
      </c>
      <c r="AD154" s="1">
        <v>3</v>
      </c>
      <c r="AG154" s="1" t="s">
        <v>21</v>
      </c>
      <c r="AH154" s="1" t="s">
        <v>1079</v>
      </c>
      <c r="AI154" s="2">
        <v>78946.100000000006</v>
      </c>
      <c r="AK154" s="1"/>
    </row>
    <row r="155" spans="1:38" ht="15" customHeight="1" x14ac:dyDescent="0.2">
      <c r="A155" s="1" t="s">
        <v>19</v>
      </c>
      <c r="B155" s="5" t="s">
        <v>109</v>
      </c>
      <c r="C155" s="1" t="s">
        <v>37</v>
      </c>
      <c r="D155" s="1" t="s">
        <v>211</v>
      </c>
      <c r="E155" s="1" t="s">
        <v>35</v>
      </c>
      <c r="F155" s="1" t="s">
        <v>637</v>
      </c>
      <c r="G155" s="1" t="s">
        <v>636</v>
      </c>
      <c r="H155" s="1" t="s">
        <v>130</v>
      </c>
      <c r="I155" s="1" t="s">
        <v>4532</v>
      </c>
      <c r="J155" s="1">
        <v>2021</v>
      </c>
      <c r="K155" s="1" t="s">
        <v>4530</v>
      </c>
      <c r="P155" s="1" t="s">
        <v>4531</v>
      </c>
      <c r="Q155" s="1" t="s">
        <v>771</v>
      </c>
      <c r="R155" s="1" t="s">
        <v>1060</v>
      </c>
      <c r="S155" s="1" t="s">
        <v>4080</v>
      </c>
      <c r="T155" s="1" t="s">
        <v>4079</v>
      </c>
      <c r="U155" s="1">
        <v>1</v>
      </c>
      <c r="V155" s="1" t="s">
        <v>771</v>
      </c>
      <c r="W155" s="1" t="s">
        <v>4530</v>
      </c>
      <c r="X155" s="1" t="s">
        <v>529</v>
      </c>
      <c r="Y155" s="3">
        <v>44844</v>
      </c>
      <c r="Z155" s="1">
        <v>2022</v>
      </c>
      <c r="AA155" s="2">
        <v>914865.39</v>
      </c>
      <c r="AB155" s="2"/>
      <c r="AC155" s="2">
        <v>240000</v>
      </c>
      <c r="AD155" s="1">
        <v>8</v>
      </c>
      <c r="AG155" s="1" t="s">
        <v>106</v>
      </c>
      <c r="AH155" s="1" t="s">
        <v>105</v>
      </c>
      <c r="AI155" s="2">
        <v>0</v>
      </c>
      <c r="AK155" s="1"/>
    </row>
    <row r="156" spans="1:38" ht="15" customHeight="1" x14ac:dyDescent="0.2">
      <c r="A156" s="1" t="s">
        <v>19</v>
      </c>
      <c r="B156" s="5" t="s">
        <v>109</v>
      </c>
      <c r="C156" s="1" t="s">
        <v>37</v>
      </c>
      <c r="D156" s="1" t="s">
        <v>211</v>
      </c>
      <c r="E156" s="1" t="s">
        <v>35</v>
      </c>
      <c r="F156" s="1" t="s">
        <v>637</v>
      </c>
      <c r="G156" s="1" t="s">
        <v>636</v>
      </c>
      <c r="H156" s="1" t="s">
        <v>130</v>
      </c>
      <c r="I156" s="1" t="s">
        <v>4529</v>
      </c>
      <c r="J156" s="1">
        <v>2021</v>
      </c>
      <c r="K156" s="1" t="s">
        <v>4528</v>
      </c>
      <c r="P156" s="1" t="s">
        <v>4341</v>
      </c>
      <c r="Q156" s="1" t="s">
        <v>771</v>
      </c>
      <c r="R156" s="1" t="s">
        <v>1060</v>
      </c>
      <c r="S156" s="1" t="s">
        <v>4052</v>
      </c>
      <c r="T156" s="1" t="s">
        <v>4051</v>
      </c>
      <c r="U156" s="1">
        <v>1</v>
      </c>
      <c r="V156" s="1" t="s">
        <v>771</v>
      </c>
      <c r="W156" s="1" t="s">
        <v>4527</v>
      </c>
      <c r="X156" s="1" t="s">
        <v>304</v>
      </c>
      <c r="Y156" s="3">
        <v>44764</v>
      </c>
      <c r="Z156" s="1">
        <v>2022</v>
      </c>
      <c r="AA156" s="2">
        <v>293367.40000000002</v>
      </c>
      <c r="AB156" s="2"/>
      <c r="AC156" s="2">
        <v>102678.59</v>
      </c>
      <c r="AD156" s="1">
        <v>3</v>
      </c>
      <c r="AE156" s="1">
        <v>2</v>
      </c>
      <c r="AG156" s="1" t="s">
        <v>106</v>
      </c>
      <c r="AH156" s="1" t="s">
        <v>105</v>
      </c>
      <c r="AI156" s="2">
        <v>0</v>
      </c>
      <c r="AK156" s="1"/>
    </row>
    <row r="157" spans="1:38" ht="15" customHeight="1" x14ac:dyDescent="0.2">
      <c r="A157" s="1" t="s">
        <v>19</v>
      </c>
      <c r="B157" s="5" t="s">
        <v>109</v>
      </c>
      <c r="C157" s="1" t="s">
        <v>37</v>
      </c>
      <c r="D157" s="1" t="s">
        <v>211</v>
      </c>
      <c r="E157" s="1" t="s">
        <v>35</v>
      </c>
      <c r="F157" s="1" t="s">
        <v>637</v>
      </c>
      <c r="G157" s="1" t="s">
        <v>636</v>
      </c>
      <c r="H157" s="1" t="s">
        <v>130</v>
      </c>
      <c r="I157" s="1" t="s">
        <v>4526</v>
      </c>
      <c r="J157" s="1">
        <v>2021</v>
      </c>
      <c r="K157" s="1" t="s">
        <v>4525</v>
      </c>
      <c r="P157" s="1" t="s">
        <v>4524</v>
      </c>
      <c r="Q157" s="1" t="s">
        <v>771</v>
      </c>
      <c r="R157" s="1" t="s">
        <v>1060</v>
      </c>
      <c r="S157" s="1" t="s">
        <v>3956</v>
      </c>
      <c r="T157" s="1" t="s">
        <v>3955</v>
      </c>
      <c r="U157" s="1">
        <v>1</v>
      </c>
      <c r="V157" s="1" t="s">
        <v>771</v>
      </c>
      <c r="W157" s="1" t="s">
        <v>4523</v>
      </c>
      <c r="X157" s="1" t="s">
        <v>298</v>
      </c>
      <c r="Y157" s="3">
        <v>44557</v>
      </c>
      <c r="Z157" s="1">
        <v>2021</v>
      </c>
      <c r="AA157" s="2">
        <v>2555861</v>
      </c>
      <c r="AB157" s="2"/>
      <c r="AC157" s="2">
        <v>180000</v>
      </c>
      <c r="AD157" s="1">
        <v>6</v>
      </c>
      <c r="AG157" s="1" t="s">
        <v>106</v>
      </c>
      <c r="AH157" s="1" t="s">
        <v>1088</v>
      </c>
      <c r="AI157" s="2">
        <v>0</v>
      </c>
      <c r="AK157" s="1"/>
    </row>
    <row r="158" spans="1:38" ht="15" customHeight="1" x14ac:dyDescent="0.2">
      <c r="A158" s="1" t="s">
        <v>19</v>
      </c>
      <c r="B158" s="5" t="s">
        <v>109</v>
      </c>
      <c r="C158" s="1" t="s">
        <v>37</v>
      </c>
      <c r="D158" s="1" t="s">
        <v>211</v>
      </c>
      <c r="E158" s="1" t="s">
        <v>35</v>
      </c>
      <c r="F158" s="1" t="s">
        <v>637</v>
      </c>
      <c r="G158" s="1" t="s">
        <v>636</v>
      </c>
      <c r="H158" s="1" t="s">
        <v>130</v>
      </c>
      <c r="I158" s="1" t="s">
        <v>4522</v>
      </c>
      <c r="J158" s="1">
        <v>2021</v>
      </c>
      <c r="K158" s="1" t="s">
        <v>4520</v>
      </c>
      <c r="P158" s="1" t="s">
        <v>4521</v>
      </c>
      <c r="Q158" s="1" t="s">
        <v>771</v>
      </c>
      <c r="R158" s="1" t="s">
        <v>1060</v>
      </c>
      <c r="S158" s="1" t="s">
        <v>3988</v>
      </c>
      <c r="T158" s="1" t="s">
        <v>3987</v>
      </c>
      <c r="U158" s="1">
        <v>1</v>
      </c>
      <c r="V158" s="1" t="s">
        <v>771</v>
      </c>
      <c r="W158" s="1" t="s">
        <v>4520</v>
      </c>
      <c r="X158" s="1" t="s">
        <v>464</v>
      </c>
      <c r="Y158" s="3">
        <v>45104</v>
      </c>
      <c r="Z158" s="1">
        <v>2023</v>
      </c>
      <c r="AA158" s="2">
        <v>5136677.6900000004</v>
      </c>
      <c r="AB158" s="2"/>
      <c r="AC158" s="2">
        <v>130000</v>
      </c>
      <c r="AD158" s="1">
        <v>3</v>
      </c>
      <c r="AE158" s="1">
        <v>1</v>
      </c>
      <c r="AG158" s="1" t="s">
        <v>106</v>
      </c>
      <c r="AH158" s="1" t="s">
        <v>1325</v>
      </c>
      <c r="AI158" s="2">
        <v>0</v>
      </c>
      <c r="AK158" s="1"/>
    </row>
    <row r="159" spans="1:38" ht="15" customHeight="1" x14ac:dyDescent="0.2">
      <c r="A159" s="1" t="s">
        <v>19</v>
      </c>
      <c r="B159" s="5" t="s">
        <v>18</v>
      </c>
      <c r="C159" s="1" t="s">
        <v>37</v>
      </c>
      <c r="D159" s="1" t="s">
        <v>211</v>
      </c>
      <c r="E159" s="1" t="s">
        <v>35</v>
      </c>
      <c r="F159" s="1" t="s">
        <v>637</v>
      </c>
      <c r="G159" s="1" t="s">
        <v>636</v>
      </c>
      <c r="H159" s="1" t="s">
        <v>130</v>
      </c>
      <c r="I159" s="1" t="s">
        <v>4519</v>
      </c>
      <c r="J159" s="1">
        <v>2021</v>
      </c>
      <c r="K159" s="1" t="s">
        <v>4518</v>
      </c>
      <c r="L159" s="1" t="s">
        <v>4517</v>
      </c>
      <c r="N159" s="1" t="s">
        <v>4516</v>
      </c>
      <c r="P159" s="1" t="s">
        <v>4515</v>
      </c>
      <c r="Q159" s="1" t="s">
        <v>771</v>
      </c>
      <c r="R159" s="1" t="s">
        <v>1060</v>
      </c>
      <c r="S159" s="1" t="s">
        <v>4052</v>
      </c>
      <c r="T159" s="1" t="s">
        <v>4051</v>
      </c>
      <c r="U159" s="1">
        <v>1</v>
      </c>
      <c r="V159" s="1" t="s">
        <v>771</v>
      </c>
      <c r="W159" s="1" t="s">
        <v>4514</v>
      </c>
      <c r="X159" s="1" t="s">
        <v>298</v>
      </c>
      <c r="Y159" s="3">
        <v>44557</v>
      </c>
      <c r="Z159" s="1">
        <v>2021</v>
      </c>
      <c r="AA159" s="2">
        <v>4821130</v>
      </c>
      <c r="AB159" s="2"/>
      <c r="AC159" s="2">
        <v>700000</v>
      </c>
      <c r="AD159" s="1">
        <v>14</v>
      </c>
      <c r="AE159" s="1">
        <v>5</v>
      </c>
      <c r="AG159" s="1" t="s">
        <v>21</v>
      </c>
      <c r="AH159" s="1" t="s">
        <v>4513</v>
      </c>
      <c r="AI159" s="2">
        <v>284550</v>
      </c>
      <c r="AK159" s="1"/>
    </row>
    <row r="160" spans="1:38" ht="15" customHeight="1" x14ac:dyDescent="0.2">
      <c r="A160" s="1" t="s">
        <v>19</v>
      </c>
      <c r="B160" s="5" t="s">
        <v>109</v>
      </c>
      <c r="C160" s="1" t="s">
        <v>37</v>
      </c>
      <c r="D160" s="1" t="s">
        <v>211</v>
      </c>
      <c r="E160" s="1" t="s">
        <v>35</v>
      </c>
      <c r="F160" s="1" t="s">
        <v>637</v>
      </c>
      <c r="G160" s="1" t="s">
        <v>636</v>
      </c>
      <c r="H160" s="1" t="s">
        <v>130</v>
      </c>
      <c r="I160" s="1" t="s">
        <v>4512</v>
      </c>
      <c r="J160" s="1">
        <v>2021</v>
      </c>
      <c r="K160" s="1" t="s">
        <v>4511</v>
      </c>
      <c r="P160" s="1" t="s">
        <v>4341</v>
      </c>
      <c r="Q160" s="1" t="s">
        <v>771</v>
      </c>
      <c r="R160" s="1" t="s">
        <v>1060</v>
      </c>
      <c r="S160" s="1" t="s">
        <v>4052</v>
      </c>
      <c r="T160" s="1" t="s">
        <v>4051</v>
      </c>
      <c r="U160" s="1">
        <v>1</v>
      </c>
      <c r="V160" s="1" t="s">
        <v>771</v>
      </c>
      <c r="W160" s="1" t="s">
        <v>4510</v>
      </c>
      <c r="X160" s="1" t="s">
        <v>304</v>
      </c>
      <c r="Y160" s="3">
        <v>44764</v>
      </c>
      <c r="Z160" s="1">
        <v>2022</v>
      </c>
      <c r="AA160" s="2">
        <v>406053.62</v>
      </c>
      <c r="AB160" s="2"/>
      <c r="AC160" s="2">
        <v>142118.76699999999</v>
      </c>
      <c r="AD160" s="1">
        <v>3</v>
      </c>
      <c r="AG160" s="1" t="s">
        <v>106</v>
      </c>
      <c r="AH160" s="1" t="s">
        <v>105</v>
      </c>
      <c r="AI160" s="2">
        <v>0</v>
      </c>
      <c r="AK160" s="1"/>
    </row>
    <row r="161" spans="1:35" s="1" customFormat="1" ht="15" customHeight="1" x14ac:dyDescent="0.2">
      <c r="A161" s="1" t="s">
        <v>19</v>
      </c>
      <c r="B161" s="5" t="s">
        <v>18</v>
      </c>
      <c r="C161" s="1" t="s">
        <v>37</v>
      </c>
      <c r="D161" s="1" t="s">
        <v>211</v>
      </c>
      <c r="E161" s="1" t="s">
        <v>35</v>
      </c>
      <c r="F161" s="1" t="s">
        <v>260</v>
      </c>
      <c r="G161" s="1" t="s">
        <v>259</v>
      </c>
      <c r="H161" s="1" t="s">
        <v>130</v>
      </c>
      <c r="I161" s="1" t="s">
        <v>4509</v>
      </c>
      <c r="J161" s="1">
        <v>2021</v>
      </c>
      <c r="K161" s="1" t="s">
        <v>4508</v>
      </c>
      <c r="L161" s="1" t="s">
        <v>4507</v>
      </c>
      <c r="N161" s="1" t="s">
        <v>4506</v>
      </c>
      <c r="P161" s="1" t="s">
        <v>4505</v>
      </c>
      <c r="Q161" s="1" t="s">
        <v>771</v>
      </c>
      <c r="R161" s="1" t="s">
        <v>1060</v>
      </c>
      <c r="S161" s="1" t="s">
        <v>3981</v>
      </c>
      <c r="T161" s="1" t="s">
        <v>3980</v>
      </c>
      <c r="U161" s="1">
        <v>1</v>
      </c>
      <c r="V161" s="1" t="s">
        <v>771</v>
      </c>
      <c r="W161" s="1" t="s">
        <v>4504</v>
      </c>
      <c r="X161" s="1" t="s">
        <v>304</v>
      </c>
      <c r="Y161" s="3">
        <v>44557</v>
      </c>
      <c r="Z161" s="1">
        <v>2021</v>
      </c>
      <c r="AA161" s="2">
        <v>173893.43</v>
      </c>
      <c r="AB161" s="2"/>
      <c r="AC161" s="2">
        <v>40000</v>
      </c>
      <c r="AD161" s="1">
        <v>1</v>
      </c>
      <c r="AG161" s="1" t="s">
        <v>21</v>
      </c>
      <c r="AH161" s="1" t="s">
        <v>1079</v>
      </c>
      <c r="AI161" s="2">
        <v>38236.879999999997</v>
      </c>
    </row>
    <row r="162" spans="1:35" s="1" customFormat="1" ht="15" customHeight="1" x14ac:dyDescent="0.2">
      <c r="A162" s="1" t="s">
        <v>19</v>
      </c>
      <c r="B162" s="5" t="s">
        <v>109</v>
      </c>
      <c r="C162" s="1" t="s">
        <v>37</v>
      </c>
      <c r="D162" s="1" t="s">
        <v>211</v>
      </c>
      <c r="E162" s="1" t="s">
        <v>35</v>
      </c>
      <c r="F162" s="1" t="s">
        <v>260</v>
      </c>
      <c r="G162" s="1" t="s">
        <v>259</v>
      </c>
      <c r="H162" s="1" t="s">
        <v>130</v>
      </c>
      <c r="I162" s="1" t="s">
        <v>4503</v>
      </c>
      <c r="J162" s="1">
        <v>2021</v>
      </c>
      <c r="K162" s="1" t="s">
        <v>4501</v>
      </c>
      <c r="P162" s="1" t="s">
        <v>4502</v>
      </c>
      <c r="Q162" s="1" t="s">
        <v>771</v>
      </c>
      <c r="R162" s="1" t="s">
        <v>1060</v>
      </c>
      <c r="S162" s="1" t="s">
        <v>4228</v>
      </c>
      <c r="T162" s="1" t="s">
        <v>4227</v>
      </c>
      <c r="U162" s="1">
        <v>1</v>
      </c>
      <c r="V162" s="1" t="s">
        <v>771</v>
      </c>
      <c r="W162" s="1" t="s">
        <v>4501</v>
      </c>
      <c r="X162" s="1" t="s">
        <v>298</v>
      </c>
      <c r="Y162" s="3">
        <v>44747</v>
      </c>
      <c r="Z162" s="1">
        <v>2022</v>
      </c>
      <c r="AA162" s="2">
        <v>458045.41</v>
      </c>
      <c r="AB162" s="2"/>
      <c r="AC162" s="2">
        <v>160315.89000000001</v>
      </c>
      <c r="AD162" s="1">
        <v>4</v>
      </c>
      <c r="AG162" s="1" t="s">
        <v>106</v>
      </c>
      <c r="AH162" s="1" t="s">
        <v>105</v>
      </c>
      <c r="AI162" s="2">
        <v>0</v>
      </c>
    </row>
    <row r="163" spans="1:35" s="1" customFormat="1" ht="15" customHeight="1" x14ac:dyDescent="0.2">
      <c r="A163" s="1" t="s">
        <v>19</v>
      </c>
      <c r="B163" s="5" t="s">
        <v>109</v>
      </c>
      <c r="C163" s="1" t="s">
        <v>37</v>
      </c>
      <c r="D163" s="1" t="s">
        <v>211</v>
      </c>
      <c r="E163" s="1" t="s">
        <v>35</v>
      </c>
      <c r="F163" s="1" t="s">
        <v>260</v>
      </c>
      <c r="G163" s="1" t="s">
        <v>259</v>
      </c>
      <c r="H163" s="1" t="s">
        <v>130</v>
      </c>
      <c r="I163" s="1" t="s">
        <v>4500</v>
      </c>
      <c r="J163" s="1">
        <v>2021</v>
      </c>
      <c r="K163" s="1" t="s">
        <v>4499</v>
      </c>
      <c r="L163" s="1" t="s">
        <v>4498</v>
      </c>
      <c r="P163" s="1" t="s">
        <v>4217</v>
      </c>
      <c r="Q163" s="1" t="s">
        <v>771</v>
      </c>
      <c r="R163" s="1" t="s">
        <v>1060</v>
      </c>
      <c r="S163" s="1" t="s">
        <v>3981</v>
      </c>
      <c r="T163" s="1" t="s">
        <v>3980</v>
      </c>
      <c r="U163" s="1">
        <v>1</v>
      </c>
      <c r="V163" s="1" t="s">
        <v>771</v>
      </c>
      <c r="W163" s="1" t="s">
        <v>4497</v>
      </c>
      <c r="X163" s="1" t="s">
        <v>298</v>
      </c>
      <c r="Y163" s="3">
        <v>44557</v>
      </c>
      <c r="Z163" s="1">
        <v>2021</v>
      </c>
      <c r="AA163" s="2">
        <v>46169.81</v>
      </c>
      <c r="AB163" s="2"/>
      <c r="AC163" s="2">
        <v>16159.43</v>
      </c>
      <c r="AD163" s="1">
        <v>0</v>
      </c>
      <c r="AG163" s="1" t="s">
        <v>106</v>
      </c>
      <c r="AH163" s="1" t="s">
        <v>1088</v>
      </c>
      <c r="AI163" s="2">
        <v>0</v>
      </c>
    </row>
    <row r="164" spans="1:35" s="1" customFormat="1" ht="15" customHeight="1" x14ac:dyDescent="0.2">
      <c r="A164" s="1" t="s">
        <v>19</v>
      </c>
      <c r="B164" s="5" t="s">
        <v>109</v>
      </c>
      <c r="C164" s="1" t="s">
        <v>37</v>
      </c>
      <c r="D164" s="1" t="s">
        <v>211</v>
      </c>
      <c r="E164" s="1" t="s">
        <v>35</v>
      </c>
      <c r="F164" s="1" t="s">
        <v>260</v>
      </c>
      <c r="G164" s="1" t="s">
        <v>259</v>
      </c>
      <c r="H164" s="1" t="s">
        <v>130</v>
      </c>
      <c r="I164" s="1" t="s">
        <v>4496</v>
      </c>
      <c r="J164" s="1">
        <v>2021</v>
      </c>
      <c r="K164" s="1" t="s">
        <v>4494</v>
      </c>
      <c r="P164" s="1" t="s">
        <v>4495</v>
      </c>
      <c r="Q164" s="1" t="s">
        <v>771</v>
      </c>
      <c r="R164" s="1" t="s">
        <v>1060</v>
      </c>
      <c r="S164" s="1" t="s">
        <v>3956</v>
      </c>
      <c r="T164" s="1" t="s">
        <v>3955</v>
      </c>
      <c r="U164" s="1">
        <v>1</v>
      </c>
      <c r="V164" s="1" t="s">
        <v>771</v>
      </c>
      <c r="W164" s="1" t="s">
        <v>4494</v>
      </c>
      <c r="X164" s="1" t="s">
        <v>52</v>
      </c>
      <c r="Y164" s="3">
        <v>44619</v>
      </c>
      <c r="Z164" s="1">
        <v>2022</v>
      </c>
      <c r="AA164" s="2">
        <v>217230.05</v>
      </c>
      <c r="AB164" s="2"/>
      <c r="AC164" s="2">
        <v>30000</v>
      </c>
      <c r="AD164" s="1">
        <v>0</v>
      </c>
      <c r="AG164" s="1" t="s">
        <v>106</v>
      </c>
      <c r="AH164" s="1" t="s">
        <v>105</v>
      </c>
      <c r="AI164" s="2">
        <v>0</v>
      </c>
    </row>
    <row r="165" spans="1:35" s="1" customFormat="1" ht="15" customHeight="1" x14ac:dyDescent="0.2">
      <c r="A165" s="1" t="s">
        <v>19</v>
      </c>
      <c r="B165" s="5" t="s">
        <v>18</v>
      </c>
      <c r="C165" s="1" t="s">
        <v>37</v>
      </c>
      <c r="D165" s="1" t="s">
        <v>211</v>
      </c>
      <c r="E165" s="1" t="s">
        <v>35</v>
      </c>
      <c r="F165" s="1" t="s">
        <v>260</v>
      </c>
      <c r="G165" s="1" t="s">
        <v>259</v>
      </c>
      <c r="H165" s="1" t="s">
        <v>130</v>
      </c>
      <c r="I165" s="1" t="s">
        <v>4493</v>
      </c>
      <c r="J165" s="1">
        <v>2021</v>
      </c>
      <c r="K165" s="1" t="s">
        <v>4492</v>
      </c>
      <c r="L165" s="1" t="s">
        <v>4491</v>
      </c>
      <c r="N165" s="1" t="s">
        <v>4490</v>
      </c>
      <c r="P165" s="1" t="s">
        <v>4489</v>
      </c>
      <c r="Q165" s="1" t="s">
        <v>771</v>
      </c>
      <c r="R165" s="1" t="s">
        <v>1060</v>
      </c>
      <c r="S165" s="1" t="s">
        <v>3956</v>
      </c>
      <c r="T165" s="1" t="s">
        <v>3955</v>
      </c>
      <c r="U165" s="1">
        <v>1</v>
      </c>
      <c r="V165" s="1" t="s">
        <v>771</v>
      </c>
      <c r="W165" s="1" t="s">
        <v>4488</v>
      </c>
      <c r="X165" s="1" t="s">
        <v>298</v>
      </c>
      <c r="Y165" s="3">
        <v>44557</v>
      </c>
      <c r="Z165" s="1">
        <v>2021</v>
      </c>
      <c r="AA165" s="2">
        <v>149961.10999999999</v>
      </c>
      <c r="AB165" s="2"/>
      <c r="AC165" s="2">
        <v>52486.39</v>
      </c>
      <c r="AD165" s="1">
        <v>3</v>
      </c>
      <c r="AE165" s="1">
        <v>2</v>
      </c>
      <c r="AG165" s="1" t="s">
        <v>21</v>
      </c>
      <c r="AH165" s="1" t="s">
        <v>1079</v>
      </c>
      <c r="AI165" s="2">
        <v>52171.14</v>
      </c>
    </row>
    <row r="166" spans="1:35" s="1" customFormat="1" ht="15" customHeight="1" x14ac:dyDescent="0.2">
      <c r="A166" s="1" t="s">
        <v>19</v>
      </c>
      <c r="B166" s="5" t="s">
        <v>18</v>
      </c>
      <c r="C166" s="1" t="s">
        <v>37</v>
      </c>
      <c r="D166" s="1" t="s">
        <v>211</v>
      </c>
      <c r="E166" s="1" t="s">
        <v>35</v>
      </c>
      <c r="F166" s="1" t="s">
        <v>260</v>
      </c>
      <c r="G166" s="1" t="s">
        <v>259</v>
      </c>
      <c r="H166" s="1" t="s">
        <v>130</v>
      </c>
      <c r="I166" s="1" t="s">
        <v>4487</v>
      </c>
      <c r="J166" s="1">
        <v>2021</v>
      </c>
      <c r="K166" s="1" t="s">
        <v>4486</v>
      </c>
      <c r="L166" s="1" t="s">
        <v>4485</v>
      </c>
      <c r="N166" s="1" t="s">
        <v>4484</v>
      </c>
      <c r="P166" s="1" t="s">
        <v>4483</v>
      </c>
      <c r="Q166" s="1" t="s">
        <v>771</v>
      </c>
      <c r="R166" s="1" t="s">
        <v>1060</v>
      </c>
      <c r="S166" s="1" t="s">
        <v>3988</v>
      </c>
      <c r="T166" s="1" t="s">
        <v>3987</v>
      </c>
      <c r="U166" s="1">
        <v>1</v>
      </c>
      <c r="V166" s="1" t="s">
        <v>771</v>
      </c>
      <c r="W166" s="1" t="s">
        <v>4482</v>
      </c>
      <c r="X166" s="1" t="s">
        <v>52</v>
      </c>
      <c r="Y166" s="3">
        <v>44557</v>
      </c>
      <c r="Z166" s="1">
        <v>2021</v>
      </c>
      <c r="AA166" s="2">
        <v>129200</v>
      </c>
      <c r="AB166" s="2"/>
      <c r="AC166" s="2">
        <v>45220</v>
      </c>
      <c r="AD166" s="1">
        <v>2.5</v>
      </c>
      <c r="AE166" s="1">
        <v>0.5</v>
      </c>
      <c r="AG166" s="1" t="s">
        <v>21</v>
      </c>
      <c r="AH166" s="1" t="s">
        <v>1079</v>
      </c>
      <c r="AI166" s="2">
        <v>23686.45</v>
      </c>
    </row>
    <row r="167" spans="1:35" s="1" customFormat="1" ht="15" customHeight="1" x14ac:dyDescent="0.2">
      <c r="A167" s="1" t="s">
        <v>19</v>
      </c>
      <c r="B167" s="5" t="s">
        <v>109</v>
      </c>
      <c r="C167" s="1" t="s">
        <v>37</v>
      </c>
      <c r="D167" s="1" t="s">
        <v>211</v>
      </c>
      <c r="E167" s="1" t="s">
        <v>35</v>
      </c>
      <c r="F167" s="1" t="s">
        <v>260</v>
      </c>
      <c r="G167" s="1" t="s">
        <v>259</v>
      </c>
      <c r="H167" s="1" t="s">
        <v>130</v>
      </c>
      <c r="I167" s="1" t="s">
        <v>4481</v>
      </c>
      <c r="J167" s="1">
        <v>2021</v>
      </c>
      <c r="K167" s="1" t="s">
        <v>4480</v>
      </c>
      <c r="L167" s="1" t="s">
        <v>4479</v>
      </c>
      <c r="P167" s="1" t="s">
        <v>4478</v>
      </c>
      <c r="Q167" s="1" t="s">
        <v>771</v>
      </c>
      <c r="R167" s="1" t="s">
        <v>1060</v>
      </c>
      <c r="S167" s="1" t="s">
        <v>3956</v>
      </c>
      <c r="T167" s="1" t="s">
        <v>3955</v>
      </c>
      <c r="U167" s="1">
        <v>1</v>
      </c>
      <c r="V167" s="1" t="s">
        <v>771</v>
      </c>
      <c r="W167" s="1" t="s">
        <v>4477</v>
      </c>
      <c r="X167" s="1" t="s">
        <v>298</v>
      </c>
      <c r="Y167" s="3">
        <v>44557</v>
      </c>
      <c r="Z167" s="1">
        <v>2021</v>
      </c>
      <c r="AA167" s="2">
        <v>272755.20000000001</v>
      </c>
      <c r="AB167" s="2"/>
      <c r="AC167" s="2">
        <v>30000</v>
      </c>
      <c r="AD167" s="1">
        <v>1</v>
      </c>
      <c r="AE167" s="1">
        <v>1</v>
      </c>
      <c r="AG167" s="1" t="s">
        <v>106</v>
      </c>
      <c r="AH167" s="1" t="s">
        <v>1088</v>
      </c>
      <c r="AI167" s="2">
        <v>0</v>
      </c>
    </row>
    <row r="168" spans="1:35" s="1" customFormat="1" ht="15" customHeight="1" x14ac:dyDescent="0.2">
      <c r="A168" s="1" t="s">
        <v>19</v>
      </c>
      <c r="B168" s="5" t="s">
        <v>18</v>
      </c>
      <c r="C168" s="1" t="s">
        <v>37</v>
      </c>
      <c r="D168" s="1" t="s">
        <v>63</v>
      </c>
      <c r="E168" s="1" t="s">
        <v>35</v>
      </c>
      <c r="G168" s="1" t="s">
        <v>288</v>
      </c>
      <c r="H168" s="1" t="s">
        <v>32</v>
      </c>
      <c r="I168" s="1" t="s">
        <v>4476</v>
      </c>
      <c r="J168" s="1">
        <v>2022</v>
      </c>
      <c r="K168" s="1" t="s">
        <v>4475</v>
      </c>
      <c r="L168" s="1" t="s">
        <v>4474</v>
      </c>
      <c r="N168" s="1" t="s">
        <v>4473</v>
      </c>
      <c r="P168" s="1" t="s">
        <v>4472</v>
      </c>
      <c r="Q168" s="1" t="s">
        <v>771</v>
      </c>
      <c r="R168" s="1" t="s">
        <v>1060</v>
      </c>
      <c r="S168" s="1" t="s">
        <v>4471</v>
      </c>
      <c r="T168" s="1" t="s">
        <v>4470</v>
      </c>
      <c r="U168" s="1">
        <v>1</v>
      </c>
      <c r="V168" s="1" t="s">
        <v>771</v>
      </c>
      <c r="W168" s="1" t="s">
        <v>4469</v>
      </c>
      <c r="Y168" s="3">
        <v>45112</v>
      </c>
      <c r="Z168" s="1">
        <v>2023</v>
      </c>
      <c r="AA168" s="2">
        <v>101519.39</v>
      </c>
      <c r="AB168" s="2"/>
      <c r="AC168" s="2">
        <v>101519.39</v>
      </c>
      <c r="AG168" s="1" t="s">
        <v>21</v>
      </c>
      <c r="AI168" s="2">
        <v>101519.39</v>
      </c>
    </row>
    <row r="169" spans="1:35" s="1" customFormat="1" ht="15" customHeight="1" x14ac:dyDescent="0.2">
      <c r="A169" s="1" t="s">
        <v>19</v>
      </c>
      <c r="B169" s="5" t="s">
        <v>18</v>
      </c>
      <c r="C169" s="1" t="s">
        <v>37</v>
      </c>
      <c r="D169" s="1" t="s">
        <v>63</v>
      </c>
      <c r="E169" s="1" t="s">
        <v>35</v>
      </c>
      <c r="G169" s="1" t="s">
        <v>288</v>
      </c>
      <c r="H169" s="1" t="s">
        <v>32</v>
      </c>
      <c r="I169" s="1" t="s">
        <v>4468</v>
      </c>
      <c r="J169" s="1">
        <v>2022</v>
      </c>
      <c r="K169" s="1" t="s">
        <v>4467</v>
      </c>
      <c r="L169" s="1" t="s">
        <v>4466</v>
      </c>
      <c r="P169" s="1" t="s">
        <v>4465</v>
      </c>
      <c r="Q169" s="1" t="s">
        <v>771</v>
      </c>
      <c r="R169" s="1" t="s">
        <v>1060</v>
      </c>
      <c r="S169" s="1" t="s">
        <v>4080</v>
      </c>
      <c r="T169" s="1" t="s">
        <v>4079</v>
      </c>
      <c r="U169" s="1">
        <v>1</v>
      </c>
      <c r="V169" s="1" t="s">
        <v>771</v>
      </c>
      <c r="W169" s="1" t="s">
        <v>4464</v>
      </c>
      <c r="Y169" s="3">
        <v>45112</v>
      </c>
      <c r="Z169" s="1">
        <v>2023</v>
      </c>
      <c r="AA169" s="2">
        <v>300275.52</v>
      </c>
      <c r="AB169" s="2"/>
      <c r="AC169" s="2">
        <v>300275.52</v>
      </c>
      <c r="AG169" s="1" t="s">
        <v>21</v>
      </c>
      <c r="AI169" s="2">
        <v>300275.52</v>
      </c>
    </row>
    <row r="170" spans="1:35" s="1" customFormat="1" ht="15" customHeight="1" x14ac:dyDescent="0.2">
      <c r="A170" s="1" t="s">
        <v>19</v>
      </c>
      <c r="B170" s="5" t="s">
        <v>18</v>
      </c>
      <c r="C170" s="1" t="s">
        <v>37</v>
      </c>
      <c r="D170" s="1" t="s">
        <v>63</v>
      </c>
      <c r="E170" s="1" t="s">
        <v>35</v>
      </c>
      <c r="G170" s="1" t="s">
        <v>288</v>
      </c>
      <c r="H170" s="1" t="s">
        <v>32</v>
      </c>
      <c r="I170" s="1" t="s">
        <v>4463</v>
      </c>
      <c r="J170" s="1">
        <v>2022</v>
      </c>
      <c r="K170" s="1" t="s">
        <v>4437</v>
      </c>
      <c r="L170" s="1" t="s">
        <v>4436</v>
      </c>
      <c r="P170" s="1" t="s">
        <v>4440</v>
      </c>
      <c r="Q170" s="1" t="s">
        <v>771</v>
      </c>
      <c r="R170" s="1" t="s">
        <v>1060</v>
      </c>
      <c r="S170" s="1" t="s">
        <v>3956</v>
      </c>
      <c r="T170" s="1" t="s">
        <v>3955</v>
      </c>
      <c r="U170" s="1">
        <v>1</v>
      </c>
      <c r="V170" s="1" t="s">
        <v>771</v>
      </c>
      <c r="W170" s="1" t="s">
        <v>4462</v>
      </c>
      <c r="Y170" s="3">
        <v>45112</v>
      </c>
      <c r="Z170" s="1">
        <v>2023</v>
      </c>
      <c r="AA170" s="2">
        <v>2759762.58</v>
      </c>
      <c r="AB170" s="2"/>
      <c r="AC170" s="2">
        <v>2759762.58</v>
      </c>
      <c r="AG170" s="1" t="s">
        <v>21</v>
      </c>
      <c r="AI170" s="2">
        <v>2759762.58</v>
      </c>
    </row>
    <row r="171" spans="1:35" s="1" customFormat="1" ht="15" customHeight="1" x14ac:dyDescent="0.2">
      <c r="A171" s="1" t="s">
        <v>19</v>
      </c>
      <c r="B171" s="5" t="s">
        <v>18</v>
      </c>
      <c r="C171" s="1" t="s">
        <v>37</v>
      </c>
      <c r="D171" s="1" t="s">
        <v>63</v>
      </c>
      <c r="E171" s="1" t="s">
        <v>35</v>
      </c>
      <c r="G171" s="1" t="s">
        <v>288</v>
      </c>
      <c r="H171" s="1" t="s">
        <v>32</v>
      </c>
      <c r="I171" s="1" t="s">
        <v>4461</v>
      </c>
      <c r="J171" s="1">
        <v>2022</v>
      </c>
      <c r="K171" s="1" t="s">
        <v>4460</v>
      </c>
      <c r="L171" s="1" t="s">
        <v>4459</v>
      </c>
      <c r="P171" s="1" t="s">
        <v>4440</v>
      </c>
      <c r="Q171" s="1" t="s">
        <v>771</v>
      </c>
      <c r="R171" s="1" t="s">
        <v>1060</v>
      </c>
      <c r="S171" s="1" t="s">
        <v>3956</v>
      </c>
      <c r="T171" s="1" t="s">
        <v>3955</v>
      </c>
      <c r="U171" s="1">
        <v>1</v>
      </c>
      <c r="V171" s="1" t="s">
        <v>771</v>
      </c>
      <c r="W171" s="1" t="s">
        <v>4458</v>
      </c>
      <c r="Y171" s="3">
        <v>45112</v>
      </c>
      <c r="Z171" s="1">
        <v>2023</v>
      </c>
      <c r="AA171" s="2">
        <v>500000</v>
      </c>
      <c r="AB171" s="2"/>
      <c r="AC171" s="2">
        <v>500000</v>
      </c>
      <c r="AG171" s="1" t="s">
        <v>21</v>
      </c>
      <c r="AI171" s="2">
        <v>500000</v>
      </c>
    </row>
    <row r="172" spans="1:35" s="1" customFormat="1" ht="15" customHeight="1" x14ac:dyDescent="0.25">
      <c r="A172" s="1" t="s">
        <v>19</v>
      </c>
      <c r="B172" s="14" t="s">
        <v>18</v>
      </c>
      <c r="C172" s="12" t="s">
        <v>37</v>
      </c>
      <c r="D172" s="1" t="s">
        <v>63</v>
      </c>
      <c r="E172" s="1" t="s">
        <v>35</v>
      </c>
      <c r="F172" s="1" t="s">
        <v>2380</v>
      </c>
      <c r="G172" s="1" t="s">
        <v>288</v>
      </c>
      <c r="H172" s="1" t="s">
        <v>32</v>
      </c>
      <c r="I172" s="12" t="s">
        <v>4457</v>
      </c>
      <c r="J172" s="1">
        <v>2022</v>
      </c>
      <c r="K172" s="1" t="s">
        <v>4456</v>
      </c>
      <c r="L172" s="49" t="s">
        <v>4452</v>
      </c>
      <c r="M172" s="1" t="s">
        <v>0</v>
      </c>
      <c r="P172" s="1" t="s">
        <v>4455</v>
      </c>
      <c r="Q172" s="1" t="s">
        <v>771</v>
      </c>
      <c r="R172" s="1" t="s">
        <v>1060</v>
      </c>
      <c r="S172" s="12" t="s">
        <v>4454</v>
      </c>
      <c r="T172" s="12" t="s">
        <v>4453</v>
      </c>
      <c r="U172" s="1">
        <v>2</v>
      </c>
      <c r="V172" s="12" t="s">
        <v>771</v>
      </c>
      <c r="W172" s="12" t="s">
        <v>4452</v>
      </c>
      <c r="X172" s="12"/>
      <c r="Y172" s="13"/>
      <c r="Z172" s="12">
        <v>2025</v>
      </c>
      <c r="AA172" s="11">
        <v>125528.74</v>
      </c>
      <c r="AB172" s="11"/>
      <c r="AC172" s="11">
        <v>125528.74</v>
      </c>
      <c r="AD172" s="2"/>
      <c r="AG172" s="1" t="s">
        <v>21</v>
      </c>
      <c r="AI172" s="11">
        <v>125528.74</v>
      </c>
    </row>
    <row r="173" spans="1:35" s="1" customFormat="1" ht="15" customHeight="1" x14ac:dyDescent="0.2">
      <c r="A173" s="1" t="s">
        <v>19</v>
      </c>
      <c r="B173" s="5" t="s">
        <v>18</v>
      </c>
      <c r="C173" s="1" t="s">
        <v>37</v>
      </c>
      <c r="D173" s="1" t="s">
        <v>63</v>
      </c>
      <c r="E173" s="1" t="s">
        <v>35</v>
      </c>
      <c r="G173" s="1" t="s">
        <v>288</v>
      </c>
      <c r="H173" s="1" t="s">
        <v>32</v>
      </c>
      <c r="I173" s="1" t="s">
        <v>4451</v>
      </c>
      <c r="J173" s="1">
        <v>2022</v>
      </c>
      <c r="K173" s="1" t="s">
        <v>4450</v>
      </c>
      <c r="L173" s="1" t="s">
        <v>4449</v>
      </c>
      <c r="M173" s="1" t="s">
        <v>4448</v>
      </c>
      <c r="P173" s="1" t="s">
        <v>4447</v>
      </c>
      <c r="Q173" s="1" t="s">
        <v>771</v>
      </c>
      <c r="R173" s="1" t="s">
        <v>1060</v>
      </c>
      <c r="S173" s="1" t="s">
        <v>4446</v>
      </c>
      <c r="T173" s="1" t="s">
        <v>4445</v>
      </c>
      <c r="V173" s="1" t="s">
        <v>771</v>
      </c>
      <c r="W173" s="1" t="s">
        <v>4444</v>
      </c>
      <c r="Y173" s="3">
        <v>45112</v>
      </c>
      <c r="Z173" s="1">
        <v>2023</v>
      </c>
      <c r="AA173" s="2">
        <v>95089.65</v>
      </c>
      <c r="AB173" s="2"/>
      <c r="AC173" s="2">
        <v>95089.65</v>
      </c>
      <c r="AG173" s="1" t="s">
        <v>21</v>
      </c>
      <c r="AI173" s="2">
        <v>95089.65</v>
      </c>
    </row>
    <row r="174" spans="1:35" s="1" customFormat="1" ht="15" customHeight="1" x14ac:dyDescent="0.2">
      <c r="A174" s="1" t="s">
        <v>19</v>
      </c>
      <c r="B174" s="5" t="s">
        <v>18</v>
      </c>
      <c r="C174" s="1" t="s">
        <v>37</v>
      </c>
      <c r="D174" s="1" t="s">
        <v>63</v>
      </c>
      <c r="E174" s="1" t="s">
        <v>35</v>
      </c>
      <c r="G174" s="1" t="s">
        <v>288</v>
      </c>
      <c r="H174" s="1" t="s">
        <v>32</v>
      </c>
      <c r="I174" s="1" t="s">
        <v>4443</v>
      </c>
      <c r="J174" s="1">
        <v>2022</v>
      </c>
      <c r="K174" s="1" t="s">
        <v>4442</v>
      </c>
      <c r="L174" s="1" t="s">
        <v>4441</v>
      </c>
      <c r="P174" s="1" t="s">
        <v>4440</v>
      </c>
      <c r="Q174" s="1" t="s">
        <v>771</v>
      </c>
      <c r="R174" s="1" t="s">
        <v>1060</v>
      </c>
      <c r="S174" s="1" t="s">
        <v>3956</v>
      </c>
      <c r="T174" s="1" t="s">
        <v>3955</v>
      </c>
      <c r="U174" s="1">
        <v>1</v>
      </c>
      <c r="V174" s="1" t="s">
        <v>771</v>
      </c>
      <c r="W174" s="1" t="s">
        <v>4439</v>
      </c>
      <c r="Y174" s="3">
        <v>45112</v>
      </c>
      <c r="Z174" s="1">
        <v>2023</v>
      </c>
      <c r="AA174" s="2">
        <v>1498770.94</v>
      </c>
      <c r="AB174" s="2"/>
      <c r="AC174" s="2">
        <v>1498770.94</v>
      </c>
      <c r="AG174" s="1" t="s">
        <v>21</v>
      </c>
      <c r="AI174" s="2">
        <v>1498770.94</v>
      </c>
    </row>
    <row r="175" spans="1:35" s="1" customFormat="1" ht="15" customHeight="1" x14ac:dyDescent="0.2">
      <c r="A175" s="1" t="s">
        <v>19</v>
      </c>
      <c r="B175" s="5" t="s">
        <v>18</v>
      </c>
      <c r="C175" s="1" t="s">
        <v>37</v>
      </c>
      <c r="D175" s="1" t="s">
        <v>63</v>
      </c>
      <c r="E175" s="1" t="s">
        <v>35</v>
      </c>
      <c r="G175" s="1" t="s">
        <v>288</v>
      </c>
      <c r="H175" s="1" t="s">
        <v>32</v>
      </c>
      <c r="I175" s="1" t="s">
        <v>4438</v>
      </c>
      <c r="J175" s="1">
        <v>2022</v>
      </c>
      <c r="K175" s="1" t="s">
        <v>4437</v>
      </c>
      <c r="L175" s="1" t="s">
        <v>4436</v>
      </c>
      <c r="P175" s="1" t="s">
        <v>4435</v>
      </c>
      <c r="Q175" s="1" t="s">
        <v>771</v>
      </c>
      <c r="R175" s="1" t="s">
        <v>1060</v>
      </c>
      <c r="S175" s="1" t="s">
        <v>4353</v>
      </c>
      <c r="T175" s="1" t="s">
        <v>4352</v>
      </c>
      <c r="U175" s="1">
        <v>2</v>
      </c>
      <c r="V175" s="1" t="s">
        <v>771</v>
      </c>
      <c r="W175" s="1" t="s">
        <v>4434</v>
      </c>
      <c r="Y175" s="3">
        <v>45112</v>
      </c>
      <c r="Z175" s="1">
        <v>2023</v>
      </c>
      <c r="AA175" s="2">
        <v>378020.31</v>
      </c>
      <c r="AB175" s="2"/>
      <c r="AC175" s="2">
        <v>378020.31</v>
      </c>
      <c r="AG175" s="1" t="s">
        <v>21</v>
      </c>
      <c r="AI175" s="2">
        <v>378020.31</v>
      </c>
    </row>
    <row r="176" spans="1:35" s="1" customFormat="1" ht="15" customHeight="1" x14ac:dyDescent="0.2">
      <c r="A176" s="1" t="s">
        <v>19</v>
      </c>
      <c r="B176" s="5" t="s">
        <v>18</v>
      </c>
      <c r="C176" s="1" t="s">
        <v>37</v>
      </c>
      <c r="D176" s="1" t="s">
        <v>63</v>
      </c>
      <c r="E176" s="1" t="s">
        <v>35</v>
      </c>
      <c r="G176" s="1" t="s">
        <v>288</v>
      </c>
      <c r="H176" s="1" t="s">
        <v>32</v>
      </c>
      <c r="I176" s="1" t="s">
        <v>4433</v>
      </c>
      <c r="J176" s="1">
        <v>2022</v>
      </c>
      <c r="K176" s="1" t="s">
        <v>4432</v>
      </c>
      <c r="L176" s="1" t="s">
        <v>4431</v>
      </c>
      <c r="P176" s="1" t="s">
        <v>4430</v>
      </c>
      <c r="Q176" s="1" t="s">
        <v>771</v>
      </c>
      <c r="R176" s="1" t="s">
        <v>1060</v>
      </c>
      <c r="S176" s="1" t="s">
        <v>4251</v>
      </c>
      <c r="T176" s="1" t="s">
        <v>4250</v>
      </c>
      <c r="V176" s="1" t="s">
        <v>771</v>
      </c>
      <c r="W176" s="1" t="s">
        <v>4429</v>
      </c>
      <c r="Y176" s="3">
        <v>45112</v>
      </c>
      <c r="Z176" s="1">
        <v>2023</v>
      </c>
      <c r="AA176" s="2">
        <v>250000</v>
      </c>
      <c r="AB176" s="2"/>
      <c r="AC176" s="2">
        <v>250000</v>
      </c>
      <c r="AG176" s="1" t="s">
        <v>21</v>
      </c>
      <c r="AI176" s="2">
        <v>250000</v>
      </c>
    </row>
    <row r="177" spans="1:35" s="1" customFormat="1" ht="15" customHeight="1" x14ac:dyDescent="0.2">
      <c r="A177" s="1" t="s">
        <v>19</v>
      </c>
      <c r="B177" s="5" t="s">
        <v>18</v>
      </c>
      <c r="C177" s="1" t="s">
        <v>37</v>
      </c>
      <c r="D177" s="1" t="s">
        <v>63</v>
      </c>
      <c r="E177" s="1" t="s">
        <v>35</v>
      </c>
      <c r="G177" s="1" t="s">
        <v>288</v>
      </c>
      <c r="H177" s="1" t="s">
        <v>32</v>
      </c>
      <c r="I177" s="1" t="s">
        <v>4428</v>
      </c>
      <c r="J177" s="1">
        <v>2022</v>
      </c>
      <c r="K177" s="1" t="s">
        <v>4427</v>
      </c>
      <c r="L177" s="1" t="s">
        <v>4426</v>
      </c>
      <c r="P177" s="1" t="s">
        <v>4196</v>
      </c>
      <c r="Q177" s="1" t="s">
        <v>771</v>
      </c>
      <c r="R177" s="1" t="s">
        <v>1060</v>
      </c>
      <c r="S177" s="1" t="s">
        <v>4024</v>
      </c>
      <c r="T177" s="1" t="s">
        <v>4023</v>
      </c>
      <c r="U177" s="1">
        <v>1</v>
      </c>
      <c r="V177" s="1" t="s">
        <v>771</v>
      </c>
      <c r="W177" s="1" t="s">
        <v>4425</v>
      </c>
      <c r="Y177" s="3">
        <v>45112</v>
      </c>
      <c r="Z177" s="1">
        <v>2023</v>
      </c>
      <c r="AA177" s="2">
        <v>531300</v>
      </c>
      <c r="AB177" s="2"/>
      <c r="AC177" s="2">
        <v>531300</v>
      </c>
      <c r="AG177" s="1" t="s">
        <v>21</v>
      </c>
      <c r="AI177" s="2">
        <v>531300</v>
      </c>
    </row>
    <row r="178" spans="1:35" s="1" customFormat="1" ht="15" customHeight="1" x14ac:dyDescent="0.25">
      <c r="A178" s="1" t="s">
        <v>19</v>
      </c>
      <c r="B178" s="14" t="s">
        <v>18</v>
      </c>
      <c r="C178" s="12" t="s">
        <v>37</v>
      </c>
      <c r="D178" s="1" t="s">
        <v>63</v>
      </c>
      <c r="E178" s="1" t="s">
        <v>35</v>
      </c>
      <c r="F178" s="1" t="s">
        <v>2380</v>
      </c>
      <c r="G178" s="1" t="s">
        <v>288</v>
      </c>
      <c r="H178" s="1" t="s">
        <v>32</v>
      </c>
      <c r="I178" s="12" t="s">
        <v>4424</v>
      </c>
      <c r="J178" s="1">
        <v>2022</v>
      </c>
      <c r="K178" s="1" t="s">
        <v>4423</v>
      </c>
      <c r="L178" s="49" t="s">
        <v>4422</v>
      </c>
      <c r="M178" s="1" t="s">
        <v>0</v>
      </c>
      <c r="P178" s="1" t="s">
        <v>4087</v>
      </c>
      <c r="Q178" s="1" t="s">
        <v>771</v>
      </c>
      <c r="R178" s="1" t="s">
        <v>1060</v>
      </c>
      <c r="S178" s="12" t="s">
        <v>4086</v>
      </c>
      <c r="T178" s="12" t="s">
        <v>4085</v>
      </c>
      <c r="U178" s="17">
        <v>1</v>
      </c>
      <c r="V178" s="12" t="s">
        <v>771</v>
      </c>
      <c r="W178" s="12" t="s">
        <v>4422</v>
      </c>
      <c r="X178" s="12"/>
      <c r="Y178" s="13"/>
      <c r="Z178" s="12">
        <v>2025</v>
      </c>
      <c r="AA178" s="11">
        <v>540684.64</v>
      </c>
      <c r="AB178" s="11"/>
      <c r="AC178" s="11">
        <v>540684.64</v>
      </c>
      <c r="AD178" s="2"/>
      <c r="AG178" s="1" t="s">
        <v>21</v>
      </c>
      <c r="AI178" s="11">
        <v>540684.64</v>
      </c>
    </row>
    <row r="179" spans="1:35" s="1" customFormat="1" ht="15" customHeight="1" x14ac:dyDescent="0.2">
      <c r="A179" s="1" t="s">
        <v>19</v>
      </c>
      <c r="B179" s="5" t="s">
        <v>18</v>
      </c>
      <c r="C179" s="1" t="s">
        <v>37</v>
      </c>
      <c r="D179" s="1" t="s">
        <v>63</v>
      </c>
      <c r="E179" s="1" t="s">
        <v>35</v>
      </c>
      <c r="G179" s="1" t="s">
        <v>288</v>
      </c>
      <c r="H179" s="1" t="s">
        <v>32</v>
      </c>
      <c r="I179" s="1" t="s">
        <v>4421</v>
      </c>
      <c r="J179" s="1">
        <v>2022</v>
      </c>
      <c r="K179" s="1" t="s">
        <v>4420</v>
      </c>
      <c r="L179" s="1" t="s">
        <v>4419</v>
      </c>
      <c r="N179" s="1" t="s">
        <v>4418</v>
      </c>
      <c r="P179" s="1" t="s">
        <v>4417</v>
      </c>
      <c r="Q179" s="1" t="s">
        <v>771</v>
      </c>
      <c r="R179" s="1" t="s">
        <v>770</v>
      </c>
      <c r="S179" s="1" t="s">
        <v>4416</v>
      </c>
      <c r="T179" s="1" t="s">
        <v>4415</v>
      </c>
      <c r="V179" s="1" t="s">
        <v>771</v>
      </c>
      <c r="W179" s="1" t="s">
        <v>4414</v>
      </c>
      <c r="Y179" s="3">
        <v>45112</v>
      </c>
      <c r="Z179" s="1">
        <v>2023</v>
      </c>
      <c r="AA179" s="2">
        <v>1048841.69</v>
      </c>
      <c r="AB179" s="2"/>
      <c r="AC179" s="2">
        <v>1048841.69</v>
      </c>
      <c r="AG179" s="1" t="s">
        <v>21</v>
      </c>
      <c r="AI179" s="2">
        <v>1048841.69</v>
      </c>
    </row>
    <row r="180" spans="1:35" s="1" customFormat="1" ht="15" customHeight="1" x14ac:dyDescent="0.2">
      <c r="A180" s="1" t="s">
        <v>19</v>
      </c>
      <c r="B180" s="5" t="s">
        <v>18</v>
      </c>
      <c r="C180" s="1" t="s">
        <v>37</v>
      </c>
      <c r="D180" s="1" t="s">
        <v>63</v>
      </c>
      <c r="E180" s="1" t="s">
        <v>35</v>
      </c>
      <c r="G180" s="1" t="s">
        <v>288</v>
      </c>
      <c r="H180" s="1" t="s">
        <v>32</v>
      </c>
      <c r="I180" s="1" t="s">
        <v>4413</v>
      </c>
      <c r="J180" s="1">
        <v>2022</v>
      </c>
      <c r="K180" s="1" t="s">
        <v>4412</v>
      </c>
      <c r="L180" s="1" t="s">
        <v>4411</v>
      </c>
      <c r="N180" s="1" t="s">
        <v>4410</v>
      </c>
      <c r="P180" s="1" t="s">
        <v>3989</v>
      </c>
      <c r="Q180" s="1" t="s">
        <v>771</v>
      </c>
      <c r="R180" s="1" t="s">
        <v>1060</v>
      </c>
      <c r="S180" s="1" t="s">
        <v>3988</v>
      </c>
      <c r="T180" s="1" t="s">
        <v>3987</v>
      </c>
      <c r="U180" s="1">
        <v>1</v>
      </c>
      <c r="V180" s="1" t="s">
        <v>771</v>
      </c>
      <c r="W180" s="1" t="s">
        <v>4409</v>
      </c>
      <c r="Y180" s="3">
        <v>45112</v>
      </c>
      <c r="Z180" s="1">
        <v>2023</v>
      </c>
      <c r="AA180" s="2">
        <v>450905.15</v>
      </c>
      <c r="AB180" s="2"/>
      <c r="AC180" s="2">
        <v>450905.15</v>
      </c>
      <c r="AG180" s="1" t="s">
        <v>21</v>
      </c>
      <c r="AI180" s="2">
        <v>450905.15</v>
      </c>
    </row>
    <row r="181" spans="1:35" s="1" customFormat="1" ht="15" customHeight="1" x14ac:dyDescent="0.2">
      <c r="A181" s="1" t="s">
        <v>19</v>
      </c>
      <c r="B181" s="5" t="s">
        <v>18</v>
      </c>
      <c r="C181" s="1" t="s">
        <v>37</v>
      </c>
      <c r="D181" s="1" t="s">
        <v>63</v>
      </c>
      <c r="E181" s="1" t="s">
        <v>35</v>
      </c>
      <c r="G181" s="1" t="s">
        <v>288</v>
      </c>
      <c r="H181" s="1" t="s">
        <v>32</v>
      </c>
      <c r="I181" s="1" t="s">
        <v>4408</v>
      </c>
      <c r="J181" s="1">
        <v>2022</v>
      </c>
      <c r="K181" s="1" t="s">
        <v>4407</v>
      </c>
      <c r="L181" s="1" t="s">
        <v>4406</v>
      </c>
      <c r="P181" s="1" t="s">
        <v>4405</v>
      </c>
      <c r="Q181" s="1" t="s">
        <v>771</v>
      </c>
      <c r="R181" s="1" t="s">
        <v>1060</v>
      </c>
      <c r="S181" s="1" t="s">
        <v>4404</v>
      </c>
      <c r="T181" s="1" t="s">
        <v>4403</v>
      </c>
      <c r="U181" s="1">
        <v>2</v>
      </c>
      <c r="V181" s="1" t="s">
        <v>771</v>
      </c>
      <c r="W181" s="1" t="s">
        <v>4402</v>
      </c>
      <c r="Y181" s="3">
        <v>45112</v>
      </c>
      <c r="Z181" s="1">
        <v>2023</v>
      </c>
      <c r="AA181" s="2">
        <v>295333.90999999997</v>
      </c>
      <c r="AB181" s="2"/>
      <c r="AC181" s="2">
        <v>295333.90999999997</v>
      </c>
      <c r="AG181" s="1" t="s">
        <v>21</v>
      </c>
      <c r="AI181" s="2">
        <v>295333.90999999997</v>
      </c>
    </row>
    <row r="182" spans="1:35" s="1" customFormat="1" ht="15" customHeight="1" x14ac:dyDescent="0.2">
      <c r="A182" s="1" t="s">
        <v>19</v>
      </c>
      <c r="B182" s="5" t="s">
        <v>18</v>
      </c>
      <c r="C182" s="1" t="s">
        <v>37</v>
      </c>
      <c r="D182" s="1" t="s">
        <v>63</v>
      </c>
      <c r="E182" s="1" t="s">
        <v>35</v>
      </c>
      <c r="G182" s="1" t="s">
        <v>288</v>
      </c>
      <c r="H182" s="1" t="s">
        <v>32</v>
      </c>
      <c r="I182" s="1" t="s">
        <v>4401</v>
      </c>
      <c r="J182" s="1">
        <v>2022</v>
      </c>
      <c r="K182" s="1" t="s">
        <v>4400</v>
      </c>
      <c r="L182" s="1" t="s">
        <v>4399</v>
      </c>
      <c r="P182" s="1" t="s">
        <v>4398</v>
      </c>
      <c r="Q182" s="1" t="s">
        <v>771</v>
      </c>
      <c r="R182" s="1" t="s">
        <v>1060</v>
      </c>
      <c r="S182" s="1" t="s">
        <v>3981</v>
      </c>
      <c r="T182" s="1" t="s">
        <v>3980</v>
      </c>
      <c r="U182" s="1">
        <v>1</v>
      </c>
      <c r="V182" s="1" t="s">
        <v>771</v>
      </c>
      <c r="W182" s="1" t="s">
        <v>4397</v>
      </c>
      <c r="Y182" s="3">
        <v>45112</v>
      </c>
      <c r="Z182" s="1">
        <v>2023</v>
      </c>
      <c r="AA182" s="2">
        <v>441013.62</v>
      </c>
      <c r="AB182" s="2"/>
      <c r="AC182" s="2">
        <v>441013.62</v>
      </c>
      <c r="AG182" s="1" t="s">
        <v>21</v>
      </c>
      <c r="AI182" s="2">
        <v>441013.62</v>
      </c>
    </row>
    <row r="183" spans="1:35" s="1" customFormat="1" ht="15" customHeight="1" x14ac:dyDescent="0.2">
      <c r="A183" s="1" t="s">
        <v>19</v>
      </c>
      <c r="B183" s="5" t="s">
        <v>18</v>
      </c>
      <c r="C183" s="1" t="s">
        <v>37</v>
      </c>
      <c r="D183" s="1" t="s">
        <v>63</v>
      </c>
      <c r="E183" s="1" t="s">
        <v>35</v>
      </c>
      <c r="G183" s="1" t="s">
        <v>288</v>
      </c>
      <c r="H183" s="1" t="s">
        <v>32</v>
      </c>
      <c r="I183" s="1" t="s">
        <v>4396</v>
      </c>
      <c r="J183" s="1">
        <v>2022</v>
      </c>
      <c r="K183" s="1" t="s">
        <v>4395</v>
      </c>
      <c r="L183" s="1" t="s">
        <v>4394</v>
      </c>
      <c r="P183" s="1" t="s">
        <v>4393</v>
      </c>
      <c r="Q183" s="1" t="s">
        <v>771</v>
      </c>
      <c r="R183" s="1" t="s">
        <v>1060</v>
      </c>
      <c r="S183" s="1" t="s">
        <v>3956</v>
      </c>
      <c r="T183" s="1" t="s">
        <v>3955</v>
      </c>
      <c r="U183" s="1">
        <v>1</v>
      </c>
      <c r="V183" s="1" t="s">
        <v>771</v>
      </c>
      <c r="W183" s="1" t="s">
        <v>4392</v>
      </c>
      <c r="Y183" s="3">
        <v>45112</v>
      </c>
      <c r="Z183" s="1">
        <v>2023</v>
      </c>
      <c r="AA183" s="2">
        <v>498765.44</v>
      </c>
      <c r="AB183" s="2"/>
      <c r="AC183" s="2">
        <v>498765.44</v>
      </c>
      <c r="AG183" s="1" t="s">
        <v>21</v>
      </c>
      <c r="AI183" s="2">
        <v>498765.44</v>
      </c>
    </row>
    <row r="184" spans="1:35" s="1" customFormat="1" ht="15" customHeight="1" x14ac:dyDescent="0.25">
      <c r="A184" s="1" t="s">
        <v>19</v>
      </c>
      <c r="B184" s="14" t="s">
        <v>18</v>
      </c>
      <c r="C184" s="12" t="s">
        <v>37</v>
      </c>
      <c r="D184" s="1" t="s">
        <v>63</v>
      </c>
      <c r="E184" s="1" t="s">
        <v>35</v>
      </c>
      <c r="F184" s="1" t="s">
        <v>2380</v>
      </c>
      <c r="G184" s="1" t="s">
        <v>288</v>
      </c>
      <c r="H184" s="1" t="s">
        <v>32</v>
      </c>
      <c r="I184" s="12" t="s">
        <v>4391</v>
      </c>
      <c r="J184" s="1">
        <v>2022</v>
      </c>
      <c r="K184" s="1" t="s">
        <v>4390</v>
      </c>
      <c r="L184" s="49" t="s">
        <v>4389</v>
      </c>
      <c r="M184" s="1" t="s">
        <v>0</v>
      </c>
      <c r="P184" s="1" t="s">
        <v>3975</v>
      </c>
      <c r="Q184" s="1" t="s">
        <v>771</v>
      </c>
      <c r="R184" s="1" t="s">
        <v>1060</v>
      </c>
      <c r="S184" s="20" t="s">
        <v>3972</v>
      </c>
      <c r="T184" s="12" t="s">
        <v>3971</v>
      </c>
      <c r="U184" s="1">
        <v>2</v>
      </c>
      <c r="V184" s="12" t="s">
        <v>771</v>
      </c>
      <c r="W184" s="12" t="s">
        <v>4389</v>
      </c>
      <c r="X184" s="12" t="s">
        <v>2256</v>
      </c>
      <c r="Y184" s="13"/>
      <c r="Z184" s="12">
        <v>2025</v>
      </c>
      <c r="AA184" s="11">
        <v>1138338.1299999999</v>
      </c>
      <c r="AB184" s="11"/>
      <c r="AC184" s="11">
        <v>1138338.1299999999</v>
      </c>
      <c r="AD184" s="2"/>
      <c r="AG184" s="1" t="s">
        <v>21</v>
      </c>
      <c r="AI184" s="11">
        <v>1138338.1299999999</v>
      </c>
    </row>
    <row r="185" spans="1:35" s="1" customFormat="1" ht="15" customHeight="1" x14ac:dyDescent="0.2">
      <c r="A185" s="1" t="s">
        <v>19</v>
      </c>
      <c r="B185" s="5" t="s">
        <v>18</v>
      </c>
      <c r="C185" s="1" t="s">
        <v>37</v>
      </c>
      <c r="D185" s="1" t="s">
        <v>211</v>
      </c>
      <c r="E185" s="1" t="s">
        <v>35</v>
      </c>
      <c r="F185" s="1" t="s">
        <v>637</v>
      </c>
      <c r="G185" s="1" t="s">
        <v>636</v>
      </c>
      <c r="H185" s="1" t="s">
        <v>258</v>
      </c>
      <c r="I185" s="1" t="s">
        <v>4388</v>
      </c>
      <c r="J185" s="1">
        <v>2023</v>
      </c>
      <c r="K185" s="1" t="s">
        <v>4387</v>
      </c>
      <c r="L185" s="44" t="s">
        <v>4387</v>
      </c>
      <c r="M185" s="1" t="s">
        <v>0</v>
      </c>
      <c r="P185" s="1" t="s">
        <v>4386</v>
      </c>
      <c r="Q185" s="1" t="s">
        <v>771</v>
      </c>
      <c r="R185" s="1" t="s">
        <v>1060</v>
      </c>
      <c r="S185" s="1" t="s">
        <v>3988</v>
      </c>
      <c r="T185" s="1" t="s">
        <v>3987</v>
      </c>
      <c r="U185" s="1">
        <v>1</v>
      </c>
      <c r="V185" s="1" t="s">
        <v>771</v>
      </c>
      <c r="W185" s="1" t="s">
        <v>4385</v>
      </c>
      <c r="Y185" s="3">
        <v>45802</v>
      </c>
      <c r="Z185" s="1">
        <v>2025</v>
      </c>
      <c r="AA185" s="2">
        <v>741108.04</v>
      </c>
      <c r="AB185" s="2"/>
      <c r="AC185" s="2">
        <v>296443.21999999997</v>
      </c>
      <c r="AD185" s="18">
        <v>6</v>
      </c>
      <c r="AE185" s="1">
        <v>2</v>
      </c>
      <c r="AG185" s="1" t="s">
        <v>21</v>
      </c>
      <c r="AH185" s="1" t="s">
        <v>919</v>
      </c>
      <c r="AI185" s="2">
        <v>296443.21999999997</v>
      </c>
    </row>
    <row r="186" spans="1:35" s="1" customFormat="1" ht="15" customHeight="1" x14ac:dyDescent="0.2">
      <c r="A186" s="1" t="s">
        <v>19</v>
      </c>
      <c r="B186" s="5" t="s">
        <v>18</v>
      </c>
      <c r="C186" s="1" t="s">
        <v>37</v>
      </c>
      <c r="D186" s="1" t="s">
        <v>211</v>
      </c>
      <c r="E186" s="1" t="s">
        <v>35</v>
      </c>
      <c r="F186" s="1" t="s">
        <v>637</v>
      </c>
      <c r="G186" s="1" t="s">
        <v>636</v>
      </c>
      <c r="H186" s="1" t="s">
        <v>258</v>
      </c>
      <c r="I186" s="1" t="s">
        <v>4384</v>
      </c>
      <c r="J186" s="1">
        <v>2023</v>
      </c>
      <c r="K186" s="1" t="s">
        <v>4383</v>
      </c>
      <c r="L186" s="44" t="s">
        <v>4382</v>
      </c>
      <c r="M186" s="1" t="s">
        <v>4381</v>
      </c>
      <c r="P186" s="1" t="s">
        <v>4380</v>
      </c>
      <c r="Q186" s="1" t="s">
        <v>771</v>
      </c>
      <c r="R186" s="1" t="s">
        <v>1060</v>
      </c>
      <c r="S186" s="1" t="s">
        <v>3988</v>
      </c>
      <c r="T186" s="1" t="s">
        <v>3987</v>
      </c>
      <c r="U186" s="1">
        <v>1</v>
      </c>
      <c r="V186" s="1" t="s">
        <v>771</v>
      </c>
      <c r="W186" s="1" t="s">
        <v>4379</v>
      </c>
      <c r="Y186" s="3">
        <v>45802</v>
      </c>
      <c r="Z186" s="1">
        <v>2025</v>
      </c>
      <c r="AA186" s="2">
        <v>801964.55</v>
      </c>
      <c r="AB186" s="2"/>
      <c r="AC186" s="2">
        <v>265000</v>
      </c>
      <c r="AD186" s="18">
        <v>3</v>
      </c>
      <c r="AE186" s="1">
        <v>0</v>
      </c>
      <c r="AG186" s="1" t="s">
        <v>21</v>
      </c>
      <c r="AH186" s="1" t="s">
        <v>919</v>
      </c>
      <c r="AI186" s="2">
        <v>265000</v>
      </c>
    </row>
    <row r="187" spans="1:35" s="1" customFormat="1" ht="15" customHeight="1" x14ac:dyDescent="0.2">
      <c r="A187" s="1" t="s">
        <v>19</v>
      </c>
      <c r="B187" s="5" t="s">
        <v>18</v>
      </c>
      <c r="C187" s="1" t="s">
        <v>37</v>
      </c>
      <c r="D187" s="1" t="s">
        <v>211</v>
      </c>
      <c r="E187" s="1" t="s">
        <v>35</v>
      </c>
      <c r="F187" s="1" t="s">
        <v>637</v>
      </c>
      <c r="G187" s="1" t="s">
        <v>636</v>
      </c>
      <c r="H187" s="1" t="s">
        <v>258</v>
      </c>
      <c r="I187" s="1" t="s">
        <v>4378</v>
      </c>
      <c r="J187" s="1">
        <v>2023</v>
      </c>
      <c r="K187" s="1" t="s">
        <v>4377</v>
      </c>
      <c r="L187" s="44" t="s">
        <v>4376</v>
      </c>
      <c r="M187" s="1" t="s">
        <v>4375</v>
      </c>
      <c r="P187" s="1" t="s">
        <v>4374</v>
      </c>
      <c r="Q187" s="1" t="s">
        <v>771</v>
      </c>
      <c r="R187" s="1" t="s">
        <v>1060</v>
      </c>
      <c r="S187" s="1" t="s">
        <v>3988</v>
      </c>
      <c r="T187" s="1" t="s">
        <v>3987</v>
      </c>
      <c r="U187" s="1">
        <v>1</v>
      </c>
      <c r="V187" s="1" t="s">
        <v>771</v>
      </c>
      <c r="W187" s="1" t="s">
        <v>4373</v>
      </c>
      <c r="Y187" s="3">
        <v>45802</v>
      </c>
      <c r="Z187" s="1">
        <v>2025</v>
      </c>
      <c r="AA187" s="2">
        <v>4889747.4000000004</v>
      </c>
      <c r="AB187" s="2"/>
      <c r="AC187" s="2">
        <v>495000</v>
      </c>
      <c r="AD187" s="18">
        <v>5</v>
      </c>
      <c r="AE187" s="1">
        <v>2</v>
      </c>
      <c r="AG187" s="1" t="s">
        <v>21</v>
      </c>
      <c r="AH187" s="1" t="s">
        <v>919</v>
      </c>
      <c r="AI187" s="2">
        <v>495000</v>
      </c>
    </row>
    <row r="188" spans="1:35" s="1" customFormat="1" ht="15" customHeight="1" x14ac:dyDescent="0.2">
      <c r="A188" s="1" t="s">
        <v>19</v>
      </c>
      <c r="B188" s="5" t="s">
        <v>18</v>
      </c>
      <c r="C188" s="1" t="s">
        <v>37</v>
      </c>
      <c r="D188" s="1" t="s">
        <v>211</v>
      </c>
      <c r="E188" s="1" t="s">
        <v>35</v>
      </c>
      <c r="F188" s="1" t="s">
        <v>637</v>
      </c>
      <c r="G188" s="1" t="s">
        <v>636</v>
      </c>
      <c r="H188" s="1" t="s">
        <v>258</v>
      </c>
      <c r="I188" s="1" t="s">
        <v>4372</v>
      </c>
      <c r="J188" s="1">
        <v>2023</v>
      </c>
      <c r="K188" s="1" t="s">
        <v>4371</v>
      </c>
      <c r="L188" s="1" t="s">
        <v>4371</v>
      </c>
      <c r="M188" s="1" t="s">
        <v>4370</v>
      </c>
      <c r="P188" s="1" t="s">
        <v>4320</v>
      </c>
      <c r="Q188" s="1" t="s">
        <v>771</v>
      </c>
      <c r="R188" s="1" t="s">
        <v>1060</v>
      </c>
      <c r="S188" s="1" t="s">
        <v>3956</v>
      </c>
      <c r="T188" s="1" t="s">
        <v>3955</v>
      </c>
      <c r="U188" s="1">
        <v>1</v>
      </c>
      <c r="V188" s="1" t="s">
        <v>771</v>
      </c>
      <c r="W188" s="1" t="s">
        <v>4369</v>
      </c>
      <c r="Y188" s="3">
        <v>45802</v>
      </c>
      <c r="Z188" s="1">
        <v>2025</v>
      </c>
      <c r="AA188" s="2">
        <v>1678500</v>
      </c>
      <c r="AB188" s="2"/>
      <c r="AC188" s="2">
        <v>345000</v>
      </c>
      <c r="AD188" s="18">
        <v>3</v>
      </c>
      <c r="AE188" s="1">
        <v>1</v>
      </c>
      <c r="AG188" s="1" t="s">
        <v>21</v>
      </c>
      <c r="AH188" s="1" t="s">
        <v>4368</v>
      </c>
      <c r="AI188" s="2">
        <v>345000</v>
      </c>
    </row>
    <row r="189" spans="1:35" s="1" customFormat="1" ht="15" customHeight="1" x14ac:dyDescent="0.2">
      <c r="A189" s="1" t="s">
        <v>19</v>
      </c>
      <c r="B189" s="5" t="s">
        <v>18</v>
      </c>
      <c r="C189" s="1" t="s">
        <v>37</v>
      </c>
      <c r="D189" s="1" t="s">
        <v>211</v>
      </c>
      <c r="E189" s="1" t="s">
        <v>35</v>
      </c>
      <c r="F189" s="1" t="s">
        <v>637</v>
      </c>
      <c r="G189" s="1" t="s">
        <v>636</v>
      </c>
      <c r="H189" s="1" t="s">
        <v>258</v>
      </c>
      <c r="I189" s="1" t="s">
        <v>4367</v>
      </c>
      <c r="J189" s="1">
        <v>2023</v>
      </c>
      <c r="K189" s="1" t="s">
        <v>4366</v>
      </c>
      <c r="L189" s="44" t="s">
        <v>4365</v>
      </c>
      <c r="M189" s="1" t="s">
        <v>4364</v>
      </c>
      <c r="P189" s="1" t="s">
        <v>4363</v>
      </c>
      <c r="Q189" s="1" t="s">
        <v>771</v>
      </c>
      <c r="R189" s="1" t="s">
        <v>1060</v>
      </c>
      <c r="S189" s="1" t="s">
        <v>4044</v>
      </c>
      <c r="T189" s="1" t="s">
        <v>4043</v>
      </c>
      <c r="U189" s="1">
        <v>1</v>
      </c>
      <c r="V189" s="1" t="s">
        <v>771</v>
      </c>
      <c r="W189" s="1" t="s">
        <v>4362</v>
      </c>
      <c r="Y189" s="3">
        <v>45802</v>
      </c>
      <c r="Z189" s="1">
        <v>2025</v>
      </c>
      <c r="AA189" s="2">
        <v>6124683</v>
      </c>
      <c r="AB189" s="2"/>
      <c r="AC189" s="2">
        <v>1335000</v>
      </c>
      <c r="AD189" s="18">
        <v>13</v>
      </c>
      <c r="AE189" s="1">
        <v>3</v>
      </c>
      <c r="AG189" s="1" t="s">
        <v>21</v>
      </c>
      <c r="AH189" s="1" t="s">
        <v>919</v>
      </c>
      <c r="AI189" s="2">
        <v>1335000</v>
      </c>
    </row>
    <row r="190" spans="1:35" s="1" customFormat="1" ht="15" customHeight="1" x14ac:dyDescent="0.2">
      <c r="A190" s="1" t="s">
        <v>19</v>
      </c>
      <c r="B190" s="5" t="s">
        <v>18</v>
      </c>
      <c r="C190" s="1" t="s">
        <v>37</v>
      </c>
      <c r="D190" s="1" t="s">
        <v>211</v>
      </c>
      <c r="E190" s="1" t="s">
        <v>35</v>
      </c>
      <c r="F190" s="1" t="s">
        <v>267</v>
      </c>
      <c r="G190" s="1" t="s">
        <v>266</v>
      </c>
      <c r="H190" s="1" t="s">
        <v>208</v>
      </c>
      <c r="I190" s="1" t="s">
        <v>4361</v>
      </c>
      <c r="J190" s="1">
        <v>2023</v>
      </c>
      <c r="K190" s="1" t="s">
        <v>4357</v>
      </c>
      <c r="L190" s="1" t="s">
        <v>4360</v>
      </c>
      <c r="N190" s="1" t="s">
        <v>4359</v>
      </c>
      <c r="P190" s="1" t="s">
        <v>4358</v>
      </c>
      <c r="Q190" s="1" t="s">
        <v>771</v>
      </c>
      <c r="R190" s="1" t="s">
        <v>1060</v>
      </c>
      <c r="S190" s="1" t="s">
        <v>3956</v>
      </c>
      <c r="T190" s="1" t="s">
        <v>3955</v>
      </c>
      <c r="U190" s="1">
        <v>1</v>
      </c>
      <c r="V190" s="1" t="s">
        <v>771</v>
      </c>
      <c r="W190" s="1" t="s">
        <v>4357</v>
      </c>
      <c r="Y190" s="3">
        <v>45462</v>
      </c>
      <c r="Z190" s="1">
        <v>2024</v>
      </c>
      <c r="AA190" s="2">
        <v>25279160.579999998</v>
      </c>
      <c r="AB190" s="2"/>
      <c r="AC190" s="2">
        <v>3000000</v>
      </c>
      <c r="AD190" s="1">
        <v>35</v>
      </c>
      <c r="AE190" s="1">
        <v>3</v>
      </c>
      <c r="AG190" s="1" t="s">
        <v>21</v>
      </c>
      <c r="AH190" s="1" t="s">
        <v>1115</v>
      </c>
      <c r="AI190" s="2">
        <v>3000000</v>
      </c>
    </row>
    <row r="191" spans="1:35" s="1" customFormat="1" ht="15" customHeight="1" x14ac:dyDescent="0.2">
      <c r="A191" s="1" t="s">
        <v>19</v>
      </c>
      <c r="B191" s="5" t="s">
        <v>109</v>
      </c>
      <c r="C191" s="1" t="s">
        <v>37</v>
      </c>
      <c r="D191" s="1" t="s">
        <v>211</v>
      </c>
      <c r="E191" s="1" t="s">
        <v>35</v>
      </c>
      <c r="F191" s="1" t="s">
        <v>267</v>
      </c>
      <c r="G191" s="1" t="s">
        <v>266</v>
      </c>
      <c r="H191" s="1" t="s">
        <v>130</v>
      </c>
      <c r="I191" s="1" t="s">
        <v>4356</v>
      </c>
      <c r="J191" s="1">
        <v>2023</v>
      </c>
      <c r="K191" s="1" t="s">
        <v>4351</v>
      </c>
      <c r="L191" s="1" t="s">
        <v>4355</v>
      </c>
      <c r="P191" s="1" t="s">
        <v>4354</v>
      </c>
      <c r="Q191" s="1" t="s">
        <v>771</v>
      </c>
      <c r="R191" s="1" t="s">
        <v>1060</v>
      </c>
      <c r="S191" s="1" t="s">
        <v>4353</v>
      </c>
      <c r="T191" s="1" t="s">
        <v>4352</v>
      </c>
      <c r="U191" s="1">
        <v>2</v>
      </c>
      <c r="V191" s="1" t="s">
        <v>771</v>
      </c>
      <c r="W191" s="1" t="s">
        <v>4351</v>
      </c>
      <c r="Y191" s="3">
        <v>45462</v>
      </c>
      <c r="Z191" s="1">
        <v>2024</v>
      </c>
      <c r="AA191" s="2">
        <v>2073154.79</v>
      </c>
      <c r="AB191" s="2"/>
      <c r="AC191" s="2">
        <v>387315.48</v>
      </c>
      <c r="AD191" s="1">
        <v>15</v>
      </c>
      <c r="AE191" s="1">
        <v>4</v>
      </c>
      <c r="AG191" s="1" t="s">
        <v>106</v>
      </c>
      <c r="AH191" s="1" t="s">
        <v>105</v>
      </c>
      <c r="AI191" s="2">
        <v>0</v>
      </c>
    </row>
    <row r="192" spans="1:35" s="1" customFormat="1" ht="15" customHeight="1" x14ac:dyDescent="0.2">
      <c r="A192" s="1" t="s">
        <v>19</v>
      </c>
      <c r="B192" s="5" t="s">
        <v>18</v>
      </c>
      <c r="C192" s="1" t="s">
        <v>37</v>
      </c>
      <c r="D192" s="1" t="s">
        <v>211</v>
      </c>
      <c r="E192" s="1" t="s">
        <v>35</v>
      </c>
      <c r="F192" s="1" t="s">
        <v>267</v>
      </c>
      <c r="G192" s="1" t="s">
        <v>266</v>
      </c>
      <c r="H192" s="1" t="s">
        <v>208</v>
      </c>
      <c r="I192" s="1" t="s">
        <v>4350</v>
      </c>
      <c r="J192" s="1">
        <v>2023</v>
      </c>
      <c r="K192" s="1" t="s">
        <v>4349</v>
      </c>
      <c r="L192" s="1" t="s">
        <v>4348</v>
      </c>
      <c r="N192" s="1" t="s">
        <v>4347</v>
      </c>
      <c r="P192" s="1" t="s">
        <v>4346</v>
      </c>
      <c r="Q192" s="1" t="s">
        <v>771</v>
      </c>
      <c r="R192" s="1" t="s">
        <v>1060</v>
      </c>
      <c r="S192" s="1" t="s">
        <v>4004</v>
      </c>
      <c r="T192" s="1" t="s">
        <v>4003</v>
      </c>
      <c r="U192" s="1">
        <v>2</v>
      </c>
      <c r="V192" s="1" t="s">
        <v>771</v>
      </c>
      <c r="W192" s="1" t="s">
        <v>4345</v>
      </c>
      <c r="Y192" s="3">
        <v>45462</v>
      </c>
      <c r="Z192" s="1">
        <v>2024</v>
      </c>
      <c r="AA192" s="2">
        <v>7722917.2300000004</v>
      </c>
      <c r="AB192" s="2"/>
      <c r="AC192" s="2">
        <v>1852083.45</v>
      </c>
      <c r="AD192" s="1">
        <v>41</v>
      </c>
      <c r="AG192" s="1" t="s">
        <v>21</v>
      </c>
      <c r="AH192" s="1" t="s">
        <v>919</v>
      </c>
      <c r="AI192" s="2">
        <v>1852083.45</v>
      </c>
    </row>
    <row r="193" spans="1:35" s="1" customFormat="1" ht="15" customHeight="1" x14ac:dyDescent="0.2">
      <c r="A193" s="1" t="s">
        <v>19</v>
      </c>
      <c r="B193" s="5" t="s">
        <v>109</v>
      </c>
      <c r="C193" s="1" t="s">
        <v>37</v>
      </c>
      <c r="D193" s="1" t="s">
        <v>211</v>
      </c>
      <c r="E193" s="1" t="s">
        <v>35</v>
      </c>
      <c r="F193" s="1" t="s">
        <v>267</v>
      </c>
      <c r="G193" s="1" t="s">
        <v>266</v>
      </c>
      <c r="H193" s="1" t="s">
        <v>208</v>
      </c>
      <c r="I193" s="1" t="s">
        <v>4344</v>
      </c>
      <c r="J193" s="1">
        <v>2023</v>
      </c>
      <c r="K193" s="1" t="s">
        <v>4340</v>
      </c>
      <c r="L193" s="1" t="s">
        <v>4343</v>
      </c>
      <c r="N193" s="1" t="s">
        <v>4342</v>
      </c>
      <c r="P193" s="1" t="s">
        <v>4341</v>
      </c>
      <c r="Q193" s="1" t="s">
        <v>771</v>
      </c>
      <c r="R193" s="1" t="s">
        <v>1060</v>
      </c>
      <c r="S193" s="1" t="s">
        <v>4052</v>
      </c>
      <c r="T193" s="1" t="s">
        <v>4051</v>
      </c>
      <c r="U193" s="1">
        <v>1</v>
      </c>
      <c r="V193" s="1" t="s">
        <v>771</v>
      </c>
      <c r="W193" s="1" t="s">
        <v>4340</v>
      </c>
      <c r="Y193" s="3">
        <v>45462</v>
      </c>
      <c r="Z193" s="1">
        <v>2024</v>
      </c>
      <c r="AA193" s="2">
        <v>355104</v>
      </c>
      <c r="AB193" s="2"/>
      <c r="AC193" s="2">
        <v>116020.8</v>
      </c>
      <c r="AD193" s="1">
        <v>3</v>
      </c>
      <c r="AE193" s="1">
        <v>2</v>
      </c>
      <c r="AG193" s="1" t="s">
        <v>106</v>
      </c>
      <c r="AH193" s="1" t="s">
        <v>105</v>
      </c>
      <c r="AI193" s="2">
        <v>0</v>
      </c>
    </row>
    <row r="194" spans="1:35" s="1" customFormat="1" ht="15" customHeight="1" x14ac:dyDescent="0.2">
      <c r="A194" s="1" t="s">
        <v>19</v>
      </c>
      <c r="B194" s="5" t="s">
        <v>109</v>
      </c>
      <c r="C194" s="1" t="s">
        <v>37</v>
      </c>
      <c r="D194" s="1" t="s">
        <v>211</v>
      </c>
      <c r="E194" s="1" t="s">
        <v>35</v>
      </c>
      <c r="F194" s="1" t="s">
        <v>267</v>
      </c>
      <c r="G194" s="1" t="s">
        <v>266</v>
      </c>
      <c r="H194" s="1" t="s">
        <v>130</v>
      </c>
      <c r="I194" s="1" t="s">
        <v>4339</v>
      </c>
      <c r="J194" s="1">
        <v>2023</v>
      </c>
      <c r="K194" s="1" t="s">
        <v>4338</v>
      </c>
      <c r="L194" s="1" t="s">
        <v>4337</v>
      </c>
      <c r="P194" s="1" t="s">
        <v>4336</v>
      </c>
      <c r="Q194" s="1" t="s">
        <v>771</v>
      </c>
      <c r="R194" s="1" t="s">
        <v>1060</v>
      </c>
      <c r="S194" s="1" t="s">
        <v>4093</v>
      </c>
      <c r="T194" s="1" t="s">
        <v>4092</v>
      </c>
      <c r="U194" s="1">
        <v>1</v>
      </c>
      <c r="V194" s="1" t="s">
        <v>771</v>
      </c>
      <c r="W194" s="1" t="s">
        <v>4335</v>
      </c>
      <c r="Y194" s="3">
        <v>45462</v>
      </c>
      <c r="Z194" s="1">
        <v>2024</v>
      </c>
      <c r="AA194" s="2">
        <v>3651748</v>
      </c>
      <c r="AB194" s="2"/>
      <c r="AC194" s="2">
        <v>590174.80000000005</v>
      </c>
      <c r="AD194" s="1">
        <v>15</v>
      </c>
      <c r="AE194" s="1">
        <v>6</v>
      </c>
      <c r="AG194" s="1" t="s">
        <v>106</v>
      </c>
      <c r="AH194" s="1" t="s">
        <v>105</v>
      </c>
      <c r="AI194" s="2">
        <v>0</v>
      </c>
    </row>
    <row r="195" spans="1:35" s="1" customFormat="1" ht="15" customHeight="1" x14ac:dyDescent="0.2">
      <c r="A195" s="1" t="s">
        <v>19</v>
      </c>
      <c r="B195" s="5" t="s">
        <v>18</v>
      </c>
      <c r="C195" s="1" t="s">
        <v>37</v>
      </c>
      <c r="D195" s="1" t="s">
        <v>211</v>
      </c>
      <c r="E195" s="1" t="s">
        <v>35</v>
      </c>
      <c r="F195" s="1" t="s">
        <v>267</v>
      </c>
      <c r="G195" s="1" t="s">
        <v>266</v>
      </c>
      <c r="H195" s="1" t="s">
        <v>130</v>
      </c>
      <c r="I195" s="1" t="s">
        <v>4334</v>
      </c>
      <c r="J195" s="1">
        <v>2023</v>
      </c>
      <c r="K195" s="1" t="s">
        <v>4333</v>
      </c>
      <c r="L195" s="1" t="s">
        <v>4332</v>
      </c>
      <c r="N195" s="1" t="s">
        <v>4331</v>
      </c>
      <c r="P195" s="1" t="s">
        <v>4330</v>
      </c>
      <c r="Q195" s="1" t="s">
        <v>771</v>
      </c>
      <c r="R195" s="1" t="s">
        <v>1060</v>
      </c>
      <c r="S195" s="1" t="s">
        <v>4251</v>
      </c>
      <c r="T195" s="1" t="s">
        <v>4250</v>
      </c>
      <c r="V195" s="1" t="s">
        <v>771</v>
      </c>
      <c r="W195" s="1" t="s">
        <v>4329</v>
      </c>
      <c r="Y195" s="3">
        <v>45462</v>
      </c>
      <c r="Z195" s="1">
        <v>2024</v>
      </c>
      <c r="AA195" s="2">
        <v>6011615.5599999996</v>
      </c>
      <c r="AB195" s="2"/>
      <c r="AC195" s="2">
        <v>1202323.1100000001</v>
      </c>
      <c r="AD195" s="1">
        <v>60</v>
      </c>
      <c r="AE195" s="1">
        <v>18</v>
      </c>
      <c r="AG195" s="1" t="s">
        <v>21</v>
      </c>
      <c r="AH195" s="1" t="s">
        <v>919</v>
      </c>
      <c r="AI195" s="2">
        <v>1202323.1100000001</v>
      </c>
    </row>
    <row r="196" spans="1:35" s="1" customFormat="1" ht="15" customHeight="1" x14ac:dyDescent="0.2">
      <c r="A196" s="1" t="s">
        <v>19</v>
      </c>
      <c r="B196" s="5" t="s">
        <v>18</v>
      </c>
      <c r="C196" s="1" t="s">
        <v>37</v>
      </c>
      <c r="D196" s="1" t="s">
        <v>211</v>
      </c>
      <c r="E196" s="1" t="s">
        <v>35</v>
      </c>
      <c r="F196" s="1" t="s">
        <v>267</v>
      </c>
      <c r="G196" s="1" t="s">
        <v>266</v>
      </c>
      <c r="H196" s="1" t="s">
        <v>208</v>
      </c>
      <c r="I196" s="1" t="s">
        <v>4328</v>
      </c>
      <c r="J196" s="1">
        <v>2023</v>
      </c>
      <c r="K196" s="1" t="s">
        <v>4327</v>
      </c>
      <c r="L196" s="1" t="s">
        <v>4326</v>
      </c>
      <c r="P196" s="1" t="s">
        <v>4223</v>
      </c>
      <c r="Q196" s="1" t="s">
        <v>771</v>
      </c>
      <c r="R196" s="1" t="s">
        <v>1060</v>
      </c>
      <c r="S196" s="1" t="s">
        <v>4325</v>
      </c>
      <c r="T196" s="1" t="s">
        <v>4324</v>
      </c>
      <c r="U196" s="1">
        <v>2</v>
      </c>
      <c r="V196" s="1" t="s">
        <v>771</v>
      </c>
      <c r="W196" s="1" t="s">
        <v>4323</v>
      </c>
      <c r="Y196" s="3">
        <v>45462</v>
      </c>
      <c r="Z196" s="1">
        <v>2024</v>
      </c>
      <c r="AA196" s="2">
        <v>318162.36</v>
      </c>
      <c r="AB196" s="2"/>
      <c r="AC196" s="2">
        <v>108632.47</v>
      </c>
      <c r="AD196" s="1">
        <v>3</v>
      </c>
      <c r="AE196" s="1">
        <v>3</v>
      </c>
      <c r="AG196" s="1" t="s">
        <v>21</v>
      </c>
      <c r="AH196" s="1" t="s">
        <v>919</v>
      </c>
      <c r="AI196" s="2">
        <v>108632.47</v>
      </c>
    </row>
    <row r="197" spans="1:35" s="1" customFormat="1" ht="15" customHeight="1" x14ac:dyDescent="0.2">
      <c r="A197" s="1" t="s">
        <v>19</v>
      </c>
      <c r="B197" s="5" t="s">
        <v>18</v>
      </c>
      <c r="C197" s="1" t="s">
        <v>37</v>
      </c>
      <c r="D197" s="1" t="s">
        <v>211</v>
      </c>
      <c r="E197" s="1" t="s">
        <v>35</v>
      </c>
      <c r="F197" s="1" t="s">
        <v>267</v>
      </c>
      <c r="G197" s="1" t="s">
        <v>266</v>
      </c>
      <c r="H197" s="1" t="s">
        <v>208</v>
      </c>
      <c r="I197" s="1" t="s">
        <v>4322</v>
      </c>
      <c r="J197" s="1">
        <v>2023</v>
      </c>
      <c r="K197" s="1" t="s">
        <v>4319</v>
      </c>
      <c r="L197" s="1" t="s">
        <v>4321</v>
      </c>
      <c r="P197" s="1" t="s">
        <v>4320</v>
      </c>
      <c r="Q197" s="1" t="s">
        <v>771</v>
      </c>
      <c r="R197" s="1" t="s">
        <v>1060</v>
      </c>
      <c r="S197" s="1" t="s">
        <v>3956</v>
      </c>
      <c r="T197" s="1" t="s">
        <v>3955</v>
      </c>
      <c r="U197" s="1">
        <v>1</v>
      </c>
      <c r="V197" s="1" t="s">
        <v>771</v>
      </c>
      <c r="W197" s="1" t="s">
        <v>4319</v>
      </c>
      <c r="Y197" s="3">
        <v>45462</v>
      </c>
      <c r="Z197" s="1">
        <v>2024</v>
      </c>
      <c r="AA197" s="2">
        <v>1275000</v>
      </c>
      <c r="AB197" s="2"/>
      <c r="AC197" s="2">
        <v>360000</v>
      </c>
      <c r="AD197" s="1">
        <v>7</v>
      </c>
      <c r="AE197" s="1">
        <v>1</v>
      </c>
      <c r="AG197" s="1" t="s">
        <v>21</v>
      </c>
      <c r="AH197" s="1" t="s">
        <v>4318</v>
      </c>
      <c r="AI197" s="2">
        <v>360000</v>
      </c>
    </row>
    <row r="198" spans="1:35" s="1" customFormat="1" ht="15" customHeight="1" x14ac:dyDescent="0.2">
      <c r="A198" s="1" t="s">
        <v>19</v>
      </c>
      <c r="B198" s="5" t="s">
        <v>109</v>
      </c>
      <c r="C198" s="1" t="s">
        <v>37</v>
      </c>
      <c r="D198" s="1" t="s">
        <v>211</v>
      </c>
      <c r="E198" s="1" t="s">
        <v>35</v>
      </c>
      <c r="F198" s="1" t="s">
        <v>267</v>
      </c>
      <c r="G198" s="1" t="s">
        <v>266</v>
      </c>
      <c r="H198" s="1" t="s">
        <v>208</v>
      </c>
      <c r="I198" s="1" t="s">
        <v>4317</v>
      </c>
      <c r="J198" s="1">
        <v>2023</v>
      </c>
      <c r="K198" s="1" t="s">
        <v>4315</v>
      </c>
      <c r="P198" s="1" t="s">
        <v>4316</v>
      </c>
      <c r="Q198" s="1" t="s">
        <v>771</v>
      </c>
      <c r="R198" s="1" t="s">
        <v>1060</v>
      </c>
      <c r="S198" s="1" t="s">
        <v>3988</v>
      </c>
      <c r="T198" s="1" t="s">
        <v>3987</v>
      </c>
      <c r="U198" s="1">
        <v>1</v>
      </c>
      <c r="V198" s="1" t="s">
        <v>771</v>
      </c>
      <c r="W198" s="1" t="s">
        <v>4315</v>
      </c>
      <c r="Y198" s="3">
        <v>45462</v>
      </c>
      <c r="Z198" s="1">
        <v>2024</v>
      </c>
      <c r="AA198" s="2">
        <v>9024275.0800000001</v>
      </c>
      <c r="AB198" s="2"/>
      <c r="AC198" s="2">
        <v>2322355.02</v>
      </c>
      <c r="AD198" s="1">
        <v>44</v>
      </c>
      <c r="AE198" s="1">
        <v>10</v>
      </c>
      <c r="AG198" s="1" t="s">
        <v>106</v>
      </c>
      <c r="AH198" s="1" t="s">
        <v>105</v>
      </c>
      <c r="AI198" s="2">
        <v>0</v>
      </c>
    </row>
    <row r="199" spans="1:35" s="1" customFormat="1" ht="15" customHeight="1" x14ac:dyDescent="0.2">
      <c r="A199" s="1" t="s">
        <v>19</v>
      </c>
      <c r="B199" s="5" t="s">
        <v>18</v>
      </c>
      <c r="C199" s="1" t="s">
        <v>37</v>
      </c>
      <c r="D199" s="1" t="s">
        <v>211</v>
      </c>
      <c r="E199" s="1" t="s">
        <v>35</v>
      </c>
      <c r="F199" s="1" t="s">
        <v>260</v>
      </c>
      <c r="G199" s="1" t="s">
        <v>259</v>
      </c>
      <c r="H199" s="1" t="s">
        <v>258</v>
      </c>
      <c r="I199" s="1" t="s">
        <v>4314</v>
      </c>
      <c r="J199" s="1">
        <v>2023</v>
      </c>
      <c r="K199" s="1" t="s">
        <v>955</v>
      </c>
      <c r="L199" s="44" t="s">
        <v>4313</v>
      </c>
      <c r="M199" s="1" t="s">
        <v>4312</v>
      </c>
      <c r="P199" s="1" t="s">
        <v>4311</v>
      </c>
      <c r="Q199" s="1" t="s">
        <v>771</v>
      </c>
      <c r="R199" s="1" t="s">
        <v>1060</v>
      </c>
      <c r="S199" s="1" t="s">
        <v>4044</v>
      </c>
      <c r="T199" s="2" t="s">
        <v>4043</v>
      </c>
      <c r="U199" s="1">
        <v>1</v>
      </c>
      <c r="V199" s="1" t="s">
        <v>771</v>
      </c>
      <c r="W199" s="1" t="s">
        <v>4310</v>
      </c>
      <c r="Y199" s="3">
        <v>45802</v>
      </c>
      <c r="Z199" s="1">
        <v>2025</v>
      </c>
      <c r="AA199" s="16">
        <v>306719</v>
      </c>
      <c r="AB199" s="2"/>
      <c r="AC199" s="16">
        <v>122687.6</v>
      </c>
      <c r="AD199" s="1">
        <v>0</v>
      </c>
      <c r="AE199" s="1">
        <v>0</v>
      </c>
      <c r="AG199" s="1" t="s">
        <v>21</v>
      </c>
      <c r="AH199" s="1" t="s">
        <v>919</v>
      </c>
      <c r="AI199" s="15">
        <v>122687.6</v>
      </c>
    </row>
    <row r="200" spans="1:35" s="1" customFormat="1" ht="15" customHeight="1" x14ac:dyDescent="0.2">
      <c r="A200" s="1" t="s">
        <v>19</v>
      </c>
      <c r="B200" s="5" t="s">
        <v>18</v>
      </c>
      <c r="C200" s="1" t="s">
        <v>37</v>
      </c>
      <c r="D200" s="1" t="s">
        <v>211</v>
      </c>
      <c r="E200" s="1" t="s">
        <v>35</v>
      </c>
      <c r="F200" s="1" t="s">
        <v>260</v>
      </c>
      <c r="G200" s="1" t="s">
        <v>259</v>
      </c>
      <c r="H200" s="1" t="s">
        <v>258</v>
      </c>
      <c r="I200" s="1" t="s">
        <v>4309</v>
      </c>
      <c r="J200" s="1">
        <v>2023</v>
      </c>
      <c r="K200" s="1" t="s">
        <v>4308</v>
      </c>
      <c r="L200" s="44" t="s">
        <v>4307</v>
      </c>
      <c r="M200" s="1" t="s">
        <v>0</v>
      </c>
      <c r="P200" s="1" t="s">
        <v>4306</v>
      </c>
      <c r="Q200" s="1" t="s">
        <v>771</v>
      </c>
      <c r="R200" s="1" t="s">
        <v>1060</v>
      </c>
      <c r="S200" s="1" t="s">
        <v>3956</v>
      </c>
      <c r="T200" s="2" t="s">
        <v>3955</v>
      </c>
      <c r="U200" s="1">
        <v>1</v>
      </c>
      <c r="V200" s="1" t="s">
        <v>771</v>
      </c>
      <c r="W200" s="1" t="s">
        <v>4305</v>
      </c>
      <c r="Y200" s="3">
        <v>45802</v>
      </c>
      <c r="Z200" s="1">
        <v>2025</v>
      </c>
      <c r="AA200" s="16">
        <v>194155.47</v>
      </c>
      <c r="AB200" s="2"/>
      <c r="AC200" s="16">
        <v>75000</v>
      </c>
      <c r="AD200" s="1">
        <v>1</v>
      </c>
      <c r="AE200" s="1">
        <v>0</v>
      </c>
      <c r="AG200" s="1" t="s">
        <v>21</v>
      </c>
      <c r="AH200" s="1" t="s">
        <v>919</v>
      </c>
      <c r="AI200" s="15">
        <v>75000</v>
      </c>
    </row>
    <row r="201" spans="1:35" s="1" customFormat="1" ht="15" customHeight="1" x14ac:dyDescent="0.2">
      <c r="A201" s="1" t="s">
        <v>19</v>
      </c>
      <c r="B201" s="5" t="s">
        <v>18</v>
      </c>
      <c r="C201" s="1" t="s">
        <v>37</v>
      </c>
      <c r="D201" s="1" t="s">
        <v>211</v>
      </c>
      <c r="E201" s="1" t="s">
        <v>35</v>
      </c>
      <c r="F201" s="1" t="s">
        <v>260</v>
      </c>
      <c r="G201" s="1" t="s">
        <v>259</v>
      </c>
      <c r="H201" s="1" t="s">
        <v>258</v>
      </c>
      <c r="I201" s="1" t="s">
        <v>4304</v>
      </c>
      <c r="J201" s="1">
        <v>2023</v>
      </c>
      <c r="K201" s="1" t="s">
        <v>4303</v>
      </c>
      <c r="L201" s="44" t="s">
        <v>4302</v>
      </c>
      <c r="M201" s="1" t="s">
        <v>0</v>
      </c>
      <c r="P201" s="1" t="s">
        <v>4301</v>
      </c>
      <c r="Q201" s="1" t="s">
        <v>771</v>
      </c>
      <c r="R201" s="1" t="s">
        <v>1060</v>
      </c>
      <c r="S201" s="1" t="s">
        <v>3981</v>
      </c>
      <c r="T201" s="2" t="s">
        <v>3980</v>
      </c>
      <c r="U201" s="1">
        <v>1</v>
      </c>
      <c r="V201" s="1" t="s">
        <v>771</v>
      </c>
      <c r="W201" s="1" t="s">
        <v>4300</v>
      </c>
      <c r="Y201" s="3">
        <v>45802</v>
      </c>
      <c r="Z201" s="1">
        <v>2025</v>
      </c>
      <c r="AA201" s="16">
        <v>254377.21</v>
      </c>
      <c r="AB201" s="2"/>
      <c r="AC201" s="16">
        <v>101750.88</v>
      </c>
      <c r="AD201" s="1">
        <v>4</v>
      </c>
      <c r="AE201" s="1">
        <v>2</v>
      </c>
      <c r="AG201" s="1" t="s">
        <v>21</v>
      </c>
      <c r="AH201" s="1" t="s">
        <v>919</v>
      </c>
      <c r="AI201" s="15">
        <v>101750.88</v>
      </c>
    </row>
    <row r="202" spans="1:35" s="1" customFormat="1" ht="15" customHeight="1" x14ac:dyDescent="0.2">
      <c r="A202" s="1" t="s">
        <v>19</v>
      </c>
      <c r="B202" s="5" t="s">
        <v>18</v>
      </c>
      <c r="C202" s="1" t="s">
        <v>37</v>
      </c>
      <c r="D202" s="1" t="s">
        <v>211</v>
      </c>
      <c r="E202" s="1" t="s">
        <v>35</v>
      </c>
      <c r="F202" s="1" t="s">
        <v>260</v>
      </c>
      <c r="G202" s="1" t="s">
        <v>259</v>
      </c>
      <c r="H202" s="1" t="s">
        <v>258</v>
      </c>
      <c r="I202" s="1" t="s">
        <v>4299</v>
      </c>
      <c r="J202" s="1">
        <v>2023</v>
      </c>
      <c r="K202" s="1" t="s">
        <v>4298</v>
      </c>
      <c r="L202" s="1" t="s">
        <v>4298</v>
      </c>
      <c r="M202" s="1" t="s">
        <v>0</v>
      </c>
      <c r="P202" s="1" t="s">
        <v>4297</v>
      </c>
      <c r="Q202" s="1" t="s">
        <v>771</v>
      </c>
      <c r="R202" s="1" t="s">
        <v>1060</v>
      </c>
      <c r="S202" s="1" t="s">
        <v>3981</v>
      </c>
      <c r="T202" s="2" t="s">
        <v>3980</v>
      </c>
      <c r="U202" s="1">
        <v>1</v>
      </c>
      <c r="V202" s="1" t="s">
        <v>771</v>
      </c>
      <c r="W202" s="1" t="s">
        <v>4296</v>
      </c>
      <c r="Y202" s="3">
        <v>45802</v>
      </c>
      <c r="Z202" s="1">
        <v>2025</v>
      </c>
      <c r="AA202" s="16">
        <v>35504.93</v>
      </c>
      <c r="AB202" s="2"/>
      <c r="AC202" s="16">
        <v>14201.97</v>
      </c>
      <c r="AD202" s="1">
        <v>2</v>
      </c>
      <c r="AE202" s="1">
        <v>1</v>
      </c>
      <c r="AG202" s="1" t="s">
        <v>21</v>
      </c>
      <c r="AH202" s="1" t="s">
        <v>919</v>
      </c>
      <c r="AI202" s="15">
        <v>14201.97</v>
      </c>
    </row>
    <row r="203" spans="1:35" s="1" customFormat="1" ht="15" customHeight="1" x14ac:dyDescent="0.2">
      <c r="A203" s="1" t="s">
        <v>19</v>
      </c>
      <c r="B203" s="5" t="s">
        <v>18</v>
      </c>
      <c r="C203" s="1" t="s">
        <v>37</v>
      </c>
      <c r="D203" s="1" t="s">
        <v>211</v>
      </c>
      <c r="E203" s="1" t="s">
        <v>35</v>
      </c>
      <c r="F203" s="1" t="s">
        <v>260</v>
      </c>
      <c r="G203" s="1" t="s">
        <v>259</v>
      </c>
      <c r="H203" s="1" t="s">
        <v>258</v>
      </c>
      <c r="I203" s="1" t="s">
        <v>4295</v>
      </c>
      <c r="J203" s="1">
        <v>2023</v>
      </c>
      <c r="K203" s="1" t="s">
        <v>4294</v>
      </c>
      <c r="L203" s="44" t="s">
        <v>4293</v>
      </c>
      <c r="M203" s="1" t="s">
        <v>4292</v>
      </c>
      <c r="P203" s="1" t="s">
        <v>4278</v>
      </c>
      <c r="Q203" s="1" t="s">
        <v>771</v>
      </c>
      <c r="R203" s="1" t="s">
        <v>1060</v>
      </c>
      <c r="S203" s="1" t="s">
        <v>3956</v>
      </c>
      <c r="T203" s="2" t="s">
        <v>3955</v>
      </c>
      <c r="U203" s="1">
        <v>1</v>
      </c>
      <c r="V203" s="1" t="s">
        <v>771</v>
      </c>
      <c r="W203" s="1" t="s">
        <v>4291</v>
      </c>
      <c r="Y203" s="3">
        <v>45802</v>
      </c>
      <c r="Z203" s="1">
        <v>2025</v>
      </c>
      <c r="AA203" s="16">
        <v>52207.21</v>
      </c>
      <c r="AB203" s="2"/>
      <c r="AC203" s="16">
        <v>20882.88</v>
      </c>
      <c r="AD203" s="1">
        <v>0</v>
      </c>
      <c r="AE203" s="1">
        <v>0</v>
      </c>
      <c r="AG203" s="1" t="s">
        <v>21</v>
      </c>
      <c r="AH203" s="1" t="s">
        <v>919</v>
      </c>
      <c r="AI203" s="15">
        <v>20882.88</v>
      </c>
    </row>
    <row r="204" spans="1:35" s="1" customFormat="1" ht="15" customHeight="1" x14ac:dyDescent="0.2">
      <c r="A204" s="1" t="s">
        <v>19</v>
      </c>
      <c r="B204" s="5" t="s">
        <v>18</v>
      </c>
      <c r="C204" s="1" t="s">
        <v>37</v>
      </c>
      <c r="D204" s="1" t="s">
        <v>211</v>
      </c>
      <c r="E204" s="1" t="s">
        <v>35</v>
      </c>
      <c r="F204" s="1" t="s">
        <v>260</v>
      </c>
      <c r="G204" s="1" t="s">
        <v>259</v>
      </c>
      <c r="H204" s="1" t="s">
        <v>258</v>
      </c>
      <c r="I204" s="1" t="s">
        <v>4290</v>
      </c>
      <c r="J204" s="1">
        <v>2023</v>
      </c>
      <c r="K204" s="1" t="s">
        <v>4289</v>
      </c>
      <c r="L204" s="1" t="s">
        <v>4289</v>
      </c>
      <c r="M204" s="1" t="s">
        <v>4288</v>
      </c>
      <c r="P204" s="1" t="s">
        <v>4287</v>
      </c>
      <c r="Q204" s="1" t="s">
        <v>771</v>
      </c>
      <c r="R204" s="1" t="s">
        <v>1060</v>
      </c>
      <c r="S204" s="1" t="s">
        <v>4044</v>
      </c>
      <c r="T204" s="2" t="s">
        <v>4043</v>
      </c>
      <c r="U204" s="1">
        <v>1</v>
      </c>
      <c r="V204" s="1" t="s">
        <v>771</v>
      </c>
      <c r="W204" s="1" t="s">
        <v>4286</v>
      </c>
      <c r="Y204" s="3">
        <v>45802</v>
      </c>
      <c r="Z204" s="1">
        <v>2025</v>
      </c>
      <c r="AA204" s="16">
        <v>457617.16</v>
      </c>
      <c r="AB204" s="2"/>
      <c r="AC204" s="16">
        <v>137285.15</v>
      </c>
      <c r="AD204" s="1">
        <v>2</v>
      </c>
      <c r="AE204" s="1">
        <v>0</v>
      </c>
      <c r="AG204" s="1" t="s">
        <v>21</v>
      </c>
      <c r="AH204" s="1" t="s">
        <v>919</v>
      </c>
      <c r="AI204" s="15">
        <v>137285.15</v>
      </c>
    </row>
    <row r="205" spans="1:35" s="1" customFormat="1" ht="15" customHeight="1" x14ac:dyDescent="0.2">
      <c r="A205" s="1" t="s">
        <v>19</v>
      </c>
      <c r="B205" s="5" t="s">
        <v>18</v>
      </c>
      <c r="C205" s="1" t="s">
        <v>37</v>
      </c>
      <c r="D205" s="1" t="s">
        <v>211</v>
      </c>
      <c r="E205" s="1" t="s">
        <v>35</v>
      </c>
      <c r="F205" s="1" t="s">
        <v>210</v>
      </c>
      <c r="G205" s="1" t="s">
        <v>209</v>
      </c>
      <c r="H205" s="1" t="s">
        <v>208</v>
      </c>
      <c r="I205" s="1" t="s">
        <v>4285</v>
      </c>
      <c r="J205" s="1">
        <v>2023</v>
      </c>
      <c r="K205" s="1" t="s">
        <v>4282</v>
      </c>
      <c r="L205" s="1" t="s">
        <v>4284</v>
      </c>
      <c r="P205" s="1" t="s">
        <v>4283</v>
      </c>
      <c r="Q205" s="1" t="s">
        <v>771</v>
      </c>
      <c r="R205" s="1" t="s">
        <v>1060</v>
      </c>
      <c r="S205" s="1" t="s">
        <v>3981</v>
      </c>
      <c r="T205" s="1" t="s">
        <v>3980</v>
      </c>
      <c r="U205" s="1">
        <v>1</v>
      </c>
      <c r="V205" s="1" t="s">
        <v>771</v>
      </c>
      <c r="W205" s="1" t="s">
        <v>4282</v>
      </c>
      <c r="Y205" s="3">
        <v>45478</v>
      </c>
      <c r="Z205" s="1">
        <v>2024</v>
      </c>
      <c r="AA205" s="2">
        <v>182791.06</v>
      </c>
      <c r="AB205" s="2"/>
      <c r="AC205" s="2">
        <v>45697.77</v>
      </c>
      <c r="AD205" s="1">
        <v>0</v>
      </c>
      <c r="AG205" s="1" t="s">
        <v>21</v>
      </c>
      <c r="AH205" s="1" t="s">
        <v>919</v>
      </c>
      <c r="AI205" s="2">
        <v>45697.77</v>
      </c>
    </row>
    <row r="206" spans="1:35" s="1" customFormat="1" ht="15" customHeight="1" x14ac:dyDescent="0.2">
      <c r="A206" s="1" t="s">
        <v>19</v>
      </c>
      <c r="B206" s="5" t="s">
        <v>18</v>
      </c>
      <c r="C206" s="1" t="s">
        <v>37</v>
      </c>
      <c r="D206" s="1" t="s">
        <v>211</v>
      </c>
      <c r="E206" s="1" t="s">
        <v>35</v>
      </c>
      <c r="F206" s="1" t="s">
        <v>210</v>
      </c>
      <c r="G206" s="1" t="s">
        <v>209</v>
      </c>
      <c r="H206" s="1" t="s">
        <v>208</v>
      </c>
      <c r="I206" s="1" t="s">
        <v>4281</v>
      </c>
      <c r="J206" s="1">
        <v>2023</v>
      </c>
      <c r="K206" s="1" t="s">
        <v>4277</v>
      </c>
      <c r="L206" s="1" t="s">
        <v>4280</v>
      </c>
      <c r="N206" s="1" t="s">
        <v>4279</v>
      </c>
      <c r="P206" s="1" t="s">
        <v>4278</v>
      </c>
      <c r="Q206" s="1" t="s">
        <v>771</v>
      </c>
      <c r="R206" s="1" t="s">
        <v>1060</v>
      </c>
      <c r="S206" s="1" t="s">
        <v>3956</v>
      </c>
      <c r="T206" s="1" t="s">
        <v>3955</v>
      </c>
      <c r="U206" s="1">
        <v>1</v>
      </c>
      <c r="V206" s="1" t="s">
        <v>771</v>
      </c>
      <c r="W206" s="1" t="s">
        <v>4277</v>
      </c>
      <c r="Y206" s="3">
        <v>45478</v>
      </c>
      <c r="Z206" s="1">
        <v>2024</v>
      </c>
      <c r="AA206" s="2">
        <v>80059.48</v>
      </c>
      <c r="AB206" s="2"/>
      <c r="AC206" s="2">
        <v>40029.74</v>
      </c>
      <c r="AD206" s="1">
        <v>2</v>
      </c>
      <c r="AE206" s="1">
        <v>2</v>
      </c>
      <c r="AG206" s="1" t="s">
        <v>21</v>
      </c>
      <c r="AH206" s="1" t="s">
        <v>1115</v>
      </c>
      <c r="AI206" s="2">
        <v>40029.74</v>
      </c>
    </row>
    <row r="207" spans="1:35" s="1" customFormat="1" ht="15" customHeight="1" x14ac:dyDescent="0.2">
      <c r="A207" s="1" t="s">
        <v>19</v>
      </c>
      <c r="B207" s="5" t="s">
        <v>18</v>
      </c>
      <c r="C207" s="1" t="s">
        <v>37</v>
      </c>
      <c r="D207" s="1" t="s">
        <v>211</v>
      </c>
      <c r="E207" s="1" t="s">
        <v>35</v>
      </c>
      <c r="F207" s="1" t="s">
        <v>210</v>
      </c>
      <c r="G207" s="1" t="s">
        <v>209</v>
      </c>
      <c r="H207" s="1" t="s">
        <v>208</v>
      </c>
      <c r="I207" s="1" t="s">
        <v>4276</v>
      </c>
      <c r="J207" s="1">
        <v>2023</v>
      </c>
      <c r="K207" s="1" t="s">
        <v>4272</v>
      </c>
      <c r="L207" s="1" t="s">
        <v>4275</v>
      </c>
      <c r="N207" s="1" t="s">
        <v>4274</v>
      </c>
      <c r="P207" s="1" t="s">
        <v>4273</v>
      </c>
      <c r="Q207" s="1" t="s">
        <v>3974</v>
      </c>
      <c r="R207" s="1" t="s">
        <v>3973</v>
      </c>
      <c r="S207" s="1" t="s">
        <v>3972</v>
      </c>
      <c r="T207" s="1" t="s">
        <v>3971</v>
      </c>
      <c r="U207" s="1">
        <v>2</v>
      </c>
      <c r="V207" s="1" t="s">
        <v>771</v>
      </c>
      <c r="W207" s="1" t="s">
        <v>4272</v>
      </c>
      <c r="Y207" s="3">
        <v>45478</v>
      </c>
      <c r="Z207" s="1">
        <v>2024</v>
      </c>
      <c r="AA207" s="2">
        <v>47542.31</v>
      </c>
      <c r="AB207" s="2"/>
      <c r="AC207" s="2">
        <v>23771.15</v>
      </c>
      <c r="AD207" s="1">
        <v>1</v>
      </c>
      <c r="AG207" s="1" t="s">
        <v>21</v>
      </c>
      <c r="AI207" s="2">
        <v>23771.15</v>
      </c>
    </row>
    <row r="208" spans="1:35" s="1" customFormat="1" ht="15" customHeight="1" x14ac:dyDescent="0.2">
      <c r="A208" s="1" t="s">
        <v>19</v>
      </c>
      <c r="B208" s="5" t="s">
        <v>18</v>
      </c>
      <c r="C208" s="1" t="s">
        <v>37</v>
      </c>
      <c r="D208" s="1" t="s">
        <v>211</v>
      </c>
      <c r="E208" s="1" t="s">
        <v>35</v>
      </c>
      <c r="F208" s="1" t="s">
        <v>210</v>
      </c>
      <c r="G208" s="1" t="s">
        <v>209</v>
      </c>
      <c r="H208" s="1" t="s">
        <v>208</v>
      </c>
      <c r="I208" s="1" t="s">
        <v>4271</v>
      </c>
      <c r="J208" s="1">
        <v>2023</v>
      </c>
      <c r="K208" s="1" t="s">
        <v>4270</v>
      </c>
      <c r="L208" s="1" t="s">
        <v>4269</v>
      </c>
      <c r="P208" s="1" t="s">
        <v>4268</v>
      </c>
      <c r="Q208" s="1" t="s">
        <v>771</v>
      </c>
      <c r="R208" s="1" t="s">
        <v>1060</v>
      </c>
      <c r="S208" s="1" t="s">
        <v>4093</v>
      </c>
      <c r="T208" s="1" t="s">
        <v>4092</v>
      </c>
      <c r="U208" s="1">
        <v>1</v>
      </c>
      <c r="V208" s="1" t="s">
        <v>771</v>
      </c>
      <c r="W208" s="1" t="s">
        <v>4267</v>
      </c>
      <c r="Y208" s="3">
        <v>45478</v>
      </c>
      <c r="Z208" s="1">
        <v>2024</v>
      </c>
      <c r="AA208" s="2">
        <v>168160.34</v>
      </c>
      <c r="AB208" s="2"/>
      <c r="AC208" s="2">
        <v>72040.09</v>
      </c>
      <c r="AD208" s="1">
        <v>1</v>
      </c>
      <c r="AG208" s="1" t="s">
        <v>21</v>
      </c>
      <c r="AI208" s="2">
        <v>72040.09</v>
      </c>
    </row>
    <row r="209" spans="1:38" ht="15" customHeight="1" x14ac:dyDescent="0.2">
      <c r="A209" s="1" t="s">
        <v>19</v>
      </c>
      <c r="B209" s="5" t="s">
        <v>18</v>
      </c>
      <c r="C209" s="1" t="s">
        <v>37</v>
      </c>
      <c r="D209" s="1" t="s">
        <v>211</v>
      </c>
      <c r="E209" s="1" t="s">
        <v>35</v>
      </c>
      <c r="F209" s="1" t="s">
        <v>210</v>
      </c>
      <c r="G209" s="1" t="s">
        <v>209</v>
      </c>
      <c r="H209" s="1" t="s">
        <v>208</v>
      </c>
      <c r="I209" s="1" t="s">
        <v>4266</v>
      </c>
      <c r="J209" s="1">
        <v>2023</v>
      </c>
      <c r="K209" s="1" t="s">
        <v>4265</v>
      </c>
      <c r="L209" s="1" t="s">
        <v>4264</v>
      </c>
      <c r="N209" s="1" t="s">
        <v>4263</v>
      </c>
      <c r="P209" s="1" t="s">
        <v>4262</v>
      </c>
      <c r="Q209" s="1" t="s">
        <v>771</v>
      </c>
      <c r="R209" s="1" t="s">
        <v>1060</v>
      </c>
      <c r="S209" s="1" t="s">
        <v>3981</v>
      </c>
      <c r="T209" s="1" t="s">
        <v>3980</v>
      </c>
      <c r="U209" s="1">
        <v>1</v>
      </c>
      <c r="V209" s="1" t="s">
        <v>771</v>
      </c>
      <c r="W209" s="1" t="s">
        <v>4261</v>
      </c>
      <c r="Y209" s="3">
        <v>45478</v>
      </c>
      <c r="Z209" s="1">
        <v>2024</v>
      </c>
      <c r="AA209" s="2">
        <v>247293.17</v>
      </c>
      <c r="AB209" s="2"/>
      <c r="AC209" s="2">
        <v>94458.63</v>
      </c>
      <c r="AD209" s="1">
        <v>3</v>
      </c>
      <c r="AG209" s="1" t="s">
        <v>21</v>
      </c>
      <c r="AI209" s="2">
        <v>94458.63</v>
      </c>
      <c r="AK209" s="1"/>
    </row>
    <row r="210" spans="1:38" ht="15" customHeight="1" x14ac:dyDescent="0.2">
      <c r="A210" s="1" t="s">
        <v>19</v>
      </c>
      <c r="B210" s="5" t="s">
        <v>18</v>
      </c>
      <c r="C210" s="1" t="s">
        <v>37</v>
      </c>
      <c r="D210" s="1" t="s">
        <v>211</v>
      </c>
      <c r="E210" s="1" t="s">
        <v>35</v>
      </c>
      <c r="F210" s="1" t="s">
        <v>210</v>
      </c>
      <c r="G210" s="1" t="s">
        <v>209</v>
      </c>
      <c r="H210" s="1" t="s">
        <v>208</v>
      </c>
      <c r="I210" s="1" t="s">
        <v>4260</v>
      </c>
      <c r="J210" s="1">
        <v>2023</v>
      </c>
      <c r="K210" s="1" t="s">
        <v>4256</v>
      </c>
      <c r="L210" s="1" t="s">
        <v>4259</v>
      </c>
      <c r="N210" s="1" t="s">
        <v>4258</v>
      </c>
      <c r="P210" s="1" t="s">
        <v>4257</v>
      </c>
      <c r="Q210" s="1" t="s">
        <v>771</v>
      </c>
      <c r="R210" s="1" t="s">
        <v>1060</v>
      </c>
      <c r="S210" s="1" t="s">
        <v>3981</v>
      </c>
      <c r="T210" s="1" t="s">
        <v>3980</v>
      </c>
      <c r="U210" s="1">
        <v>1</v>
      </c>
      <c r="V210" s="1" t="s">
        <v>771</v>
      </c>
      <c r="W210" s="1" t="s">
        <v>4256</v>
      </c>
      <c r="Y210" s="3">
        <v>45478</v>
      </c>
      <c r="Z210" s="1">
        <v>2024</v>
      </c>
      <c r="AA210" s="2">
        <v>81937.94</v>
      </c>
      <c r="AB210" s="2"/>
      <c r="AC210" s="2">
        <v>20484.490000000002</v>
      </c>
      <c r="AD210" s="1">
        <v>0</v>
      </c>
      <c r="AG210" s="1" t="s">
        <v>21</v>
      </c>
      <c r="AH210" s="1" t="s">
        <v>919</v>
      </c>
      <c r="AI210" s="2">
        <v>20484.490000000002</v>
      </c>
      <c r="AK210" s="1"/>
    </row>
    <row r="211" spans="1:38" ht="15" customHeight="1" x14ac:dyDescent="0.2">
      <c r="A211" s="1" t="s">
        <v>19</v>
      </c>
      <c r="B211" s="5" t="s">
        <v>18</v>
      </c>
      <c r="C211" s="1" t="s">
        <v>37</v>
      </c>
      <c r="D211" s="1" t="s">
        <v>211</v>
      </c>
      <c r="E211" s="1" t="s">
        <v>35</v>
      </c>
      <c r="F211" s="1" t="s">
        <v>210</v>
      </c>
      <c r="G211" s="1" t="s">
        <v>209</v>
      </c>
      <c r="H211" s="1" t="s">
        <v>130</v>
      </c>
      <c r="I211" s="1" t="s">
        <v>4255</v>
      </c>
      <c r="J211" s="1">
        <v>2023</v>
      </c>
      <c r="K211" s="1" t="s">
        <v>4249</v>
      </c>
      <c r="L211" s="1" t="s">
        <v>4254</v>
      </c>
      <c r="N211" s="1" t="s">
        <v>4253</v>
      </c>
      <c r="P211" s="1" t="s">
        <v>4252</v>
      </c>
      <c r="Q211" s="1" t="s">
        <v>771</v>
      </c>
      <c r="R211" s="1" t="s">
        <v>1060</v>
      </c>
      <c r="S211" s="1" t="s">
        <v>4251</v>
      </c>
      <c r="T211" s="1" t="s">
        <v>4250</v>
      </c>
      <c r="V211" s="1" t="s">
        <v>771</v>
      </c>
      <c r="W211" s="1" t="s">
        <v>4249</v>
      </c>
      <c r="Y211" s="3">
        <v>45478</v>
      </c>
      <c r="Z211" s="1">
        <v>2024</v>
      </c>
      <c r="AA211" s="2">
        <v>124451.03</v>
      </c>
      <c r="AB211" s="2"/>
      <c r="AC211" s="2">
        <v>62225.52</v>
      </c>
      <c r="AD211" s="1">
        <v>2</v>
      </c>
      <c r="AE211" s="1">
        <v>1</v>
      </c>
      <c r="AG211" s="1" t="s">
        <v>21</v>
      </c>
      <c r="AI211" s="2">
        <v>62225.52</v>
      </c>
      <c r="AK211" s="1"/>
    </row>
    <row r="212" spans="1:38" ht="15" customHeight="1" x14ac:dyDescent="0.2">
      <c r="A212" s="1" t="s">
        <v>19</v>
      </c>
      <c r="B212" s="5" t="s">
        <v>109</v>
      </c>
      <c r="C212" s="1" t="s">
        <v>37</v>
      </c>
      <c r="D212" s="1" t="s">
        <v>211</v>
      </c>
      <c r="E212" s="1" t="s">
        <v>35</v>
      </c>
      <c r="F212" s="1" t="s">
        <v>210</v>
      </c>
      <c r="G212" s="1" t="s">
        <v>209</v>
      </c>
      <c r="H212" s="1" t="s">
        <v>130</v>
      </c>
      <c r="I212" s="1" t="s">
        <v>4248</v>
      </c>
      <c r="J212" s="1">
        <v>2023</v>
      </c>
      <c r="K212" s="1" t="s">
        <v>4244</v>
      </c>
      <c r="L212" s="1" t="s">
        <v>4247</v>
      </c>
      <c r="N212" s="1" t="s">
        <v>4246</v>
      </c>
      <c r="P212" s="1" t="s">
        <v>4245</v>
      </c>
      <c r="Q212" s="1" t="s">
        <v>771</v>
      </c>
      <c r="R212" s="1" t="s">
        <v>1060</v>
      </c>
      <c r="S212" s="1" t="s">
        <v>4052</v>
      </c>
      <c r="T212" s="1" t="s">
        <v>4051</v>
      </c>
      <c r="U212" s="1">
        <v>1</v>
      </c>
      <c r="V212" s="1" t="s">
        <v>771</v>
      </c>
      <c r="W212" s="1" t="s">
        <v>4244</v>
      </c>
      <c r="Y212" s="3">
        <v>45478</v>
      </c>
      <c r="Z212" s="1">
        <v>2024</v>
      </c>
      <c r="AA212" s="2">
        <v>118094.83</v>
      </c>
      <c r="AB212" s="2"/>
      <c r="AC212" s="2">
        <v>59047.42</v>
      </c>
      <c r="AD212" s="1">
        <v>6</v>
      </c>
      <c r="AE212" s="1">
        <v>3</v>
      </c>
      <c r="AG212" s="1" t="s">
        <v>106</v>
      </c>
      <c r="AH212" s="1" t="s">
        <v>105</v>
      </c>
      <c r="AI212" s="2">
        <v>0</v>
      </c>
      <c r="AK212" s="1"/>
    </row>
    <row r="213" spans="1:38" ht="15" customHeight="1" x14ac:dyDescent="0.2">
      <c r="A213" s="1" t="s">
        <v>19</v>
      </c>
      <c r="B213" s="5" t="s">
        <v>18</v>
      </c>
      <c r="C213" s="1" t="s">
        <v>37</v>
      </c>
      <c r="D213" s="1" t="s">
        <v>211</v>
      </c>
      <c r="E213" s="1" t="s">
        <v>35</v>
      </c>
      <c r="F213" s="1" t="s">
        <v>210</v>
      </c>
      <c r="G213" s="1" t="s">
        <v>209</v>
      </c>
      <c r="H213" s="1" t="s">
        <v>208</v>
      </c>
      <c r="I213" s="1" t="s">
        <v>4243</v>
      </c>
      <c r="J213" s="1">
        <v>2023</v>
      </c>
      <c r="K213" s="1" t="s">
        <v>4242</v>
      </c>
      <c r="L213" s="1" t="s">
        <v>4241</v>
      </c>
      <c r="N213" s="1" t="s">
        <v>4240</v>
      </c>
      <c r="P213" s="1" t="s">
        <v>4239</v>
      </c>
      <c r="Q213" s="1" t="s">
        <v>771</v>
      </c>
      <c r="R213" s="1" t="s">
        <v>1060</v>
      </c>
      <c r="S213" s="1" t="s">
        <v>3956</v>
      </c>
      <c r="T213" s="1" t="s">
        <v>3955</v>
      </c>
      <c r="U213" s="1">
        <v>1</v>
      </c>
      <c r="V213" s="1" t="s">
        <v>771</v>
      </c>
      <c r="W213" s="1" t="s">
        <v>4238</v>
      </c>
      <c r="Y213" s="3">
        <v>45478</v>
      </c>
      <c r="Z213" s="1">
        <v>2024</v>
      </c>
      <c r="AA213" s="2">
        <v>79347.19</v>
      </c>
      <c r="AB213" s="2"/>
      <c r="AC213" s="2">
        <v>39673.599999999999</v>
      </c>
      <c r="AD213" s="1">
        <v>4.5</v>
      </c>
      <c r="AG213" s="1" t="s">
        <v>21</v>
      </c>
      <c r="AI213" s="2">
        <v>39673.599999999999</v>
      </c>
      <c r="AK213" s="1"/>
    </row>
    <row r="214" spans="1:38" ht="15" customHeight="1" x14ac:dyDescent="0.2">
      <c r="A214" s="1" t="s">
        <v>19</v>
      </c>
      <c r="B214" s="5" t="s">
        <v>18</v>
      </c>
      <c r="C214" s="1" t="s">
        <v>37</v>
      </c>
      <c r="D214" s="1" t="s">
        <v>211</v>
      </c>
      <c r="E214" s="1" t="s">
        <v>35</v>
      </c>
      <c r="F214" s="1" t="s">
        <v>210</v>
      </c>
      <c r="G214" s="1" t="s">
        <v>209</v>
      </c>
      <c r="H214" s="1" t="s">
        <v>130</v>
      </c>
      <c r="I214" s="1" t="s">
        <v>4237</v>
      </c>
      <c r="J214" s="1">
        <v>2023</v>
      </c>
      <c r="K214" s="1" t="s">
        <v>4236</v>
      </c>
      <c r="L214" s="1" t="s">
        <v>4235</v>
      </c>
      <c r="P214" s="1" t="s">
        <v>4234</v>
      </c>
      <c r="Q214" s="1" t="s">
        <v>771</v>
      </c>
      <c r="R214" s="1" t="s">
        <v>1060</v>
      </c>
      <c r="S214" s="1" t="s">
        <v>3981</v>
      </c>
      <c r="T214" s="1" t="s">
        <v>3980</v>
      </c>
      <c r="U214" s="1">
        <v>1</v>
      </c>
      <c r="V214" s="1" t="s">
        <v>771</v>
      </c>
      <c r="W214" s="1" t="s">
        <v>4233</v>
      </c>
      <c r="Y214" s="3">
        <v>45478</v>
      </c>
      <c r="Z214" s="1">
        <v>2024</v>
      </c>
      <c r="AA214" s="2">
        <v>70429.679999999993</v>
      </c>
      <c r="AB214" s="2"/>
      <c r="AC214" s="2">
        <v>35214.839999999997</v>
      </c>
      <c r="AD214" s="1">
        <v>1</v>
      </c>
      <c r="AG214" s="1" t="s">
        <v>21</v>
      </c>
      <c r="AI214" s="2">
        <v>35214.839999999997</v>
      </c>
      <c r="AK214" s="1"/>
    </row>
    <row r="215" spans="1:38" ht="15" customHeight="1" x14ac:dyDescent="0.2">
      <c r="A215" s="1" t="s">
        <v>19</v>
      </c>
      <c r="B215" s="5" t="s">
        <v>18</v>
      </c>
      <c r="C215" s="1" t="s">
        <v>37</v>
      </c>
      <c r="D215" s="1" t="s">
        <v>211</v>
      </c>
      <c r="E215" s="1" t="s">
        <v>35</v>
      </c>
      <c r="F215" s="1" t="s">
        <v>210</v>
      </c>
      <c r="G215" s="1" t="s">
        <v>209</v>
      </c>
      <c r="H215" s="1" t="s">
        <v>208</v>
      </c>
      <c r="I215" s="1" t="s">
        <v>4232</v>
      </c>
      <c r="J215" s="1">
        <v>2023</v>
      </c>
      <c r="K215" s="1" t="s">
        <v>4231</v>
      </c>
      <c r="L215" s="1" t="s">
        <v>4230</v>
      </c>
      <c r="P215" s="1" t="s">
        <v>4229</v>
      </c>
      <c r="Q215" s="1" t="s">
        <v>771</v>
      </c>
      <c r="R215" s="1" t="s">
        <v>1060</v>
      </c>
      <c r="S215" s="1" t="s">
        <v>4228</v>
      </c>
      <c r="T215" s="1" t="s">
        <v>4227</v>
      </c>
      <c r="U215" s="1">
        <v>1</v>
      </c>
      <c r="V215" s="1" t="s">
        <v>771</v>
      </c>
      <c r="W215" s="1" t="s">
        <v>4226</v>
      </c>
      <c r="Y215" s="3">
        <v>45478</v>
      </c>
      <c r="Z215" s="1">
        <v>2024</v>
      </c>
      <c r="AA215" s="2">
        <v>291017.11</v>
      </c>
      <c r="AB215" s="2"/>
      <c r="AC215" s="2">
        <v>102754.28</v>
      </c>
      <c r="AD215" s="1">
        <v>1</v>
      </c>
      <c r="AE215" s="1">
        <v>1</v>
      </c>
      <c r="AG215" s="1" t="s">
        <v>21</v>
      </c>
      <c r="AH215" s="1" t="s">
        <v>919</v>
      </c>
      <c r="AI215" s="2">
        <v>102754.28</v>
      </c>
      <c r="AK215" s="1"/>
    </row>
    <row r="216" spans="1:38" ht="15" customHeight="1" x14ac:dyDescent="0.2">
      <c r="A216" s="1" t="s">
        <v>19</v>
      </c>
      <c r="B216" s="5" t="s">
        <v>109</v>
      </c>
      <c r="C216" s="1" t="s">
        <v>37</v>
      </c>
      <c r="D216" s="1" t="s">
        <v>211</v>
      </c>
      <c r="E216" s="1" t="s">
        <v>35</v>
      </c>
      <c r="F216" s="1" t="s">
        <v>210</v>
      </c>
      <c r="G216" s="1" t="s">
        <v>209</v>
      </c>
      <c r="H216" s="1" t="s">
        <v>208</v>
      </c>
      <c r="I216" s="1" t="s">
        <v>4225</v>
      </c>
      <c r="J216" s="1">
        <v>2023</v>
      </c>
      <c r="K216" s="1" t="s">
        <v>4220</v>
      </c>
      <c r="L216" s="1" t="s">
        <v>4224</v>
      </c>
      <c r="P216" s="1" t="s">
        <v>4223</v>
      </c>
      <c r="Q216" s="1" t="s">
        <v>771</v>
      </c>
      <c r="R216" s="1" t="s">
        <v>1060</v>
      </c>
      <c r="S216" s="1" t="s">
        <v>4222</v>
      </c>
      <c r="T216" s="1" t="s">
        <v>4221</v>
      </c>
      <c r="U216" s="1">
        <v>2</v>
      </c>
      <c r="V216" s="1" t="s">
        <v>771</v>
      </c>
      <c r="W216" s="1" t="s">
        <v>4220</v>
      </c>
      <c r="Y216" s="3">
        <v>45478</v>
      </c>
      <c r="Z216" s="1">
        <v>2024</v>
      </c>
      <c r="AA216" s="2">
        <v>65471.53</v>
      </c>
      <c r="AB216" s="2"/>
      <c r="AC216" s="2">
        <v>32735.77</v>
      </c>
      <c r="AD216" s="1">
        <v>3</v>
      </c>
      <c r="AE216" s="1">
        <v>3</v>
      </c>
      <c r="AG216" s="1" t="s">
        <v>106</v>
      </c>
      <c r="AH216" s="1" t="s">
        <v>105</v>
      </c>
      <c r="AI216" s="2">
        <v>0</v>
      </c>
      <c r="AK216" s="1"/>
    </row>
    <row r="217" spans="1:38" ht="15" customHeight="1" x14ac:dyDescent="0.2">
      <c r="A217" s="1" t="s">
        <v>19</v>
      </c>
      <c r="B217" s="5" t="s">
        <v>18</v>
      </c>
      <c r="C217" s="1" t="s">
        <v>37</v>
      </c>
      <c r="D217" s="1" t="s">
        <v>211</v>
      </c>
      <c r="E217" s="1" t="s">
        <v>35</v>
      </c>
      <c r="F217" s="1" t="s">
        <v>210</v>
      </c>
      <c r="G217" s="1" t="s">
        <v>209</v>
      </c>
      <c r="H217" s="1" t="s">
        <v>208</v>
      </c>
      <c r="I217" s="1" t="s">
        <v>4219</v>
      </c>
      <c r="J217" s="1">
        <v>2023</v>
      </c>
      <c r="K217" s="1" t="s">
        <v>4216</v>
      </c>
      <c r="L217" s="1" t="s">
        <v>4218</v>
      </c>
      <c r="P217" s="1" t="s">
        <v>4217</v>
      </c>
      <c r="Q217" s="1" t="s">
        <v>771</v>
      </c>
      <c r="R217" s="1" t="s">
        <v>1060</v>
      </c>
      <c r="S217" s="1" t="s">
        <v>3981</v>
      </c>
      <c r="T217" s="1" t="s">
        <v>3980</v>
      </c>
      <c r="U217" s="1">
        <v>1</v>
      </c>
      <c r="V217" s="1" t="s">
        <v>771</v>
      </c>
      <c r="W217" s="1" t="s">
        <v>4216</v>
      </c>
      <c r="Y217" s="3">
        <v>45478</v>
      </c>
      <c r="Z217" s="1">
        <v>2024</v>
      </c>
      <c r="AA217" s="2">
        <v>258963.61</v>
      </c>
      <c r="AB217" s="2"/>
      <c r="AC217" s="2">
        <v>64740.9</v>
      </c>
      <c r="AD217" s="1">
        <v>0</v>
      </c>
      <c r="AG217" s="1" t="s">
        <v>21</v>
      </c>
      <c r="AI217" s="2">
        <v>64740.9</v>
      </c>
      <c r="AK217" s="1"/>
    </row>
    <row r="218" spans="1:38" ht="15" customHeight="1" x14ac:dyDescent="0.2">
      <c r="A218" s="1" t="s">
        <v>19</v>
      </c>
      <c r="B218" s="5" t="s">
        <v>18</v>
      </c>
      <c r="C218" s="1" t="s">
        <v>37</v>
      </c>
      <c r="D218" s="1" t="s">
        <v>211</v>
      </c>
      <c r="E218" s="1" t="s">
        <v>35</v>
      </c>
      <c r="F218" s="1" t="s">
        <v>210</v>
      </c>
      <c r="G218" s="1" t="s">
        <v>209</v>
      </c>
      <c r="H218" s="1" t="s">
        <v>208</v>
      </c>
      <c r="I218" s="1" t="s">
        <v>4215</v>
      </c>
      <c r="J218" s="1">
        <v>2023</v>
      </c>
      <c r="K218" s="1" t="s">
        <v>4210</v>
      </c>
      <c r="L218" s="1" t="s">
        <v>4214</v>
      </c>
      <c r="P218" s="1" t="s">
        <v>4213</v>
      </c>
      <c r="Q218" s="1" t="s">
        <v>771</v>
      </c>
      <c r="R218" s="1" t="s">
        <v>1060</v>
      </c>
      <c r="S218" s="1" t="s">
        <v>4212</v>
      </c>
      <c r="T218" s="1" t="s">
        <v>4211</v>
      </c>
      <c r="U218" s="1">
        <v>1</v>
      </c>
      <c r="V218" s="1" t="s">
        <v>771</v>
      </c>
      <c r="W218" s="1" t="s">
        <v>4210</v>
      </c>
      <c r="Y218" s="3">
        <v>45478</v>
      </c>
      <c r="Z218" s="1">
        <v>2024</v>
      </c>
      <c r="AA218" s="2">
        <v>210531.9</v>
      </c>
      <c r="AB218" s="2"/>
      <c r="AC218" s="2">
        <v>105265.95</v>
      </c>
      <c r="AD218" s="1">
        <v>2</v>
      </c>
      <c r="AE218" s="1">
        <v>2</v>
      </c>
      <c r="AG218" s="1" t="s">
        <v>21</v>
      </c>
      <c r="AI218" s="2">
        <v>105265.95</v>
      </c>
      <c r="AK218" s="1"/>
    </row>
    <row r="219" spans="1:38" ht="15" customHeight="1" x14ac:dyDescent="0.2">
      <c r="A219" s="1" t="s">
        <v>19</v>
      </c>
      <c r="B219" s="5" t="s">
        <v>18</v>
      </c>
      <c r="C219" s="1" t="s">
        <v>37</v>
      </c>
      <c r="D219" s="1" t="s">
        <v>211</v>
      </c>
      <c r="E219" s="1" t="s">
        <v>35</v>
      </c>
      <c r="F219" s="1" t="s">
        <v>210</v>
      </c>
      <c r="G219" s="1" t="s">
        <v>209</v>
      </c>
      <c r="H219" s="1" t="s">
        <v>208</v>
      </c>
      <c r="I219" s="1" t="s">
        <v>4209</v>
      </c>
      <c r="J219" s="1">
        <v>2023</v>
      </c>
      <c r="K219" s="1" t="s">
        <v>4208</v>
      </c>
      <c r="L219" s="1" t="s">
        <v>4207</v>
      </c>
      <c r="P219" s="1" t="s">
        <v>4206</v>
      </c>
      <c r="Q219" s="1" t="s">
        <v>771</v>
      </c>
      <c r="R219" s="1" t="s">
        <v>1060</v>
      </c>
      <c r="S219" s="1" t="s">
        <v>4004</v>
      </c>
      <c r="T219" s="1" t="s">
        <v>4003</v>
      </c>
      <c r="U219" s="1">
        <v>2</v>
      </c>
      <c r="V219" s="1" t="s">
        <v>771</v>
      </c>
      <c r="W219" s="1" t="s">
        <v>4205</v>
      </c>
      <c r="Y219" s="3">
        <v>45478</v>
      </c>
      <c r="Z219" s="1">
        <v>2024</v>
      </c>
      <c r="AA219" s="2">
        <v>426860.3</v>
      </c>
      <c r="AB219" s="2"/>
      <c r="AC219" s="2">
        <v>130000</v>
      </c>
      <c r="AD219" s="1">
        <v>2</v>
      </c>
      <c r="AG219" s="1" t="s">
        <v>21</v>
      </c>
      <c r="AH219" s="1" t="s">
        <v>919</v>
      </c>
      <c r="AI219" s="2">
        <v>130000</v>
      </c>
      <c r="AK219" s="1"/>
    </row>
    <row r="220" spans="1:38" ht="15" customHeight="1" x14ac:dyDescent="0.25">
      <c r="A220" s="1" t="s">
        <v>19</v>
      </c>
      <c r="B220" s="14" t="s">
        <v>18</v>
      </c>
      <c r="C220" s="12" t="s">
        <v>37</v>
      </c>
      <c r="D220" s="1" t="s">
        <v>63</v>
      </c>
      <c r="E220" s="1" t="s">
        <v>35</v>
      </c>
      <c r="G220" s="1" t="s">
        <v>202</v>
      </c>
      <c r="H220" s="1" t="s">
        <v>32</v>
      </c>
      <c r="I220" s="12" t="s">
        <v>4204</v>
      </c>
      <c r="J220" s="1">
        <v>2024</v>
      </c>
      <c r="K220" s="1" t="s">
        <v>4203</v>
      </c>
      <c r="L220" s="49" t="s">
        <v>4199</v>
      </c>
      <c r="M220" s="1" t="s">
        <v>0</v>
      </c>
      <c r="P220" s="1" t="s">
        <v>4202</v>
      </c>
      <c r="Q220" s="1" t="s">
        <v>771</v>
      </c>
      <c r="R220" s="1" t="s">
        <v>1060</v>
      </c>
      <c r="S220" s="12" t="s">
        <v>4201</v>
      </c>
      <c r="T220" s="12" t="s">
        <v>4200</v>
      </c>
      <c r="U220" s="17"/>
      <c r="V220" s="12" t="s">
        <v>771</v>
      </c>
      <c r="W220" s="12" t="s">
        <v>4199</v>
      </c>
      <c r="X220" s="12" t="s">
        <v>2256</v>
      </c>
      <c r="Y220" s="13">
        <v>45799</v>
      </c>
      <c r="Z220" s="12">
        <v>2025</v>
      </c>
      <c r="AA220" s="11">
        <v>275504.5</v>
      </c>
      <c r="AB220" s="11"/>
      <c r="AC220" s="11">
        <v>275504.5</v>
      </c>
      <c r="AD220" s="2"/>
      <c r="AG220" s="1" t="s">
        <v>21</v>
      </c>
      <c r="AI220" s="11">
        <v>275504.5</v>
      </c>
      <c r="AK220" s="1"/>
    </row>
    <row r="221" spans="1:38" ht="15" customHeight="1" x14ac:dyDescent="0.25">
      <c r="A221" s="1" t="s">
        <v>19</v>
      </c>
      <c r="B221" s="14" t="s">
        <v>18</v>
      </c>
      <c r="C221" s="12" t="s">
        <v>37</v>
      </c>
      <c r="D221" s="1" t="s">
        <v>63</v>
      </c>
      <c r="E221" s="1" t="s">
        <v>35</v>
      </c>
      <c r="G221" s="1" t="s">
        <v>202</v>
      </c>
      <c r="H221" s="1" t="s">
        <v>32</v>
      </c>
      <c r="I221" s="12" t="s">
        <v>4198</v>
      </c>
      <c r="J221" s="1">
        <v>2024</v>
      </c>
      <c r="K221" s="1" t="s">
        <v>4197</v>
      </c>
      <c r="L221" s="49" t="s">
        <v>4195</v>
      </c>
      <c r="M221" s="1" t="s">
        <v>0</v>
      </c>
      <c r="P221" s="1" t="s">
        <v>4196</v>
      </c>
      <c r="Q221" s="1" t="s">
        <v>771</v>
      </c>
      <c r="R221" s="1" t="s">
        <v>1060</v>
      </c>
      <c r="S221" s="20" t="s">
        <v>4024</v>
      </c>
      <c r="T221" s="12" t="s">
        <v>4023</v>
      </c>
      <c r="U221" s="17">
        <v>1</v>
      </c>
      <c r="V221" s="12" t="s">
        <v>771</v>
      </c>
      <c r="W221" s="12" t="s">
        <v>4195</v>
      </c>
      <c r="X221" s="12"/>
      <c r="Y221" s="13">
        <v>45799</v>
      </c>
      <c r="Z221" s="12">
        <v>2025</v>
      </c>
      <c r="AA221" s="11">
        <v>458219.69</v>
      </c>
      <c r="AB221" s="11"/>
      <c r="AC221" s="11">
        <v>458219.69</v>
      </c>
      <c r="AD221" s="2"/>
      <c r="AG221" s="1" t="s">
        <v>21</v>
      </c>
      <c r="AI221" s="11">
        <v>458219.69</v>
      </c>
      <c r="AK221" s="1"/>
    </row>
    <row r="222" spans="1:38" ht="15" customHeight="1" x14ac:dyDescent="0.25">
      <c r="A222" s="1" t="s">
        <v>19</v>
      </c>
      <c r="B222" s="14" t="s">
        <v>18</v>
      </c>
      <c r="C222" s="12" t="s">
        <v>37</v>
      </c>
      <c r="D222" s="1" t="s">
        <v>63</v>
      </c>
      <c r="E222" s="1" t="s">
        <v>35</v>
      </c>
      <c r="G222" s="1" t="s">
        <v>202</v>
      </c>
      <c r="H222" s="1" t="s">
        <v>32</v>
      </c>
      <c r="I222" s="12" t="s">
        <v>4194</v>
      </c>
      <c r="J222" s="1">
        <v>2024</v>
      </c>
      <c r="K222" s="1" t="s">
        <v>4193</v>
      </c>
      <c r="L222" s="49" t="s">
        <v>4189</v>
      </c>
      <c r="M222" s="1" t="s">
        <v>0</v>
      </c>
      <c r="P222" s="1" t="s">
        <v>4192</v>
      </c>
      <c r="Q222" s="1" t="s">
        <v>771</v>
      </c>
      <c r="R222" s="1" t="s">
        <v>1060</v>
      </c>
      <c r="S222" s="20" t="s">
        <v>4191</v>
      </c>
      <c r="T222" s="12" t="s">
        <v>4190</v>
      </c>
      <c r="U222" s="1">
        <v>2</v>
      </c>
      <c r="V222" s="12" t="s">
        <v>771</v>
      </c>
      <c r="W222" s="12" t="s">
        <v>4189</v>
      </c>
      <c r="X222" s="12"/>
      <c r="Y222" s="13">
        <v>45799</v>
      </c>
      <c r="Z222" s="12">
        <v>2025</v>
      </c>
      <c r="AA222" s="11">
        <v>274866.19</v>
      </c>
      <c r="AB222" s="11"/>
      <c r="AC222" s="11">
        <v>274866.19</v>
      </c>
      <c r="AD222" s="2"/>
      <c r="AG222" s="1" t="s">
        <v>21</v>
      </c>
      <c r="AI222" s="11">
        <v>274866.19</v>
      </c>
      <c r="AK222" s="1"/>
    </row>
    <row r="223" spans="1:38" ht="15" customHeight="1" x14ac:dyDescent="0.2">
      <c r="A223" s="1" t="s">
        <v>19</v>
      </c>
      <c r="B223" s="5" t="s">
        <v>109</v>
      </c>
      <c r="C223" s="1" t="s">
        <v>37</v>
      </c>
      <c r="D223" s="1" t="s">
        <v>132</v>
      </c>
      <c r="E223" s="1" t="s">
        <v>35</v>
      </c>
      <c r="G223" s="1" t="s">
        <v>131</v>
      </c>
      <c r="H223" s="1" t="s">
        <v>130</v>
      </c>
      <c r="I223" s="1" t="s">
        <v>4188</v>
      </c>
      <c r="J223" s="1">
        <v>2024</v>
      </c>
      <c r="P223" s="1" t="s">
        <v>4112</v>
      </c>
      <c r="Q223" s="1" t="s">
        <v>771</v>
      </c>
      <c r="R223" s="1" t="s">
        <v>1060</v>
      </c>
      <c r="S223" s="1" t="s">
        <v>4052</v>
      </c>
      <c r="T223" s="1" t="s">
        <v>4051</v>
      </c>
      <c r="U223" s="1">
        <v>1</v>
      </c>
      <c r="V223" s="1" t="s">
        <v>771</v>
      </c>
      <c r="Y223" s="3">
        <v>45404</v>
      </c>
      <c r="Z223" s="1">
        <v>2024</v>
      </c>
      <c r="AA223" s="2"/>
      <c r="AB223" s="2"/>
      <c r="AC223" s="2">
        <v>384637.12999999983</v>
      </c>
      <c r="AG223" s="1" t="s">
        <v>21</v>
      </c>
      <c r="AI223" s="2">
        <v>384637.12999999983</v>
      </c>
      <c r="AK223" s="1"/>
      <c r="AL223" s="1" t="s">
        <v>127</v>
      </c>
    </row>
    <row r="224" spans="1:38" ht="15" customHeight="1" x14ac:dyDescent="0.2">
      <c r="A224" s="1" t="s">
        <v>19</v>
      </c>
      <c r="B224" s="5" t="s">
        <v>109</v>
      </c>
      <c r="C224" s="1" t="s">
        <v>37</v>
      </c>
      <c r="D224" s="1" t="s">
        <v>132</v>
      </c>
      <c r="E224" s="1" t="s">
        <v>35</v>
      </c>
      <c r="G224" s="1" t="s">
        <v>131</v>
      </c>
      <c r="H224" s="1" t="s">
        <v>130</v>
      </c>
      <c r="I224" s="1" t="s">
        <v>4187</v>
      </c>
      <c r="J224" s="1">
        <v>2018</v>
      </c>
      <c r="P224" s="1" t="s">
        <v>4112</v>
      </c>
      <c r="Q224" s="1" t="s">
        <v>771</v>
      </c>
      <c r="R224" s="1" t="s">
        <v>1060</v>
      </c>
      <c r="S224" s="1" t="s">
        <v>4052</v>
      </c>
      <c r="T224" s="1" t="s">
        <v>4051</v>
      </c>
      <c r="U224" s="1">
        <v>1</v>
      </c>
      <c r="V224" s="1" t="s">
        <v>771</v>
      </c>
      <c r="Y224" s="3">
        <v>43464</v>
      </c>
      <c r="Z224" s="1">
        <v>2018</v>
      </c>
      <c r="AA224" s="2"/>
      <c r="AB224" s="2"/>
      <c r="AC224" s="2">
        <v>594820.59</v>
      </c>
      <c r="AG224" s="1" t="s">
        <v>21</v>
      </c>
      <c r="AI224" s="2">
        <v>594820.59</v>
      </c>
      <c r="AK224" s="1"/>
      <c r="AL224" s="1" t="s">
        <v>127</v>
      </c>
    </row>
    <row r="225" spans="1:38" ht="15" customHeight="1" x14ac:dyDescent="0.2">
      <c r="A225" s="1" t="s">
        <v>19</v>
      </c>
      <c r="B225" s="5" t="s">
        <v>109</v>
      </c>
      <c r="C225" s="1" t="s">
        <v>37</v>
      </c>
      <c r="D225" s="1" t="s">
        <v>132</v>
      </c>
      <c r="E225" s="1" t="s">
        <v>35</v>
      </c>
      <c r="G225" s="1" t="s">
        <v>131</v>
      </c>
      <c r="H225" s="1" t="s">
        <v>130</v>
      </c>
      <c r="I225" s="1" t="s">
        <v>4186</v>
      </c>
      <c r="J225" s="1">
        <v>2018</v>
      </c>
      <c r="P225" s="1" t="s">
        <v>4112</v>
      </c>
      <c r="Q225" s="1" t="s">
        <v>771</v>
      </c>
      <c r="R225" s="1" t="s">
        <v>1060</v>
      </c>
      <c r="S225" s="1" t="s">
        <v>4052</v>
      </c>
      <c r="T225" s="1" t="s">
        <v>4051</v>
      </c>
      <c r="U225" s="1">
        <v>1</v>
      </c>
      <c r="V225" s="1" t="s">
        <v>771</v>
      </c>
      <c r="Y225" s="3">
        <v>43464</v>
      </c>
      <c r="Z225" s="1">
        <v>2018</v>
      </c>
      <c r="AA225" s="2"/>
      <c r="AB225" s="2"/>
      <c r="AC225" s="2">
        <v>651747.36999999988</v>
      </c>
      <c r="AG225" s="1" t="s">
        <v>21</v>
      </c>
      <c r="AI225" s="2">
        <v>651747.36999999988</v>
      </c>
      <c r="AK225" s="1"/>
      <c r="AL225" s="1" t="s">
        <v>127</v>
      </c>
    </row>
    <row r="226" spans="1:38" ht="15" customHeight="1" x14ac:dyDescent="0.2">
      <c r="A226" s="1" t="s">
        <v>19</v>
      </c>
      <c r="B226" s="5" t="s">
        <v>109</v>
      </c>
      <c r="C226" s="1" t="s">
        <v>37</v>
      </c>
      <c r="D226" s="1" t="s">
        <v>132</v>
      </c>
      <c r="E226" s="1" t="s">
        <v>35</v>
      </c>
      <c r="G226" s="1" t="s">
        <v>131</v>
      </c>
      <c r="H226" s="1" t="s">
        <v>130</v>
      </c>
      <c r="I226" s="1" t="s">
        <v>4185</v>
      </c>
      <c r="J226" s="1">
        <v>2018</v>
      </c>
      <c r="P226" s="1" t="s">
        <v>4112</v>
      </c>
      <c r="Q226" s="1" t="s">
        <v>771</v>
      </c>
      <c r="R226" s="1" t="s">
        <v>1060</v>
      </c>
      <c r="S226" s="1" t="s">
        <v>4052</v>
      </c>
      <c r="T226" s="1" t="s">
        <v>4051</v>
      </c>
      <c r="U226" s="1">
        <v>1</v>
      </c>
      <c r="V226" s="1" t="s">
        <v>771</v>
      </c>
      <c r="Y226" s="3">
        <v>43464</v>
      </c>
      <c r="Z226" s="1">
        <v>2018</v>
      </c>
      <c r="AA226" s="2"/>
      <c r="AB226" s="2"/>
      <c r="AC226" s="2">
        <v>622855.6100000001</v>
      </c>
      <c r="AG226" s="1" t="s">
        <v>21</v>
      </c>
      <c r="AI226" s="2">
        <v>622855.6100000001</v>
      </c>
      <c r="AK226" s="1"/>
      <c r="AL226" s="1" t="s">
        <v>127</v>
      </c>
    </row>
    <row r="227" spans="1:38" ht="15" customHeight="1" x14ac:dyDescent="0.2">
      <c r="A227" s="1" t="s">
        <v>19</v>
      </c>
      <c r="B227" s="5" t="s">
        <v>109</v>
      </c>
      <c r="C227" s="1" t="s">
        <v>37</v>
      </c>
      <c r="D227" s="1" t="s">
        <v>132</v>
      </c>
      <c r="E227" s="1" t="s">
        <v>35</v>
      </c>
      <c r="G227" s="1" t="s">
        <v>131</v>
      </c>
      <c r="H227" s="1" t="s">
        <v>130</v>
      </c>
      <c r="I227" s="1" t="s">
        <v>4184</v>
      </c>
      <c r="J227" s="1">
        <v>2018</v>
      </c>
      <c r="P227" s="1" t="s">
        <v>4112</v>
      </c>
      <c r="Q227" s="1" t="s">
        <v>771</v>
      </c>
      <c r="R227" s="1" t="s">
        <v>1060</v>
      </c>
      <c r="S227" s="1" t="s">
        <v>4052</v>
      </c>
      <c r="T227" s="1" t="s">
        <v>4051</v>
      </c>
      <c r="U227" s="1">
        <v>1</v>
      </c>
      <c r="V227" s="1" t="s">
        <v>771</v>
      </c>
      <c r="Y227" s="3">
        <v>43464</v>
      </c>
      <c r="Z227" s="1">
        <v>2018</v>
      </c>
      <c r="AA227" s="2"/>
      <c r="AB227" s="2"/>
      <c r="AC227" s="2">
        <v>765327.62000000011</v>
      </c>
      <c r="AG227" s="1" t="s">
        <v>21</v>
      </c>
      <c r="AI227" s="2">
        <v>765327.62000000011</v>
      </c>
      <c r="AK227" s="1"/>
      <c r="AL227" s="1" t="s">
        <v>127</v>
      </c>
    </row>
    <row r="228" spans="1:38" ht="15" customHeight="1" x14ac:dyDescent="0.2">
      <c r="A228" s="1" t="s">
        <v>19</v>
      </c>
      <c r="B228" s="5" t="s">
        <v>109</v>
      </c>
      <c r="C228" s="1" t="s">
        <v>37</v>
      </c>
      <c r="D228" s="1" t="s">
        <v>132</v>
      </c>
      <c r="E228" s="1" t="s">
        <v>35</v>
      </c>
      <c r="G228" s="1" t="s">
        <v>131</v>
      </c>
      <c r="H228" s="1" t="s">
        <v>130</v>
      </c>
      <c r="I228" s="1" t="s">
        <v>4183</v>
      </c>
      <c r="J228" s="1">
        <v>2021</v>
      </c>
      <c r="P228" s="1" t="s">
        <v>4112</v>
      </c>
      <c r="Q228" s="1" t="s">
        <v>771</v>
      </c>
      <c r="R228" s="1" t="s">
        <v>1060</v>
      </c>
      <c r="S228" s="1" t="s">
        <v>4052</v>
      </c>
      <c r="T228" s="1" t="s">
        <v>4051</v>
      </c>
      <c r="U228" s="1">
        <v>1</v>
      </c>
      <c r="V228" s="1" t="s">
        <v>771</v>
      </c>
      <c r="Y228" s="3">
        <v>44523</v>
      </c>
      <c r="Z228" s="1">
        <v>2021</v>
      </c>
      <c r="AA228" s="2"/>
      <c r="AB228" s="2"/>
      <c r="AC228" s="2">
        <v>656111.99999999988</v>
      </c>
      <c r="AG228" s="1" t="s">
        <v>21</v>
      </c>
      <c r="AI228" s="2">
        <v>656111.99999999988</v>
      </c>
      <c r="AK228" s="1"/>
      <c r="AL228" s="1" t="s">
        <v>127</v>
      </c>
    </row>
    <row r="229" spans="1:38" ht="15" customHeight="1" x14ac:dyDescent="0.2">
      <c r="A229" s="1" t="s">
        <v>19</v>
      </c>
      <c r="B229" s="5" t="s">
        <v>109</v>
      </c>
      <c r="C229" s="1" t="s">
        <v>37</v>
      </c>
      <c r="D229" s="1" t="s">
        <v>132</v>
      </c>
      <c r="E229" s="1" t="s">
        <v>35</v>
      </c>
      <c r="G229" s="1" t="s">
        <v>135</v>
      </c>
      <c r="H229" s="1" t="s">
        <v>130</v>
      </c>
      <c r="I229" s="1" t="s">
        <v>4182</v>
      </c>
      <c r="J229" s="1">
        <v>2021</v>
      </c>
      <c r="P229" s="1" t="s">
        <v>4112</v>
      </c>
      <c r="Q229" s="1" t="s">
        <v>771</v>
      </c>
      <c r="R229" s="1" t="s">
        <v>1060</v>
      </c>
      <c r="S229" s="1" t="s">
        <v>4052</v>
      </c>
      <c r="T229" s="1" t="s">
        <v>4051</v>
      </c>
      <c r="U229" s="1">
        <v>1</v>
      </c>
      <c r="V229" s="1" t="s">
        <v>771</v>
      </c>
      <c r="Y229" s="3">
        <v>44299</v>
      </c>
      <c r="Z229" s="1">
        <v>2021</v>
      </c>
      <c r="AA229" s="2"/>
      <c r="AB229" s="2"/>
      <c r="AC229" s="2">
        <v>57906.39</v>
      </c>
      <c r="AG229" s="1" t="s">
        <v>21</v>
      </c>
      <c r="AI229" s="2">
        <v>57906.39</v>
      </c>
      <c r="AK229" s="1"/>
    </row>
    <row r="230" spans="1:38" ht="15" customHeight="1" x14ac:dyDescent="0.2">
      <c r="A230" s="1" t="s">
        <v>19</v>
      </c>
      <c r="B230" s="5" t="s">
        <v>109</v>
      </c>
      <c r="C230" s="1" t="s">
        <v>37</v>
      </c>
      <c r="D230" s="1" t="s">
        <v>132</v>
      </c>
      <c r="E230" s="1" t="s">
        <v>35</v>
      </c>
      <c r="G230" s="1" t="s">
        <v>131</v>
      </c>
      <c r="H230" s="1" t="s">
        <v>130</v>
      </c>
      <c r="I230" s="1" t="s">
        <v>4181</v>
      </c>
      <c r="J230" s="1">
        <v>2018</v>
      </c>
      <c r="P230" s="1" t="s">
        <v>4112</v>
      </c>
      <c r="Q230" s="1" t="s">
        <v>771</v>
      </c>
      <c r="R230" s="1" t="s">
        <v>1060</v>
      </c>
      <c r="S230" s="1" t="s">
        <v>4052</v>
      </c>
      <c r="T230" s="1" t="s">
        <v>4051</v>
      </c>
      <c r="U230" s="1">
        <v>1</v>
      </c>
      <c r="V230" s="1" t="s">
        <v>771</v>
      </c>
      <c r="Y230" s="3">
        <v>43464</v>
      </c>
      <c r="Z230" s="1">
        <v>2018</v>
      </c>
      <c r="AA230" s="2"/>
      <c r="AB230" s="2"/>
      <c r="AC230" s="2">
        <v>586339.82999999996</v>
      </c>
      <c r="AG230" s="1" t="s">
        <v>21</v>
      </c>
      <c r="AI230" s="2">
        <v>586339.82999999996</v>
      </c>
      <c r="AK230" s="1"/>
      <c r="AL230" s="1" t="s">
        <v>127</v>
      </c>
    </row>
    <row r="231" spans="1:38" ht="15" customHeight="1" x14ac:dyDescent="0.2">
      <c r="A231" s="1" t="s">
        <v>19</v>
      </c>
      <c r="B231" s="5" t="s">
        <v>109</v>
      </c>
      <c r="C231" s="1" t="s">
        <v>37</v>
      </c>
      <c r="D231" s="1" t="s">
        <v>132</v>
      </c>
      <c r="E231" s="1" t="s">
        <v>35</v>
      </c>
      <c r="G231" s="1" t="s">
        <v>135</v>
      </c>
      <c r="H231" s="1" t="s">
        <v>130</v>
      </c>
      <c r="I231" s="1" t="s">
        <v>4180</v>
      </c>
      <c r="J231" s="1">
        <v>2022</v>
      </c>
      <c r="P231" s="1" t="s">
        <v>4112</v>
      </c>
      <c r="Q231" s="1" t="s">
        <v>771</v>
      </c>
      <c r="R231" s="1" t="s">
        <v>1060</v>
      </c>
      <c r="S231" s="1" t="s">
        <v>4052</v>
      </c>
      <c r="T231" s="1" t="s">
        <v>4051</v>
      </c>
      <c r="U231" s="1">
        <v>1</v>
      </c>
      <c r="V231" s="1" t="s">
        <v>771</v>
      </c>
      <c r="Y231" s="3">
        <v>44912</v>
      </c>
      <c r="Z231" s="1">
        <v>2022</v>
      </c>
      <c r="AA231" s="2"/>
      <c r="AB231" s="2"/>
      <c r="AC231" s="2">
        <v>90893.25</v>
      </c>
      <c r="AG231" s="1" t="s">
        <v>21</v>
      </c>
      <c r="AI231" s="2">
        <v>90893.25</v>
      </c>
      <c r="AK231" s="1"/>
    </row>
    <row r="232" spans="1:38" ht="15" customHeight="1" x14ac:dyDescent="0.2">
      <c r="A232" s="1" t="s">
        <v>19</v>
      </c>
      <c r="B232" s="5" t="s">
        <v>109</v>
      </c>
      <c r="C232" s="1" t="s">
        <v>37</v>
      </c>
      <c r="D232" s="1" t="s">
        <v>132</v>
      </c>
      <c r="E232" s="1" t="s">
        <v>35</v>
      </c>
      <c r="G232" s="1" t="s">
        <v>131</v>
      </c>
      <c r="H232" s="1" t="s">
        <v>130</v>
      </c>
      <c r="I232" s="1" t="s">
        <v>4179</v>
      </c>
      <c r="J232" s="1">
        <v>2023</v>
      </c>
      <c r="P232" s="1" t="s">
        <v>4112</v>
      </c>
      <c r="Q232" s="1" t="s">
        <v>771</v>
      </c>
      <c r="R232" s="1" t="s">
        <v>1060</v>
      </c>
      <c r="S232" s="1" t="s">
        <v>4052</v>
      </c>
      <c r="T232" s="1" t="s">
        <v>4051</v>
      </c>
      <c r="U232" s="1">
        <v>1</v>
      </c>
      <c r="V232" s="1" t="s">
        <v>771</v>
      </c>
      <c r="Y232" s="3">
        <v>45013</v>
      </c>
      <c r="Z232" s="1">
        <v>2023</v>
      </c>
      <c r="AA232" s="2"/>
      <c r="AB232" s="2"/>
      <c r="AC232" s="2">
        <v>226665.25</v>
      </c>
      <c r="AG232" s="1" t="s">
        <v>21</v>
      </c>
      <c r="AI232" s="2">
        <v>226665.25</v>
      </c>
      <c r="AK232" s="1"/>
      <c r="AL232" s="1" t="s">
        <v>127</v>
      </c>
    </row>
    <row r="233" spans="1:38" ht="15" customHeight="1" x14ac:dyDescent="0.2">
      <c r="A233" s="1" t="s">
        <v>19</v>
      </c>
      <c r="B233" s="5" t="s">
        <v>109</v>
      </c>
      <c r="C233" s="1" t="s">
        <v>37</v>
      </c>
      <c r="D233" s="1" t="s">
        <v>132</v>
      </c>
      <c r="E233" s="1" t="s">
        <v>35</v>
      </c>
      <c r="G233" s="1" t="s">
        <v>131</v>
      </c>
      <c r="H233" s="1" t="s">
        <v>130</v>
      </c>
      <c r="I233" s="1" t="s">
        <v>4178</v>
      </c>
      <c r="J233" s="1">
        <v>2022</v>
      </c>
      <c r="P233" s="1" t="s">
        <v>4146</v>
      </c>
      <c r="Q233" s="1" t="s">
        <v>771</v>
      </c>
      <c r="R233" s="1" t="s">
        <v>1060</v>
      </c>
      <c r="S233" s="1" t="s">
        <v>4052</v>
      </c>
      <c r="T233" s="1" t="s">
        <v>4051</v>
      </c>
      <c r="U233" s="1">
        <v>1</v>
      </c>
      <c r="V233" s="1" t="s">
        <v>771</v>
      </c>
      <c r="Y233" s="3">
        <v>44562</v>
      </c>
      <c r="Z233" s="1">
        <v>2022</v>
      </c>
      <c r="AA233" s="2"/>
      <c r="AB233" s="2"/>
      <c r="AC233" s="2">
        <v>429279.89</v>
      </c>
      <c r="AG233" s="1" t="s">
        <v>21</v>
      </c>
      <c r="AI233" s="2">
        <v>429279.89</v>
      </c>
      <c r="AK233" s="1"/>
      <c r="AL233" s="1" t="s">
        <v>127</v>
      </c>
    </row>
    <row r="234" spans="1:38" ht="15" customHeight="1" x14ac:dyDescent="0.2">
      <c r="A234" s="1" t="s">
        <v>19</v>
      </c>
      <c r="B234" s="5" t="s">
        <v>109</v>
      </c>
      <c r="C234" s="1" t="s">
        <v>37</v>
      </c>
      <c r="D234" s="1" t="s">
        <v>132</v>
      </c>
      <c r="E234" s="1" t="s">
        <v>35</v>
      </c>
      <c r="G234" s="1" t="s">
        <v>131</v>
      </c>
      <c r="H234" s="1" t="s">
        <v>130</v>
      </c>
      <c r="I234" s="1" t="s">
        <v>4177</v>
      </c>
      <c r="J234" s="1">
        <v>2018</v>
      </c>
      <c r="P234" s="1" t="s">
        <v>4112</v>
      </c>
      <c r="Q234" s="1" t="s">
        <v>771</v>
      </c>
      <c r="R234" s="1" t="s">
        <v>1060</v>
      </c>
      <c r="S234" s="1" t="s">
        <v>4052</v>
      </c>
      <c r="T234" s="1" t="s">
        <v>4051</v>
      </c>
      <c r="U234" s="1">
        <v>1</v>
      </c>
      <c r="V234" s="1" t="s">
        <v>771</v>
      </c>
      <c r="Y234" s="3">
        <v>43464</v>
      </c>
      <c r="Z234" s="1">
        <v>2018</v>
      </c>
      <c r="AA234" s="2"/>
      <c r="AB234" s="2"/>
      <c r="AC234" s="2">
        <v>577201.77</v>
      </c>
      <c r="AG234" s="1" t="s">
        <v>21</v>
      </c>
      <c r="AI234" s="2">
        <v>577201.77</v>
      </c>
      <c r="AK234" s="1"/>
      <c r="AL234" s="1" t="s">
        <v>127</v>
      </c>
    </row>
    <row r="235" spans="1:38" ht="15" customHeight="1" x14ac:dyDescent="0.2">
      <c r="A235" s="1" t="s">
        <v>19</v>
      </c>
      <c r="B235" s="5" t="s">
        <v>109</v>
      </c>
      <c r="C235" s="1" t="s">
        <v>37</v>
      </c>
      <c r="D235" s="1" t="s">
        <v>132</v>
      </c>
      <c r="E235" s="1" t="s">
        <v>35</v>
      </c>
      <c r="G235" s="1" t="s">
        <v>131</v>
      </c>
      <c r="H235" s="1" t="s">
        <v>130</v>
      </c>
      <c r="I235" s="1" t="s">
        <v>4176</v>
      </c>
      <c r="J235" s="1">
        <v>2018</v>
      </c>
      <c r="P235" s="1" t="s">
        <v>4112</v>
      </c>
      <c r="Q235" s="1" t="s">
        <v>771</v>
      </c>
      <c r="R235" s="1" t="s">
        <v>1060</v>
      </c>
      <c r="S235" s="1" t="s">
        <v>4052</v>
      </c>
      <c r="T235" s="1" t="s">
        <v>4051</v>
      </c>
      <c r="U235" s="1">
        <v>1</v>
      </c>
      <c r="V235" s="1" t="s">
        <v>771</v>
      </c>
      <c r="Y235" s="3">
        <v>43464</v>
      </c>
      <c r="Z235" s="1">
        <v>2018</v>
      </c>
      <c r="AA235" s="2"/>
      <c r="AB235" s="2"/>
      <c r="AC235" s="2">
        <v>632483.11</v>
      </c>
      <c r="AG235" s="1" t="s">
        <v>21</v>
      </c>
      <c r="AI235" s="2">
        <v>632483.11</v>
      </c>
      <c r="AK235" s="1"/>
      <c r="AL235" s="1" t="s">
        <v>127</v>
      </c>
    </row>
    <row r="236" spans="1:38" ht="15" customHeight="1" x14ac:dyDescent="0.2">
      <c r="A236" s="1" t="s">
        <v>19</v>
      </c>
      <c r="B236" s="5" t="s">
        <v>109</v>
      </c>
      <c r="C236" s="1" t="s">
        <v>37</v>
      </c>
      <c r="D236" s="1" t="s">
        <v>132</v>
      </c>
      <c r="E236" s="1" t="s">
        <v>35</v>
      </c>
      <c r="G236" s="1" t="s">
        <v>131</v>
      </c>
      <c r="H236" s="1" t="s">
        <v>130</v>
      </c>
      <c r="I236" s="1" t="s">
        <v>4175</v>
      </c>
      <c r="J236" s="1">
        <v>2018</v>
      </c>
      <c r="P236" s="1" t="s">
        <v>4112</v>
      </c>
      <c r="Q236" s="1" t="s">
        <v>771</v>
      </c>
      <c r="R236" s="1" t="s">
        <v>1060</v>
      </c>
      <c r="S236" s="1" t="s">
        <v>4052</v>
      </c>
      <c r="T236" s="1" t="s">
        <v>4051</v>
      </c>
      <c r="U236" s="1">
        <v>1</v>
      </c>
      <c r="V236" s="1" t="s">
        <v>771</v>
      </c>
      <c r="Y236" s="3">
        <v>43464</v>
      </c>
      <c r="Z236" s="1">
        <v>2018</v>
      </c>
      <c r="AA236" s="2"/>
      <c r="AB236" s="2"/>
      <c r="AC236" s="2">
        <v>672729.12</v>
      </c>
      <c r="AG236" s="1" t="s">
        <v>21</v>
      </c>
      <c r="AI236" s="2">
        <v>672729.12</v>
      </c>
      <c r="AK236" s="1"/>
      <c r="AL236" s="1" t="s">
        <v>127</v>
      </c>
    </row>
    <row r="237" spans="1:38" ht="15" customHeight="1" x14ac:dyDescent="0.2">
      <c r="A237" s="1" t="s">
        <v>19</v>
      </c>
      <c r="B237" s="5" t="s">
        <v>109</v>
      </c>
      <c r="C237" s="1" t="s">
        <v>37</v>
      </c>
      <c r="D237" s="1" t="s">
        <v>132</v>
      </c>
      <c r="E237" s="1" t="s">
        <v>35</v>
      </c>
      <c r="G237" s="1" t="s">
        <v>131</v>
      </c>
      <c r="H237" s="1" t="s">
        <v>130</v>
      </c>
      <c r="I237" s="1" t="s">
        <v>4174</v>
      </c>
      <c r="J237" s="1">
        <v>2021</v>
      </c>
      <c r="P237" s="1" t="s">
        <v>4112</v>
      </c>
      <c r="Q237" s="1" t="s">
        <v>771</v>
      </c>
      <c r="R237" s="1" t="s">
        <v>1060</v>
      </c>
      <c r="S237" s="1" t="s">
        <v>4052</v>
      </c>
      <c r="T237" s="1" t="s">
        <v>4051</v>
      </c>
      <c r="U237" s="1">
        <v>1</v>
      </c>
      <c r="V237" s="1" t="s">
        <v>771</v>
      </c>
      <c r="Y237" s="3">
        <v>44274</v>
      </c>
      <c r="Z237" s="1">
        <v>2021</v>
      </c>
      <c r="AA237" s="2"/>
      <c r="AB237" s="2"/>
      <c r="AC237" s="2">
        <v>621527.9</v>
      </c>
      <c r="AG237" s="1" t="s">
        <v>21</v>
      </c>
      <c r="AI237" s="2">
        <v>621527.9</v>
      </c>
      <c r="AK237" s="1"/>
      <c r="AL237" s="1" t="s">
        <v>127</v>
      </c>
    </row>
    <row r="238" spans="1:38" ht="15" customHeight="1" x14ac:dyDescent="0.2">
      <c r="A238" s="1" t="s">
        <v>19</v>
      </c>
      <c r="B238" s="5" t="s">
        <v>109</v>
      </c>
      <c r="C238" s="1" t="s">
        <v>37</v>
      </c>
      <c r="D238" s="1" t="s">
        <v>132</v>
      </c>
      <c r="E238" s="1" t="s">
        <v>35</v>
      </c>
      <c r="G238" s="1" t="s">
        <v>131</v>
      </c>
      <c r="H238" s="1" t="s">
        <v>130</v>
      </c>
      <c r="I238" s="1" t="s">
        <v>4173</v>
      </c>
      <c r="J238" s="1">
        <v>2018</v>
      </c>
      <c r="P238" s="1" t="s">
        <v>4112</v>
      </c>
      <c r="Q238" s="1" t="s">
        <v>771</v>
      </c>
      <c r="R238" s="1" t="s">
        <v>1060</v>
      </c>
      <c r="S238" s="1" t="s">
        <v>4052</v>
      </c>
      <c r="T238" s="1" t="s">
        <v>4051</v>
      </c>
      <c r="U238" s="1">
        <v>1</v>
      </c>
      <c r="V238" s="1" t="s">
        <v>771</v>
      </c>
      <c r="Y238" s="3">
        <v>43465</v>
      </c>
      <c r="Z238" s="1">
        <v>2018</v>
      </c>
      <c r="AA238" s="2"/>
      <c r="AB238" s="2"/>
      <c r="AC238" s="2">
        <v>623702.29</v>
      </c>
      <c r="AG238" s="1" t="s">
        <v>21</v>
      </c>
      <c r="AI238" s="2">
        <v>623702.29</v>
      </c>
      <c r="AK238" s="1"/>
      <c r="AL238" s="1" t="s">
        <v>127</v>
      </c>
    </row>
    <row r="239" spans="1:38" ht="15" customHeight="1" x14ac:dyDescent="0.2">
      <c r="A239" s="1" t="s">
        <v>19</v>
      </c>
      <c r="B239" s="5" t="s">
        <v>109</v>
      </c>
      <c r="C239" s="1" t="s">
        <v>37</v>
      </c>
      <c r="D239" s="1" t="s">
        <v>132</v>
      </c>
      <c r="E239" s="1" t="s">
        <v>35</v>
      </c>
      <c r="G239" s="1" t="s">
        <v>131</v>
      </c>
      <c r="H239" s="1" t="s">
        <v>130</v>
      </c>
      <c r="I239" s="1" t="s">
        <v>4172</v>
      </c>
      <c r="J239" s="1">
        <v>2018</v>
      </c>
      <c r="P239" s="1" t="s">
        <v>4112</v>
      </c>
      <c r="Q239" s="1" t="s">
        <v>771</v>
      </c>
      <c r="R239" s="1" t="s">
        <v>1060</v>
      </c>
      <c r="S239" s="1" t="s">
        <v>4052</v>
      </c>
      <c r="T239" s="1" t="s">
        <v>4051</v>
      </c>
      <c r="U239" s="1">
        <v>1</v>
      </c>
      <c r="V239" s="1" t="s">
        <v>771</v>
      </c>
      <c r="Y239" s="3">
        <v>43465</v>
      </c>
      <c r="Z239" s="1">
        <v>2018</v>
      </c>
      <c r="AA239" s="2"/>
      <c r="AB239" s="2"/>
      <c r="AC239" s="2">
        <v>749694.95000000007</v>
      </c>
      <c r="AG239" s="1" t="s">
        <v>21</v>
      </c>
      <c r="AI239" s="2">
        <v>749694.95000000007</v>
      </c>
      <c r="AK239" s="1"/>
      <c r="AL239" s="1" t="s">
        <v>127</v>
      </c>
    </row>
    <row r="240" spans="1:38" ht="15" customHeight="1" x14ac:dyDescent="0.2">
      <c r="A240" s="1" t="s">
        <v>19</v>
      </c>
      <c r="B240" s="5" t="s">
        <v>109</v>
      </c>
      <c r="C240" s="1" t="s">
        <v>37</v>
      </c>
      <c r="D240" s="1" t="s">
        <v>132</v>
      </c>
      <c r="E240" s="1" t="s">
        <v>35</v>
      </c>
      <c r="G240" s="1" t="s">
        <v>131</v>
      </c>
      <c r="H240" s="1" t="s">
        <v>130</v>
      </c>
      <c r="I240" s="1" t="s">
        <v>4171</v>
      </c>
      <c r="J240" s="1">
        <v>2018</v>
      </c>
      <c r="P240" s="1" t="s">
        <v>4112</v>
      </c>
      <c r="Q240" s="1" t="s">
        <v>771</v>
      </c>
      <c r="R240" s="1" t="s">
        <v>1060</v>
      </c>
      <c r="S240" s="1" t="s">
        <v>4052</v>
      </c>
      <c r="T240" s="1" t="s">
        <v>4051</v>
      </c>
      <c r="U240" s="1">
        <v>1</v>
      </c>
      <c r="V240" s="1" t="s">
        <v>771</v>
      </c>
      <c r="Y240" s="3">
        <v>43464</v>
      </c>
      <c r="Z240" s="1">
        <v>2018</v>
      </c>
      <c r="AA240" s="2"/>
      <c r="AB240" s="2"/>
      <c r="AC240" s="2">
        <v>548248.93999999994</v>
      </c>
      <c r="AG240" s="1" t="s">
        <v>21</v>
      </c>
      <c r="AI240" s="2">
        <v>548248.93999999994</v>
      </c>
      <c r="AK240" s="1"/>
      <c r="AL240" s="1" t="s">
        <v>127</v>
      </c>
    </row>
    <row r="241" spans="1:38" ht="15" customHeight="1" x14ac:dyDescent="0.2">
      <c r="A241" s="1" t="s">
        <v>19</v>
      </c>
      <c r="B241" s="5" t="s">
        <v>109</v>
      </c>
      <c r="C241" s="1" t="s">
        <v>37</v>
      </c>
      <c r="D241" s="1" t="s">
        <v>132</v>
      </c>
      <c r="E241" s="1" t="s">
        <v>35</v>
      </c>
      <c r="G241" s="1" t="s">
        <v>131</v>
      </c>
      <c r="H241" s="1" t="s">
        <v>130</v>
      </c>
      <c r="I241" s="1" t="s">
        <v>4170</v>
      </c>
      <c r="J241" s="1">
        <v>2018</v>
      </c>
      <c r="P241" s="1" t="s">
        <v>4112</v>
      </c>
      <c r="Q241" s="1" t="s">
        <v>771</v>
      </c>
      <c r="R241" s="1" t="s">
        <v>1060</v>
      </c>
      <c r="S241" s="1" t="s">
        <v>4052</v>
      </c>
      <c r="T241" s="1" t="s">
        <v>4051</v>
      </c>
      <c r="U241" s="1">
        <v>1</v>
      </c>
      <c r="V241" s="1" t="s">
        <v>771</v>
      </c>
      <c r="Y241" s="3">
        <v>43464</v>
      </c>
      <c r="Z241" s="1">
        <v>2018</v>
      </c>
      <c r="AA241" s="2"/>
      <c r="AB241" s="2"/>
      <c r="AC241" s="2">
        <v>561757.24</v>
      </c>
      <c r="AG241" s="1" t="s">
        <v>21</v>
      </c>
      <c r="AI241" s="2">
        <v>561757.24</v>
      </c>
      <c r="AK241" s="1"/>
      <c r="AL241" s="1" t="s">
        <v>127</v>
      </c>
    </row>
    <row r="242" spans="1:38" ht="15" customHeight="1" x14ac:dyDescent="0.2">
      <c r="A242" s="1" t="s">
        <v>19</v>
      </c>
      <c r="B242" s="5" t="s">
        <v>109</v>
      </c>
      <c r="C242" s="1" t="s">
        <v>37</v>
      </c>
      <c r="D242" s="1" t="s">
        <v>132</v>
      </c>
      <c r="E242" s="1" t="s">
        <v>35</v>
      </c>
      <c r="G242" s="1" t="s">
        <v>131</v>
      </c>
      <c r="H242" s="1" t="s">
        <v>130</v>
      </c>
      <c r="I242" s="1" t="s">
        <v>4169</v>
      </c>
      <c r="J242" s="1">
        <v>2018</v>
      </c>
      <c r="P242" s="1" t="s">
        <v>4112</v>
      </c>
      <c r="Q242" s="1" t="s">
        <v>771</v>
      </c>
      <c r="R242" s="1" t="s">
        <v>1060</v>
      </c>
      <c r="S242" s="1" t="s">
        <v>4052</v>
      </c>
      <c r="T242" s="1" t="s">
        <v>4051</v>
      </c>
      <c r="U242" s="1">
        <v>1</v>
      </c>
      <c r="V242" s="1" t="s">
        <v>771</v>
      </c>
      <c r="Y242" s="3">
        <v>43464</v>
      </c>
      <c r="Z242" s="1">
        <v>2018</v>
      </c>
      <c r="AA242" s="2"/>
      <c r="AB242" s="2"/>
      <c r="AC242" s="2">
        <v>600031.56999999995</v>
      </c>
      <c r="AG242" s="1" t="s">
        <v>21</v>
      </c>
      <c r="AI242" s="2">
        <v>600031.56999999995</v>
      </c>
      <c r="AK242" s="1"/>
      <c r="AL242" s="1" t="s">
        <v>127</v>
      </c>
    </row>
    <row r="243" spans="1:38" ht="15" customHeight="1" x14ac:dyDescent="0.2">
      <c r="A243" s="1" t="s">
        <v>19</v>
      </c>
      <c r="B243" s="5" t="s">
        <v>109</v>
      </c>
      <c r="C243" s="1" t="s">
        <v>37</v>
      </c>
      <c r="D243" s="1" t="s">
        <v>132</v>
      </c>
      <c r="E243" s="1" t="s">
        <v>35</v>
      </c>
      <c r="G243" s="1" t="s">
        <v>131</v>
      </c>
      <c r="H243" s="1" t="s">
        <v>130</v>
      </c>
      <c r="I243" s="1" t="s">
        <v>4168</v>
      </c>
      <c r="J243" s="1">
        <v>2022</v>
      </c>
      <c r="P243" s="1" t="s">
        <v>4146</v>
      </c>
      <c r="Q243" s="1" t="s">
        <v>771</v>
      </c>
      <c r="R243" s="1" t="s">
        <v>1060</v>
      </c>
      <c r="S243" s="1" t="s">
        <v>4052</v>
      </c>
      <c r="T243" s="1" t="s">
        <v>4051</v>
      </c>
      <c r="U243" s="1">
        <v>1</v>
      </c>
      <c r="V243" s="1" t="s">
        <v>771</v>
      </c>
      <c r="Y243" s="3">
        <v>44562</v>
      </c>
      <c r="Z243" s="1">
        <v>2022</v>
      </c>
      <c r="AA243" s="2"/>
      <c r="AB243" s="2"/>
      <c r="AC243" s="2">
        <v>596893.71000000008</v>
      </c>
      <c r="AG243" s="1" t="s">
        <v>21</v>
      </c>
      <c r="AI243" s="2">
        <v>596893.71000000008</v>
      </c>
      <c r="AK243" s="1"/>
      <c r="AL243" s="1" t="s">
        <v>127</v>
      </c>
    </row>
    <row r="244" spans="1:38" ht="15" customHeight="1" x14ac:dyDescent="0.2">
      <c r="A244" s="1" t="s">
        <v>19</v>
      </c>
      <c r="B244" s="5" t="s">
        <v>109</v>
      </c>
      <c r="C244" s="1" t="s">
        <v>37</v>
      </c>
      <c r="D244" s="1" t="s">
        <v>132</v>
      </c>
      <c r="E244" s="1" t="s">
        <v>35</v>
      </c>
      <c r="G244" s="1" t="s">
        <v>131</v>
      </c>
      <c r="H244" s="1" t="s">
        <v>130</v>
      </c>
      <c r="I244" s="1" t="s">
        <v>4167</v>
      </c>
      <c r="J244" s="1">
        <v>2019</v>
      </c>
      <c r="P244" s="1" t="s">
        <v>4112</v>
      </c>
      <c r="Q244" s="1" t="s">
        <v>771</v>
      </c>
      <c r="R244" s="1" t="s">
        <v>1060</v>
      </c>
      <c r="S244" s="1" t="s">
        <v>4052</v>
      </c>
      <c r="T244" s="1" t="s">
        <v>4051</v>
      </c>
      <c r="U244" s="1">
        <v>1</v>
      </c>
      <c r="V244" s="1" t="s">
        <v>771</v>
      </c>
      <c r="Y244" s="3">
        <v>43678</v>
      </c>
      <c r="Z244" s="1">
        <v>2019</v>
      </c>
      <c r="AA244" s="2"/>
      <c r="AB244" s="2"/>
      <c r="AC244" s="2">
        <v>663596.74000000011</v>
      </c>
      <c r="AG244" s="1" t="s">
        <v>21</v>
      </c>
      <c r="AI244" s="2">
        <v>663596.74000000011</v>
      </c>
      <c r="AK244" s="1"/>
      <c r="AL244" s="1" t="s">
        <v>127</v>
      </c>
    </row>
    <row r="245" spans="1:38" ht="15" customHeight="1" x14ac:dyDescent="0.2">
      <c r="A245" s="1" t="s">
        <v>19</v>
      </c>
      <c r="B245" s="5" t="s">
        <v>109</v>
      </c>
      <c r="C245" s="1" t="s">
        <v>37</v>
      </c>
      <c r="D245" s="1" t="s">
        <v>132</v>
      </c>
      <c r="E245" s="1" t="s">
        <v>35</v>
      </c>
      <c r="G245" s="1" t="s">
        <v>131</v>
      </c>
      <c r="H245" s="1" t="s">
        <v>130</v>
      </c>
      <c r="I245" s="1" t="s">
        <v>4166</v>
      </c>
      <c r="J245" s="1">
        <v>2018</v>
      </c>
      <c r="P245" s="1" t="s">
        <v>4112</v>
      </c>
      <c r="Q245" s="1" t="s">
        <v>771</v>
      </c>
      <c r="R245" s="1" t="s">
        <v>1060</v>
      </c>
      <c r="S245" s="1" t="s">
        <v>4052</v>
      </c>
      <c r="T245" s="1" t="s">
        <v>4051</v>
      </c>
      <c r="U245" s="1">
        <v>1</v>
      </c>
      <c r="V245" s="1" t="s">
        <v>771</v>
      </c>
      <c r="Y245" s="3">
        <v>43464</v>
      </c>
      <c r="Z245" s="1">
        <v>2018</v>
      </c>
      <c r="AA245" s="2"/>
      <c r="AB245" s="2"/>
      <c r="AC245" s="2">
        <v>613563.67999999993</v>
      </c>
      <c r="AG245" s="1" t="s">
        <v>21</v>
      </c>
      <c r="AI245" s="2">
        <v>613563.67999999993</v>
      </c>
      <c r="AK245" s="1"/>
      <c r="AL245" s="1" t="s">
        <v>127</v>
      </c>
    </row>
    <row r="246" spans="1:38" ht="15" customHeight="1" x14ac:dyDescent="0.2">
      <c r="A246" s="1" t="s">
        <v>19</v>
      </c>
      <c r="B246" s="5" t="s">
        <v>109</v>
      </c>
      <c r="C246" s="1" t="s">
        <v>37</v>
      </c>
      <c r="D246" s="1" t="s">
        <v>132</v>
      </c>
      <c r="E246" s="1" t="s">
        <v>35</v>
      </c>
      <c r="G246" s="1" t="s">
        <v>131</v>
      </c>
      <c r="H246" s="1" t="s">
        <v>130</v>
      </c>
      <c r="I246" s="1" t="s">
        <v>4165</v>
      </c>
      <c r="J246" s="1">
        <v>2018</v>
      </c>
      <c r="P246" s="1" t="s">
        <v>4112</v>
      </c>
      <c r="Q246" s="1" t="s">
        <v>771</v>
      </c>
      <c r="R246" s="1" t="s">
        <v>1060</v>
      </c>
      <c r="S246" s="1" t="s">
        <v>4052</v>
      </c>
      <c r="T246" s="1" t="s">
        <v>4051</v>
      </c>
      <c r="U246" s="1">
        <v>1</v>
      </c>
      <c r="V246" s="1" t="s">
        <v>771</v>
      </c>
      <c r="Y246" s="3">
        <v>43465</v>
      </c>
      <c r="Z246" s="1">
        <v>2018</v>
      </c>
      <c r="AA246" s="2"/>
      <c r="AB246" s="2"/>
      <c r="AC246" s="2">
        <v>506585.4599999999</v>
      </c>
      <c r="AG246" s="1" t="s">
        <v>21</v>
      </c>
      <c r="AI246" s="2">
        <v>506585.4599999999</v>
      </c>
      <c r="AK246" s="1"/>
      <c r="AL246" s="1" t="s">
        <v>127</v>
      </c>
    </row>
    <row r="247" spans="1:38" ht="15" customHeight="1" x14ac:dyDescent="0.2">
      <c r="A247" s="1" t="s">
        <v>19</v>
      </c>
      <c r="B247" s="5" t="s">
        <v>109</v>
      </c>
      <c r="C247" s="1" t="s">
        <v>37</v>
      </c>
      <c r="D247" s="1" t="s">
        <v>132</v>
      </c>
      <c r="E247" s="1" t="s">
        <v>35</v>
      </c>
      <c r="G247" s="1" t="s">
        <v>131</v>
      </c>
      <c r="H247" s="1" t="s">
        <v>130</v>
      </c>
      <c r="I247" s="1" t="s">
        <v>4164</v>
      </c>
      <c r="J247" s="1">
        <v>2019</v>
      </c>
      <c r="P247" s="1" t="s">
        <v>4112</v>
      </c>
      <c r="Q247" s="1" t="s">
        <v>771</v>
      </c>
      <c r="R247" s="1" t="s">
        <v>1060</v>
      </c>
      <c r="S247" s="1" t="s">
        <v>4052</v>
      </c>
      <c r="T247" s="1" t="s">
        <v>4051</v>
      </c>
      <c r="U247" s="1">
        <v>1</v>
      </c>
      <c r="V247" s="1" t="s">
        <v>771</v>
      </c>
      <c r="Y247" s="3">
        <v>43497</v>
      </c>
      <c r="Z247" s="1">
        <v>2019</v>
      </c>
      <c r="AA247" s="2"/>
      <c r="AB247" s="2"/>
      <c r="AC247" s="2">
        <v>280562.68000000005</v>
      </c>
      <c r="AG247" s="1" t="s">
        <v>21</v>
      </c>
      <c r="AI247" s="2">
        <v>280562.68000000005</v>
      </c>
      <c r="AK247" s="1"/>
      <c r="AL247" s="1" t="s">
        <v>127</v>
      </c>
    </row>
    <row r="248" spans="1:38" ht="15" customHeight="1" x14ac:dyDescent="0.2">
      <c r="A248" s="1" t="s">
        <v>19</v>
      </c>
      <c r="B248" s="5" t="s">
        <v>109</v>
      </c>
      <c r="C248" s="1" t="s">
        <v>37</v>
      </c>
      <c r="D248" s="1" t="s">
        <v>132</v>
      </c>
      <c r="E248" s="1" t="s">
        <v>35</v>
      </c>
      <c r="G248" s="1" t="s">
        <v>131</v>
      </c>
      <c r="H248" s="1" t="s">
        <v>130</v>
      </c>
      <c r="I248" s="1" t="s">
        <v>4163</v>
      </c>
      <c r="J248" s="1">
        <v>2021</v>
      </c>
      <c r="P248" s="1" t="s">
        <v>4112</v>
      </c>
      <c r="Q248" s="1" t="s">
        <v>771</v>
      </c>
      <c r="R248" s="1" t="s">
        <v>1060</v>
      </c>
      <c r="S248" s="1" t="s">
        <v>4052</v>
      </c>
      <c r="T248" s="1" t="s">
        <v>4051</v>
      </c>
      <c r="U248" s="1">
        <v>1</v>
      </c>
      <c r="V248" s="1" t="s">
        <v>771</v>
      </c>
      <c r="Y248" s="3">
        <v>44560</v>
      </c>
      <c r="Z248" s="1">
        <v>2021</v>
      </c>
      <c r="AA248" s="2"/>
      <c r="AB248" s="2"/>
      <c r="AC248" s="2">
        <v>515807.07</v>
      </c>
      <c r="AG248" s="1" t="s">
        <v>21</v>
      </c>
      <c r="AI248" s="2">
        <v>515807.07</v>
      </c>
      <c r="AK248" s="1"/>
      <c r="AL248" s="1" t="s">
        <v>127</v>
      </c>
    </row>
    <row r="249" spans="1:38" ht="15" customHeight="1" x14ac:dyDescent="0.2">
      <c r="A249" s="1" t="s">
        <v>19</v>
      </c>
      <c r="B249" s="5" t="s">
        <v>18</v>
      </c>
      <c r="C249" s="1" t="s">
        <v>37</v>
      </c>
      <c r="D249" s="1" t="s">
        <v>36</v>
      </c>
      <c r="E249" s="1" t="s">
        <v>35</v>
      </c>
      <c r="G249" s="1" t="s">
        <v>3400</v>
      </c>
      <c r="H249" s="1" t="s">
        <v>130</v>
      </c>
      <c r="I249" s="1" t="s">
        <v>4162</v>
      </c>
      <c r="J249" s="1">
        <v>2019</v>
      </c>
      <c r="K249" s="1" t="s">
        <v>4161</v>
      </c>
      <c r="L249" s="1" t="s">
        <v>4160</v>
      </c>
      <c r="P249" s="1" t="s">
        <v>4159</v>
      </c>
      <c r="Q249" s="1" t="s">
        <v>771</v>
      </c>
      <c r="R249" s="1" t="s">
        <v>1060</v>
      </c>
      <c r="S249" s="1" t="s">
        <v>4158</v>
      </c>
      <c r="T249" s="1" t="s">
        <v>4157</v>
      </c>
      <c r="U249" s="1">
        <v>1</v>
      </c>
      <c r="V249" s="1" t="s">
        <v>771</v>
      </c>
      <c r="W249" s="1" t="s">
        <v>4156</v>
      </c>
      <c r="X249" s="1" t="s">
        <v>52</v>
      </c>
      <c r="Y249" s="3">
        <v>44035</v>
      </c>
      <c r="Z249" s="1">
        <v>2020</v>
      </c>
      <c r="AA249" s="2">
        <v>26758975</v>
      </c>
      <c r="AB249" s="2"/>
      <c r="AC249" s="2">
        <v>15924254.631199902</v>
      </c>
      <c r="AF249" s="1">
        <v>119</v>
      </c>
      <c r="AG249" s="1" t="s">
        <v>21</v>
      </c>
      <c r="AI249" s="2">
        <v>15924254.631199902</v>
      </c>
      <c r="AJ249" s="1">
        <v>826.48</v>
      </c>
      <c r="AK249" s="1"/>
    </row>
    <row r="250" spans="1:38" ht="15" customHeight="1" x14ac:dyDescent="0.2">
      <c r="A250" s="1" t="s">
        <v>19</v>
      </c>
      <c r="B250" s="5" t="s">
        <v>18</v>
      </c>
      <c r="C250" s="1" t="s">
        <v>37</v>
      </c>
      <c r="D250" s="1" t="s">
        <v>36</v>
      </c>
      <c r="E250" s="1" t="s">
        <v>35</v>
      </c>
      <c r="G250" s="1" t="s">
        <v>3400</v>
      </c>
      <c r="H250" s="1" t="s">
        <v>130</v>
      </c>
      <c r="I250" s="1" t="s">
        <v>4155</v>
      </c>
      <c r="J250" s="1">
        <v>2020</v>
      </c>
      <c r="K250" s="1" t="s">
        <v>4154</v>
      </c>
      <c r="L250" s="1" t="s">
        <v>4153</v>
      </c>
      <c r="P250" s="1" t="s">
        <v>4152</v>
      </c>
      <c r="Q250" s="1" t="s">
        <v>771</v>
      </c>
      <c r="R250" s="1" t="s">
        <v>1060</v>
      </c>
      <c r="S250" s="1" t="s">
        <v>4151</v>
      </c>
      <c r="T250" s="1" t="s">
        <v>4150</v>
      </c>
      <c r="U250" s="1">
        <v>1</v>
      </c>
      <c r="V250" s="1" t="s">
        <v>771</v>
      </c>
      <c r="W250" s="1" t="s">
        <v>4149</v>
      </c>
      <c r="X250" s="1" t="s">
        <v>52</v>
      </c>
      <c r="Y250" s="3">
        <v>44333</v>
      </c>
      <c r="Z250" s="1">
        <v>2021</v>
      </c>
      <c r="AA250" s="2">
        <v>3975283.23</v>
      </c>
      <c r="AB250" s="2"/>
      <c r="AC250" s="2">
        <v>3929933.33</v>
      </c>
      <c r="AF250" s="1">
        <v>16</v>
      </c>
      <c r="AG250" s="1" t="s">
        <v>21</v>
      </c>
      <c r="AI250" s="2">
        <v>3929933.33</v>
      </c>
      <c r="AJ250" s="1">
        <v>173.54</v>
      </c>
      <c r="AK250" s="1"/>
      <c r="AL250" s="7" t="s">
        <v>3395</v>
      </c>
    </row>
    <row r="251" spans="1:38" ht="15" customHeight="1" x14ac:dyDescent="0.2">
      <c r="A251" s="1" t="s">
        <v>19</v>
      </c>
      <c r="B251" s="5" t="s">
        <v>109</v>
      </c>
      <c r="C251" s="1" t="s">
        <v>37</v>
      </c>
      <c r="D251" s="1" t="s">
        <v>132</v>
      </c>
      <c r="E251" s="1" t="s">
        <v>35</v>
      </c>
      <c r="G251" s="1" t="s">
        <v>131</v>
      </c>
      <c r="H251" s="1" t="s">
        <v>130</v>
      </c>
      <c r="I251" s="1" t="s">
        <v>4148</v>
      </c>
      <c r="J251" s="1">
        <v>2021</v>
      </c>
      <c r="P251" s="1" t="s">
        <v>4112</v>
      </c>
      <c r="Q251" s="1" t="s">
        <v>771</v>
      </c>
      <c r="R251" s="1" t="s">
        <v>1060</v>
      </c>
      <c r="S251" s="1" t="s">
        <v>4052</v>
      </c>
      <c r="T251" s="1" t="s">
        <v>4051</v>
      </c>
      <c r="U251" s="1">
        <v>1</v>
      </c>
      <c r="V251" s="1" t="s">
        <v>771</v>
      </c>
      <c r="Y251" s="3">
        <v>44555</v>
      </c>
      <c r="Z251" s="1">
        <v>2021</v>
      </c>
      <c r="AA251" s="2"/>
      <c r="AB251" s="2"/>
      <c r="AC251" s="2">
        <v>830819.55</v>
      </c>
      <c r="AG251" s="1" t="s">
        <v>21</v>
      </c>
      <c r="AI251" s="2">
        <v>830819.55</v>
      </c>
      <c r="AK251" s="1"/>
      <c r="AL251" s="1" t="s">
        <v>127</v>
      </c>
    </row>
    <row r="252" spans="1:38" ht="15" customHeight="1" x14ac:dyDescent="0.2">
      <c r="A252" s="1" t="s">
        <v>19</v>
      </c>
      <c r="B252" s="5" t="s">
        <v>109</v>
      </c>
      <c r="C252" s="1" t="s">
        <v>37</v>
      </c>
      <c r="D252" s="1" t="s">
        <v>132</v>
      </c>
      <c r="E252" s="1" t="s">
        <v>35</v>
      </c>
      <c r="G252" s="1" t="s">
        <v>135</v>
      </c>
      <c r="H252" s="1" t="s">
        <v>130</v>
      </c>
      <c r="I252" s="1" t="s">
        <v>4147</v>
      </c>
      <c r="J252" s="1">
        <v>2020</v>
      </c>
      <c r="P252" s="1" t="s">
        <v>4146</v>
      </c>
      <c r="Q252" s="1" t="s">
        <v>771</v>
      </c>
      <c r="R252" s="1" t="s">
        <v>1060</v>
      </c>
      <c r="S252" s="1" t="s">
        <v>4080</v>
      </c>
      <c r="T252" s="1" t="s">
        <v>4079</v>
      </c>
      <c r="U252" s="1">
        <v>1</v>
      </c>
      <c r="V252" s="1" t="s">
        <v>771</v>
      </c>
      <c r="Y252" s="3">
        <v>44160</v>
      </c>
      <c r="Z252" s="1">
        <v>2020</v>
      </c>
      <c r="AA252" s="2"/>
      <c r="AB252" s="2"/>
      <c r="AC252" s="2">
        <v>18666.36</v>
      </c>
      <c r="AG252" s="1" t="s">
        <v>21</v>
      </c>
      <c r="AI252" s="2">
        <v>18666.36</v>
      </c>
      <c r="AK252" s="1"/>
    </row>
    <row r="253" spans="1:38" ht="15" customHeight="1" x14ac:dyDescent="0.2">
      <c r="A253" s="1" t="s">
        <v>19</v>
      </c>
      <c r="B253" s="5" t="s">
        <v>109</v>
      </c>
      <c r="C253" s="1" t="s">
        <v>37</v>
      </c>
      <c r="D253" s="1" t="s">
        <v>132</v>
      </c>
      <c r="E253" s="1" t="s">
        <v>35</v>
      </c>
      <c r="G253" s="1" t="s">
        <v>131</v>
      </c>
      <c r="H253" s="1" t="s">
        <v>130</v>
      </c>
      <c r="I253" s="1" t="s">
        <v>4145</v>
      </c>
      <c r="J253" s="1">
        <v>2020</v>
      </c>
      <c r="P253" s="1" t="s">
        <v>4112</v>
      </c>
      <c r="Q253" s="1" t="s">
        <v>771</v>
      </c>
      <c r="R253" s="1" t="s">
        <v>1060</v>
      </c>
      <c r="S253" s="1" t="s">
        <v>4052</v>
      </c>
      <c r="T253" s="1" t="s">
        <v>4051</v>
      </c>
      <c r="U253" s="1">
        <v>1</v>
      </c>
      <c r="V253" s="1" t="s">
        <v>771</v>
      </c>
      <c r="Y253" s="3">
        <v>43831</v>
      </c>
      <c r="Z253" s="1">
        <v>2020</v>
      </c>
      <c r="AA253" s="2"/>
      <c r="AB253" s="2"/>
      <c r="AC253" s="2">
        <v>384427.05</v>
      </c>
      <c r="AG253" s="1" t="s">
        <v>21</v>
      </c>
      <c r="AI253" s="2">
        <v>384427.05</v>
      </c>
      <c r="AK253" s="1"/>
      <c r="AL253" s="1" t="s">
        <v>127</v>
      </c>
    </row>
    <row r="254" spans="1:38" ht="15" customHeight="1" x14ac:dyDescent="0.2">
      <c r="A254" s="1" t="s">
        <v>19</v>
      </c>
      <c r="B254" s="5" t="s">
        <v>109</v>
      </c>
      <c r="C254" s="1" t="s">
        <v>37</v>
      </c>
      <c r="D254" s="1" t="s">
        <v>132</v>
      </c>
      <c r="E254" s="1" t="s">
        <v>35</v>
      </c>
      <c r="G254" s="1" t="s">
        <v>131</v>
      </c>
      <c r="H254" s="1" t="s">
        <v>130</v>
      </c>
      <c r="I254" s="1" t="s">
        <v>4144</v>
      </c>
      <c r="J254" s="1">
        <v>2021</v>
      </c>
      <c r="P254" s="1" t="s">
        <v>4112</v>
      </c>
      <c r="Q254" s="1" t="s">
        <v>771</v>
      </c>
      <c r="R254" s="1" t="s">
        <v>1060</v>
      </c>
      <c r="S254" s="1" t="s">
        <v>4052</v>
      </c>
      <c r="T254" s="1" t="s">
        <v>4051</v>
      </c>
      <c r="U254" s="1">
        <v>1</v>
      </c>
      <c r="V254" s="1" t="s">
        <v>771</v>
      </c>
      <c r="Y254" s="3">
        <v>44560</v>
      </c>
      <c r="Z254" s="1">
        <v>2021</v>
      </c>
      <c r="AA254" s="2"/>
      <c r="AB254" s="2"/>
      <c r="AC254" s="2">
        <v>216694.26000000004</v>
      </c>
      <c r="AG254" s="1" t="s">
        <v>21</v>
      </c>
      <c r="AI254" s="2">
        <v>216694.26000000004</v>
      </c>
      <c r="AK254" s="1"/>
      <c r="AL254" s="1" t="s">
        <v>127</v>
      </c>
    </row>
    <row r="255" spans="1:38" ht="15" customHeight="1" x14ac:dyDescent="0.2">
      <c r="A255" s="1" t="s">
        <v>19</v>
      </c>
      <c r="B255" s="5" t="s">
        <v>109</v>
      </c>
      <c r="C255" s="1" t="s">
        <v>37</v>
      </c>
      <c r="D255" s="1" t="s">
        <v>132</v>
      </c>
      <c r="E255" s="1" t="s">
        <v>35</v>
      </c>
      <c r="G255" s="1" t="s">
        <v>131</v>
      </c>
      <c r="H255" s="1" t="s">
        <v>130</v>
      </c>
      <c r="I255" s="1" t="s">
        <v>4143</v>
      </c>
      <c r="J255" s="1">
        <v>2018</v>
      </c>
      <c r="P255" s="1" t="s">
        <v>4112</v>
      </c>
      <c r="Q255" s="1" t="s">
        <v>771</v>
      </c>
      <c r="R255" s="1" t="s">
        <v>1060</v>
      </c>
      <c r="S255" s="1" t="s">
        <v>4052</v>
      </c>
      <c r="T255" s="1" t="s">
        <v>4051</v>
      </c>
      <c r="U255" s="1">
        <v>1</v>
      </c>
      <c r="V255" s="1" t="s">
        <v>771</v>
      </c>
      <c r="Y255" s="3">
        <v>43464</v>
      </c>
      <c r="Z255" s="1">
        <v>2018</v>
      </c>
      <c r="AA255" s="2"/>
      <c r="AB255" s="2"/>
      <c r="AC255" s="2">
        <v>491131.25</v>
      </c>
      <c r="AG255" s="1" t="s">
        <v>21</v>
      </c>
      <c r="AI255" s="2">
        <v>491131.25</v>
      </c>
      <c r="AK255" s="1"/>
      <c r="AL255" s="1" t="s">
        <v>127</v>
      </c>
    </row>
    <row r="256" spans="1:38" ht="15" customHeight="1" x14ac:dyDescent="0.2">
      <c r="A256" s="1" t="s">
        <v>19</v>
      </c>
      <c r="B256" s="5" t="s">
        <v>109</v>
      </c>
      <c r="C256" s="1" t="s">
        <v>37</v>
      </c>
      <c r="D256" s="1" t="s">
        <v>132</v>
      </c>
      <c r="E256" s="1" t="s">
        <v>35</v>
      </c>
      <c r="G256" s="1" t="s">
        <v>131</v>
      </c>
      <c r="H256" s="1" t="s">
        <v>130</v>
      </c>
      <c r="I256" s="1" t="s">
        <v>4142</v>
      </c>
      <c r="J256" s="1">
        <v>2018</v>
      </c>
      <c r="P256" s="1" t="s">
        <v>4112</v>
      </c>
      <c r="Q256" s="1" t="s">
        <v>771</v>
      </c>
      <c r="R256" s="1" t="s">
        <v>1060</v>
      </c>
      <c r="S256" s="1" t="s">
        <v>4052</v>
      </c>
      <c r="T256" s="1" t="s">
        <v>4051</v>
      </c>
      <c r="U256" s="1">
        <v>1</v>
      </c>
      <c r="V256" s="1" t="s">
        <v>771</v>
      </c>
      <c r="Y256" s="3">
        <v>43464</v>
      </c>
      <c r="Z256" s="1">
        <v>2018</v>
      </c>
      <c r="AA256" s="2"/>
      <c r="AB256" s="2"/>
      <c r="AC256" s="2">
        <v>623504.04</v>
      </c>
      <c r="AG256" s="1" t="s">
        <v>21</v>
      </c>
      <c r="AI256" s="2">
        <v>623504.04</v>
      </c>
      <c r="AK256" s="1"/>
      <c r="AL256" s="1" t="s">
        <v>127</v>
      </c>
    </row>
    <row r="257" spans="1:38" ht="15" customHeight="1" x14ac:dyDescent="0.2">
      <c r="A257" s="1" t="s">
        <v>19</v>
      </c>
      <c r="B257" s="5" t="s">
        <v>109</v>
      </c>
      <c r="C257" s="1" t="s">
        <v>37</v>
      </c>
      <c r="D257" s="1" t="s">
        <v>132</v>
      </c>
      <c r="E257" s="1" t="s">
        <v>35</v>
      </c>
      <c r="G257" s="1" t="s">
        <v>131</v>
      </c>
      <c r="H257" s="1" t="s">
        <v>130</v>
      </c>
      <c r="I257" s="1" t="s">
        <v>4141</v>
      </c>
      <c r="J257" s="1">
        <v>2020</v>
      </c>
      <c r="P257" s="1" t="s">
        <v>4112</v>
      </c>
      <c r="Q257" s="1" t="s">
        <v>771</v>
      </c>
      <c r="R257" s="1" t="s">
        <v>1060</v>
      </c>
      <c r="S257" s="1" t="s">
        <v>4052</v>
      </c>
      <c r="T257" s="1" t="s">
        <v>4051</v>
      </c>
      <c r="U257" s="1">
        <v>1</v>
      </c>
      <c r="V257" s="1" t="s">
        <v>771</v>
      </c>
      <c r="Y257" s="3">
        <v>43831</v>
      </c>
      <c r="Z257" s="1">
        <v>2020</v>
      </c>
      <c r="AA257" s="2"/>
      <c r="AB257" s="2"/>
      <c r="AC257" s="2">
        <v>723165.31999999983</v>
      </c>
      <c r="AG257" s="1" t="s">
        <v>21</v>
      </c>
      <c r="AI257" s="2">
        <v>723165.31999999983</v>
      </c>
      <c r="AK257" s="1"/>
      <c r="AL257" s="1" t="s">
        <v>127</v>
      </c>
    </row>
    <row r="258" spans="1:38" ht="15" customHeight="1" x14ac:dyDescent="0.2">
      <c r="A258" s="1" t="s">
        <v>19</v>
      </c>
      <c r="B258" s="5" t="s">
        <v>109</v>
      </c>
      <c r="C258" s="1" t="s">
        <v>37</v>
      </c>
      <c r="D258" s="1" t="s">
        <v>132</v>
      </c>
      <c r="E258" s="1" t="s">
        <v>35</v>
      </c>
      <c r="G258" s="1" t="s">
        <v>131</v>
      </c>
      <c r="H258" s="1" t="s">
        <v>130</v>
      </c>
      <c r="I258" s="1" t="s">
        <v>4140</v>
      </c>
      <c r="J258" s="1">
        <v>2024</v>
      </c>
      <c r="P258" s="1" t="s">
        <v>4112</v>
      </c>
      <c r="Q258" s="1" t="s">
        <v>771</v>
      </c>
      <c r="R258" s="1" t="s">
        <v>1060</v>
      </c>
      <c r="S258" s="1" t="s">
        <v>4052</v>
      </c>
      <c r="T258" s="1" t="s">
        <v>4051</v>
      </c>
      <c r="U258" s="1">
        <v>1</v>
      </c>
      <c r="V258" s="1" t="s">
        <v>771</v>
      </c>
      <c r="Y258" s="3">
        <v>45419</v>
      </c>
      <c r="Z258" s="1">
        <v>2024</v>
      </c>
      <c r="AA258" s="2"/>
      <c r="AB258" s="2"/>
      <c r="AC258" s="2">
        <v>520545.83</v>
      </c>
      <c r="AG258" s="1" t="s">
        <v>21</v>
      </c>
      <c r="AI258" s="2">
        <v>520545.83</v>
      </c>
      <c r="AK258" s="1"/>
      <c r="AL258" s="1" t="s">
        <v>127</v>
      </c>
    </row>
    <row r="259" spans="1:38" ht="15" customHeight="1" x14ac:dyDescent="0.2">
      <c r="A259" s="1" t="s">
        <v>19</v>
      </c>
      <c r="B259" s="5" t="s">
        <v>109</v>
      </c>
      <c r="C259" s="1" t="s">
        <v>37</v>
      </c>
      <c r="D259" s="1" t="s">
        <v>132</v>
      </c>
      <c r="E259" s="1" t="s">
        <v>35</v>
      </c>
      <c r="G259" s="1" t="s">
        <v>135</v>
      </c>
      <c r="H259" s="1" t="s">
        <v>130</v>
      </c>
      <c r="I259" s="1" t="s">
        <v>4139</v>
      </c>
      <c r="J259" s="1">
        <v>2021</v>
      </c>
      <c r="P259" s="1" t="s">
        <v>4112</v>
      </c>
      <c r="Q259" s="1" t="s">
        <v>771</v>
      </c>
      <c r="R259" s="1" t="s">
        <v>1060</v>
      </c>
      <c r="S259" s="1" t="s">
        <v>4052</v>
      </c>
      <c r="T259" s="1" t="s">
        <v>4051</v>
      </c>
      <c r="U259" s="1">
        <v>1</v>
      </c>
      <c r="V259" s="1" t="s">
        <v>771</v>
      </c>
      <c r="Y259" s="3">
        <v>44299</v>
      </c>
      <c r="Z259" s="1">
        <v>2021</v>
      </c>
      <c r="AA259" s="2"/>
      <c r="AB259" s="2"/>
      <c r="AC259" s="2">
        <v>79451.740000000005</v>
      </c>
      <c r="AG259" s="1" t="s">
        <v>21</v>
      </c>
      <c r="AI259" s="2">
        <v>79451.740000000005</v>
      </c>
      <c r="AK259" s="1"/>
    </row>
    <row r="260" spans="1:38" ht="15" customHeight="1" x14ac:dyDescent="0.2">
      <c r="A260" s="1" t="s">
        <v>19</v>
      </c>
      <c r="B260" s="5" t="s">
        <v>109</v>
      </c>
      <c r="C260" s="1" t="s">
        <v>37</v>
      </c>
      <c r="D260" s="1" t="s">
        <v>132</v>
      </c>
      <c r="E260" s="1" t="s">
        <v>35</v>
      </c>
      <c r="G260" s="1" t="s">
        <v>135</v>
      </c>
      <c r="H260" s="1" t="s">
        <v>130</v>
      </c>
      <c r="I260" s="1" t="s">
        <v>4138</v>
      </c>
      <c r="J260" s="1">
        <v>2021</v>
      </c>
      <c r="P260" s="1" t="s">
        <v>4112</v>
      </c>
      <c r="Q260" s="1" t="s">
        <v>771</v>
      </c>
      <c r="R260" s="1" t="s">
        <v>1060</v>
      </c>
      <c r="S260" s="1" t="s">
        <v>4052</v>
      </c>
      <c r="T260" s="1" t="s">
        <v>4051</v>
      </c>
      <c r="U260" s="1">
        <v>1</v>
      </c>
      <c r="V260" s="1" t="s">
        <v>771</v>
      </c>
      <c r="Y260" s="3">
        <v>44299</v>
      </c>
      <c r="Z260" s="1">
        <v>2021</v>
      </c>
      <c r="AA260" s="2"/>
      <c r="AB260" s="2"/>
      <c r="AC260" s="2">
        <v>41672.28</v>
      </c>
      <c r="AG260" s="1" t="s">
        <v>21</v>
      </c>
      <c r="AI260" s="2">
        <v>41672.28</v>
      </c>
      <c r="AK260" s="1"/>
    </row>
    <row r="261" spans="1:38" ht="15" customHeight="1" x14ac:dyDescent="0.2">
      <c r="A261" s="1" t="s">
        <v>19</v>
      </c>
      <c r="B261" s="5" t="s">
        <v>109</v>
      </c>
      <c r="C261" s="1" t="s">
        <v>37</v>
      </c>
      <c r="D261" s="1" t="s">
        <v>132</v>
      </c>
      <c r="E261" s="1" t="s">
        <v>35</v>
      </c>
      <c r="G261" s="1" t="s">
        <v>135</v>
      </c>
      <c r="H261" s="1" t="s">
        <v>130</v>
      </c>
      <c r="I261" s="1" t="s">
        <v>4137</v>
      </c>
      <c r="J261" s="1">
        <v>2021</v>
      </c>
      <c r="P261" s="1" t="s">
        <v>4112</v>
      </c>
      <c r="Q261" s="1" t="s">
        <v>771</v>
      </c>
      <c r="R261" s="1" t="s">
        <v>1060</v>
      </c>
      <c r="S261" s="1" t="s">
        <v>4052</v>
      </c>
      <c r="T261" s="1" t="s">
        <v>4051</v>
      </c>
      <c r="U261" s="1">
        <v>1</v>
      </c>
      <c r="V261" s="1" t="s">
        <v>771</v>
      </c>
      <c r="Y261" s="3">
        <v>44299</v>
      </c>
      <c r="Z261" s="1">
        <v>2021</v>
      </c>
      <c r="AA261" s="2"/>
      <c r="AB261" s="2"/>
      <c r="AC261" s="2">
        <v>75834.87</v>
      </c>
      <c r="AG261" s="1" t="s">
        <v>21</v>
      </c>
      <c r="AI261" s="2">
        <v>75834.87</v>
      </c>
      <c r="AK261" s="1"/>
    </row>
    <row r="262" spans="1:38" ht="15" customHeight="1" x14ac:dyDescent="0.2">
      <c r="A262" s="1" t="s">
        <v>19</v>
      </c>
      <c r="B262" s="5" t="s">
        <v>109</v>
      </c>
      <c r="C262" s="1" t="s">
        <v>37</v>
      </c>
      <c r="D262" s="1" t="s">
        <v>132</v>
      </c>
      <c r="E262" s="1" t="s">
        <v>35</v>
      </c>
      <c r="G262" s="1" t="s">
        <v>135</v>
      </c>
      <c r="H262" s="1" t="s">
        <v>130</v>
      </c>
      <c r="I262" s="1" t="s">
        <v>4136</v>
      </c>
      <c r="J262" s="1">
        <v>2021</v>
      </c>
      <c r="P262" s="1" t="s">
        <v>4112</v>
      </c>
      <c r="Q262" s="1" t="s">
        <v>771</v>
      </c>
      <c r="R262" s="1" t="s">
        <v>1060</v>
      </c>
      <c r="S262" s="1" t="s">
        <v>4052</v>
      </c>
      <c r="T262" s="1" t="s">
        <v>4051</v>
      </c>
      <c r="U262" s="1">
        <v>1</v>
      </c>
      <c r="V262" s="1" t="s">
        <v>771</v>
      </c>
      <c r="Y262" s="3">
        <v>44299</v>
      </c>
      <c r="Z262" s="1">
        <v>2021</v>
      </c>
      <c r="AA262" s="2"/>
      <c r="AB262" s="2"/>
      <c r="AC262" s="2">
        <v>77507.38</v>
      </c>
      <c r="AG262" s="1" t="s">
        <v>21</v>
      </c>
      <c r="AI262" s="2">
        <v>77507.38</v>
      </c>
      <c r="AK262" s="1"/>
    </row>
    <row r="263" spans="1:38" ht="15" customHeight="1" x14ac:dyDescent="0.2">
      <c r="A263" s="1" t="s">
        <v>19</v>
      </c>
      <c r="B263" s="5" t="s">
        <v>109</v>
      </c>
      <c r="C263" s="1" t="s">
        <v>37</v>
      </c>
      <c r="D263" s="1" t="s">
        <v>132</v>
      </c>
      <c r="E263" s="1" t="s">
        <v>35</v>
      </c>
      <c r="G263" s="1" t="s">
        <v>135</v>
      </c>
      <c r="H263" s="1" t="s">
        <v>130</v>
      </c>
      <c r="I263" s="1" t="s">
        <v>4135</v>
      </c>
      <c r="J263" s="1">
        <v>2021</v>
      </c>
      <c r="P263" s="1" t="s">
        <v>4112</v>
      </c>
      <c r="Q263" s="1" t="s">
        <v>771</v>
      </c>
      <c r="R263" s="1" t="s">
        <v>1060</v>
      </c>
      <c r="S263" s="1" t="s">
        <v>4052</v>
      </c>
      <c r="T263" s="1" t="s">
        <v>4051</v>
      </c>
      <c r="U263" s="1">
        <v>1</v>
      </c>
      <c r="V263" s="1" t="s">
        <v>771</v>
      </c>
      <c r="Y263" s="3">
        <v>44299</v>
      </c>
      <c r="Z263" s="1">
        <v>2021</v>
      </c>
      <c r="AA263" s="2"/>
      <c r="AB263" s="2"/>
      <c r="AC263" s="2">
        <v>50785.120000000003</v>
      </c>
      <c r="AG263" s="1" t="s">
        <v>21</v>
      </c>
      <c r="AI263" s="2">
        <v>50785.120000000003</v>
      </c>
      <c r="AK263" s="1"/>
    </row>
    <row r="264" spans="1:38" ht="15" customHeight="1" x14ac:dyDescent="0.2">
      <c r="A264" s="1" t="s">
        <v>19</v>
      </c>
      <c r="B264" s="5" t="s">
        <v>109</v>
      </c>
      <c r="C264" s="1" t="s">
        <v>37</v>
      </c>
      <c r="D264" s="1" t="s">
        <v>132</v>
      </c>
      <c r="E264" s="1" t="s">
        <v>35</v>
      </c>
      <c r="G264" s="1" t="s">
        <v>135</v>
      </c>
      <c r="H264" s="1" t="s">
        <v>130</v>
      </c>
      <c r="I264" s="1" t="s">
        <v>4134</v>
      </c>
      <c r="J264" s="1">
        <v>2021</v>
      </c>
      <c r="P264" s="1" t="s">
        <v>4112</v>
      </c>
      <c r="Q264" s="1" t="s">
        <v>771</v>
      </c>
      <c r="R264" s="1" t="s">
        <v>1060</v>
      </c>
      <c r="S264" s="1" t="s">
        <v>4052</v>
      </c>
      <c r="T264" s="1" t="s">
        <v>4051</v>
      </c>
      <c r="U264" s="1">
        <v>1</v>
      </c>
      <c r="V264" s="1" t="s">
        <v>771</v>
      </c>
      <c r="Y264" s="3">
        <v>44299</v>
      </c>
      <c r="Z264" s="1">
        <v>2021</v>
      </c>
      <c r="AA264" s="2"/>
      <c r="AB264" s="2"/>
      <c r="AC264" s="2">
        <v>53333.77</v>
      </c>
      <c r="AG264" s="1" t="s">
        <v>21</v>
      </c>
      <c r="AI264" s="2">
        <v>53333.77</v>
      </c>
      <c r="AK264" s="1"/>
    </row>
    <row r="265" spans="1:38" ht="15" customHeight="1" x14ac:dyDescent="0.2">
      <c r="A265" s="1" t="s">
        <v>19</v>
      </c>
      <c r="B265" s="5" t="s">
        <v>109</v>
      </c>
      <c r="C265" s="1" t="s">
        <v>37</v>
      </c>
      <c r="D265" s="1" t="s">
        <v>132</v>
      </c>
      <c r="E265" s="1" t="s">
        <v>35</v>
      </c>
      <c r="G265" s="1" t="s">
        <v>135</v>
      </c>
      <c r="H265" s="1" t="s">
        <v>130</v>
      </c>
      <c r="I265" s="1" t="s">
        <v>4133</v>
      </c>
      <c r="J265" s="1">
        <v>2021</v>
      </c>
      <c r="P265" s="1" t="s">
        <v>4112</v>
      </c>
      <c r="Q265" s="1" t="s">
        <v>771</v>
      </c>
      <c r="R265" s="1" t="s">
        <v>1060</v>
      </c>
      <c r="S265" s="1" t="s">
        <v>4052</v>
      </c>
      <c r="T265" s="1" t="s">
        <v>4051</v>
      </c>
      <c r="U265" s="1">
        <v>1</v>
      </c>
      <c r="V265" s="1" t="s">
        <v>771</v>
      </c>
      <c r="Y265" s="3">
        <v>44299</v>
      </c>
      <c r="Z265" s="1">
        <v>2021</v>
      </c>
      <c r="AA265" s="2"/>
      <c r="AB265" s="2"/>
      <c r="AC265" s="2">
        <v>46735.31</v>
      </c>
      <c r="AG265" s="1" t="s">
        <v>21</v>
      </c>
      <c r="AI265" s="2">
        <v>46735.31</v>
      </c>
      <c r="AK265" s="1"/>
    </row>
    <row r="266" spans="1:38" ht="15" customHeight="1" x14ac:dyDescent="0.2">
      <c r="A266" s="1" t="s">
        <v>19</v>
      </c>
      <c r="B266" s="5" t="s">
        <v>109</v>
      </c>
      <c r="C266" s="1" t="s">
        <v>37</v>
      </c>
      <c r="D266" s="1" t="s">
        <v>132</v>
      </c>
      <c r="E266" s="1" t="s">
        <v>35</v>
      </c>
      <c r="G266" s="1" t="s">
        <v>131</v>
      </c>
      <c r="H266" s="1" t="s">
        <v>130</v>
      </c>
      <c r="I266" s="1" t="s">
        <v>4132</v>
      </c>
      <c r="J266" s="1">
        <v>2018</v>
      </c>
      <c r="P266" s="1" t="s">
        <v>4112</v>
      </c>
      <c r="Q266" s="1" t="s">
        <v>771</v>
      </c>
      <c r="R266" s="1" t="s">
        <v>1060</v>
      </c>
      <c r="S266" s="1" t="s">
        <v>4052</v>
      </c>
      <c r="T266" s="1" t="s">
        <v>4051</v>
      </c>
      <c r="U266" s="1">
        <v>1</v>
      </c>
      <c r="V266" s="1" t="s">
        <v>771</v>
      </c>
      <c r="Y266" s="3">
        <v>43464</v>
      </c>
      <c r="Z266" s="1">
        <v>2018</v>
      </c>
      <c r="AA266" s="2"/>
      <c r="AB266" s="2"/>
      <c r="AC266" s="2">
        <v>352335.58999999997</v>
      </c>
      <c r="AG266" s="1" t="s">
        <v>21</v>
      </c>
      <c r="AI266" s="2">
        <v>352335.58999999997</v>
      </c>
      <c r="AK266" s="1"/>
      <c r="AL266" s="1" t="s">
        <v>127</v>
      </c>
    </row>
    <row r="267" spans="1:38" ht="15" customHeight="1" x14ac:dyDescent="0.2">
      <c r="A267" s="1" t="s">
        <v>19</v>
      </c>
      <c r="B267" s="5" t="s">
        <v>109</v>
      </c>
      <c r="C267" s="1" t="s">
        <v>37</v>
      </c>
      <c r="D267" s="1" t="s">
        <v>132</v>
      </c>
      <c r="E267" s="1" t="s">
        <v>35</v>
      </c>
      <c r="G267" s="1" t="s">
        <v>131</v>
      </c>
      <c r="H267" s="1" t="s">
        <v>130</v>
      </c>
      <c r="I267" s="1" t="s">
        <v>4131</v>
      </c>
      <c r="J267" s="1">
        <v>2020</v>
      </c>
      <c r="P267" s="1" t="s">
        <v>4112</v>
      </c>
      <c r="Q267" s="1" t="s">
        <v>771</v>
      </c>
      <c r="R267" s="1" t="s">
        <v>1060</v>
      </c>
      <c r="S267" s="1" t="s">
        <v>4052</v>
      </c>
      <c r="T267" s="1" t="s">
        <v>4051</v>
      </c>
      <c r="U267" s="1">
        <v>1</v>
      </c>
      <c r="V267" s="1" t="s">
        <v>771</v>
      </c>
      <c r="Y267" s="3">
        <v>43831</v>
      </c>
      <c r="Z267" s="1">
        <v>2020</v>
      </c>
      <c r="AA267" s="2"/>
      <c r="AB267" s="2"/>
      <c r="AC267" s="2">
        <v>582146.80000000005</v>
      </c>
      <c r="AG267" s="1" t="s">
        <v>21</v>
      </c>
      <c r="AI267" s="2">
        <v>582146.80000000005</v>
      </c>
      <c r="AK267" s="1"/>
      <c r="AL267" s="1" t="s">
        <v>127</v>
      </c>
    </row>
    <row r="268" spans="1:38" ht="15" customHeight="1" x14ac:dyDescent="0.2">
      <c r="A268" s="1" t="s">
        <v>19</v>
      </c>
      <c r="B268" s="5" t="s">
        <v>109</v>
      </c>
      <c r="C268" s="1" t="s">
        <v>37</v>
      </c>
      <c r="D268" s="1" t="s">
        <v>132</v>
      </c>
      <c r="E268" s="1" t="s">
        <v>35</v>
      </c>
      <c r="G268" s="1" t="s">
        <v>131</v>
      </c>
      <c r="H268" s="1" t="s">
        <v>130</v>
      </c>
      <c r="I268" s="1" t="s">
        <v>4130</v>
      </c>
      <c r="J268" s="1">
        <v>2018</v>
      </c>
      <c r="P268" s="1" t="s">
        <v>4112</v>
      </c>
      <c r="Q268" s="1" t="s">
        <v>771</v>
      </c>
      <c r="R268" s="1" t="s">
        <v>1060</v>
      </c>
      <c r="S268" s="1" t="s">
        <v>4052</v>
      </c>
      <c r="T268" s="1" t="s">
        <v>4051</v>
      </c>
      <c r="U268" s="1">
        <v>1</v>
      </c>
      <c r="V268" s="1" t="s">
        <v>771</v>
      </c>
      <c r="Y268" s="3">
        <v>43464</v>
      </c>
      <c r="Z268" s="1">
        <v>2018</v>
      </c>
      <c r="AA268" s="2"/>
      <c r="AB268" s="2"/>
      <c r="AC268" s="2">
        <v>642366.44000000006</v>
      </c>
      <c r="AG268" s="1" t="s">
        <v>21</v>
      </c>
      <c r="AI268" s="2">
        <v>642366.44000000006</v>
      </c>
      <c r="AK268" s="1"/>
      <c r="AL268" s="1" t="s">
        <v>127</v>
      </c>
    </row>
    <row r="269" spans="1:38" ht="15" customHeight="1" x14ac:dyDescent="0.2">
      <c r="A269" s="1" t="s">
        <v>19</v>
      </c>
      <c r="B269" s="5" t="s">
        <v>109</v>
      </c>
      <c r="C269" s="1" t="s">
        <v>37</v>
      </c>
      <c r="D269" s="1" t="s">
        <v>132</v>
      </c>
      <c r="E269" s="1" t="s">
        <v>35</v>
      </c>
      <c r="G269" s="1" t="s">
        <v>131</v>
      </c>
      <c r="H269" s="1" t="s">
        <v>130</v>
      </c>
      <c r="I269" s="1" t="s">
        <v>4129</v>
      </c>
      <c r="J269" s="1">
        <v>2018</v>
      </c>
      <c r="P269" s="1" t="s">
        <v>4112</v>
      </c>
      <c r="Q269" s="1" t="s">
        <v>771</v>
      </c>
      <c r="R269" s="1" t="s">
        <v>1060</v>
      </c>
      <c r="S269" s="1" t="s">
        <v>4052</v>
      </c>
      <c r="T269" s="1" t="s">
        <v>4051</v>
      </c>
      <c r="U269" s="1">
        <v>1</v>
      </c>
      <c r="V269" s="1" t="s">
        <v>771</v>
      </c>
      <c r="Y269" s="3">
        <v>43464</v>
      </c>
      <c r="Z269" s="1">
        <v>2018</v>
      </c>
      <c r="AA269" s="2"/>
      <c r="AB269" s="2"/>
      <c r="AC269" s="2">
        <v>452191.33</v>
      </c>
      <c r="AG269" s="1" t="s">
        <v>21</v>
      </c>
      <c r="AI269" s="2">
        <v>452191.33</v>
      </c>
      <c r="AK269" s="1"/>
      <c r="AL269" s="1" t="s">
        <v>127</v>
      </c>
    </row>
    <row r="270" spans="1:38" ht="15" customHeight="1" x14ac:dyDescent="0.2">
      <c r="A270" s="1" t="s">
        <v>19</v>
      </c>
      <c r="B270" s="5" t="s">
        <v>109</v>
      </c>
      <c r="C270" s="1" t="s">
        <v>37</v>
      </c>
      <c r="D270" s="1" t="s">
        <v>132</v>
      </c>
      <c r="E270" s="1" t="s">
        <v>35</v>
      </c>
      <c r="G270" s="1" t="s">
        <v>131</v>
      </c>
      <c r="H270" s="1" t="s">
        <v>130</v>
      </c>
      <c r="I270" s="1" t="s">
        <v>4128</v>
      </c>
      <c r="J270" s="1">
        <v>2018</v>
      </c>
      <c r="P270" s="1" t="s">
        <v>4112</v>
      </c>
      <c r="Q270" s="1" t="s">
        <v>771</v>
      </c>
      <c r="R270" s="1" t="s">
        <v>1060</v>
      </c>
      <c r="S270" s="1" t="s">
        <v>4052</v>
      </c>
      <c r="T270" s="1" t="s">
        <v>4051</v>
      </c>
      <c r="U270" s="1">
        <v>1</v>
      </c>
      <c r="V270" s="1" t="s">
        <v>771</v>
      </c>
      <c r="Y270" s="3">
        <v>43464</v>
      </c>
      <c r="Z270" s="1">
        <v>2018</v>
      </c>
      <c r="AA270" s="2"/>
      <c r="AB270" s="2"/>
      <c r="AC270" s="2">
        <v>539276.96</v>
      </c>
      <c r="AG270" s="1" t="s">
        <v>21</v>
      </c>
      <c r="AI270" s="2">
        <v>539276.96</v>
      </c>
      <c r="AK270" s="1"/>
      <c r="AL270" s="1" t="s">
        <v>127</v>
      </c>
    </row>
    <row r="271" spans="1:38" ht="15" customHeight="1" x14ac:dyDescent="0.2">
      <c r="A271" s="1" t="s">
        <v>19</v>
      </c>
      <c r="B271" s="5" t="s">
        <v>109</v>
      </c>
      <c r="C271" s="1" t="s">
        <v>37</v>
      </c>
      <c r="D271" s="1" t="s">
        <v>132</v>
      </c>
      <c r="E271" s="1" t="s">
        <v>35</v>
      </c>
      <c r="G271" s="1" t="s">
        <v>131</v>
      </c>
      <c r="H271" s="1" t="s">
        <v>130</v>
      </c>
      <c r="I271" s="1" t="s">
        <v>4127</v>
      </c>
      <c r="J271" s="1">
        <v>2018</v>
      </c>
      <c r="P271" s="1" t="s">
        <v>4112</v>
      </c>
      <c r="Q271" s="1" t="s">
        <v>771</v>
      </c>
      <c r="R271" s="1" t="s">
        <v>1060</v>
      </c>
      <c r="S271" s="1" t="s">
        <v>4052</v>
      </c>
      <c r="T271" s="1" t="s">
        <v>4051</v>
      </c>
      <c r="U271" s="1">
        <v>1</v>
      </c>
      <c r="V271" s="1" t="s">
        <v>771</v>
      </c>
      <c r="Y271" s="3">
        <v>43464</v>
      </c>
      <c r="Z271" s="1">
        <v>2018</v>
      </c>
      <c r="AA271" s="2"/>
      <c r="AB271" s="2"/>
      <c r="AC271" s="2">
        <v>606349.12999999989</v>
      </c>
      <c r="AG271" s="1" t="s">
        <v>21</v>
      </c>
      <c r="AI271" s="2">
        <v>606349.12999999989</v>
      </c>
      <c r="AK271" s="1"/>
      <c r="AL271" s="1" t="s">
        <v>127</v>
      </c>
    </row>
    <row r="272" spans="1:38" ht="15" customHeight="1" x14ac:dyDescent="0.2">
      <c r="A272" s="1" t="s">
        <v>19</v>
      </c>
      <c r="B272" s="5" t="s">
        <v>109</v>
      </c>
      <c r="C272" s="1" t="s">
        <v>37</v>
      </c>
      <c r="D272" s="1" t="s">
        <v>132</v>
      </c>
      <c r="E272" s="1" t="s">
        <v>35</v>
      </c>
      <c r="G272" s="1" t="s">
        <v>131</v>
      </c>
      <c r="H272" s="1" t="s">
        <v>130</v>
      </c>
      <c r="I272" s="1" t="s">
        <v>4126</v>
      </c>
      <c r="J272" s="1">
        <v>2018</v>
      </c>
      <c r="P272" s="1" t="s">
        <v>4112</v>
      </c>
      <c r="Q272" s="1" t="s">
        <v>771</v>
      </c>
      <c r="R272" s="1" t="s">
        <v>1060</v>
      </c>
      <c r="S272" s="1" t="s">
        <v>4052</v>
      </c>
      <c r="T272" s="1" t="s">
        <v>4051</v>
      </c>
      <c r="U272" s="1">
        <v>1</v>
      </c>
      <c r="V272" s="1" t="s">
        <v>771</v>
      </c>
      <c r="Y272" s="3">
        <v>43464</v>
      </c>
      <c r="Z272" s="1">
        <v>2018</v>
      </c>
      <c r="AA272" s="2"/>
      <c r="AB272" s="2"/>
      <c r="AC272" s="2">
        <v>606988.52</v>
      </c>
      <c r="AG272" s="1" t="s">
        <v>21</v>
      </c>
      <c r="AI272" s="2">
        <v>606988.52</v>
      </c>
      <c r="AK272" s="1"/>
      <c r="AL272" s="1" t="s">
        <v>127</v>
      </c>
    </row>
    <row r="273" spans="1:38" ht="15" customHeight="1" x14ac:dyDescent="0.2">
      <c r="A273" s="1" t="s">
        <v>19</v>
      </c>
      <c r="B273" s="5" t="s">
        <v>109</v>
      </c>
      <c r="C273" s="1" t="s">
        <v>37</v>
      </c>
      <c r="D273" s="1" t="s">
        <v>132</v>
      </c>
      <c r="E273" s="1" t="s">
        <v>35</v>
      </c>
      <c r="G273" s="1" t="s">
        <v>131</v>
      </c>
      <c r="H273" s="1" t="s">
        <v>130</v>
      </c>
      <c r="I273" s="1" t="s">
        <v>4125</v>
      </c>
      <c r="J273" s="1">
        <v>2021</v>
      </c>
      <c r="P273" s="1" t="s">
        <v>4112</v>
      </c>
      <c r="Q273" s="1" t="s">
        <v>771</v>
      </c>
      <c r="R273" s="1" t="s">
        <v>1060</v>
      </c>
      <c r="S273" s="1" t="s">
        <v>4052</v>
      </c>
      <c r="T273" s="1" t="s">
        <v>4051</v>
      </c>
      <c r="U273" s="1">
        <v>1</v>
      </c>
      <c r="V273" s="1" t="s">
        <v>771</v>
      </c>
      <c r="Y273" s="3">
        <v>44428</v>
      </c>
      <c r="Z273" s="1">
        <v>2021</v>
      </c>
      <c r="AA273" s="2"/>
      <c r="AB273" s="2"/>
      <c r="AC273" s="2">
        <v>698779.61</v>
      </c>
      <c r="AG273" s="1" t="s">
        <v>21</v>
      </c>
      <c r="AI273" s="2">
        <v>698779.61</v>
      </c>
      <c r="AK273" s="1"/>
      <c r="AL273" s="1" t="s">
        <v>127</v>
      </c>
    </row>
    <row r="274" spans="1:38" ht="15" customHeight="1" x14ac:dyDescent="0.2">
      <c r="A274" s="1" t="s">
        <v>19</v>
      </c>
      <c r="B274" s="5" t="s">
        <v>109</v>
      </c>
      <c r="C274" s="1" t="s">
        <v>37</v>
      </c>
      <c r="D274" s="1" t="s">
        <v>132</v>
      </c>
      <c r="E274" s="1" t="s">
        <v>35</v>
      </c>
      <c r="G274" s="1" t="s">
        <v>131</v>
      </c>
      <c r="H274" s="1" t="s">
        <v>130</v>
      </c>
      <c r="I274" s="1" t="s">
        <v>4124</v>
      </c>
      <c r="J274" s="1">
        <v>2023</v>
      </c>
      <c r="P274" s="1" t="s">
        <v>4112</v>
      </c>
      <c r="Q274" s="1" t="s">
        <v>771</v>
      </c>
      <c r="R274" s="1" t="s">
        <v>1060</v>
      </c>
      <c r="S274" s="1" t="s">
        <v>4052</v>
      </c>
      <c r="T274" s="1" t="s">
        <v>4051</v>
      </c>
      <c r="U274" s="1">
        <v>1</v>
      </c>
      <c r="V274" s="1" t="s">
        <v>771</v>
      </c>
      <c r="Y274" s="3">
        <v>45134</v>
      </c>
      <c r="Z274" s="1">
        <v>2023</v>
      </c>
      <c r="AA274" s="2"/>
      <c r="AB274" s="2"/>
      <c r="AC274" s="2">
        <v>473771.65</v>
      </c>
      <c r="AG274" s="1" t="s">
        <v>21</v>
      </c>
      <c r="AI274" s="2">
        <v>473771.65</v>
      </c>
      <c r="AK274" s="1"/>
      <c r="AL274" s="1" t="s">
        <v>127</v>
      </c>
    </row>
    <row r="275" spans="1:38" ht="15" customHeight="1" x14ac:dyDescent="0.2">
      <c r="A275" s="1" t="s">
        <v>19</v>
      </c>
      <c r="B275" s="5" t="s">
        <v>109</v>
      </c>
      <c r="C275" s="1" t="s">
        <v>37</v>
      </c>
      <c r="D275" s="1" t="s">
        <v>132</v>
      </c>
      <c r="E275" s="1" t="s">
        <v>35</v>
      </c>
      <c r="G275" s="1" t="s">
        <v>131</v>
      </c>
      <c r="H275" s="1" t="s">
        <v>130</v>
      </c>
      <c r="I275" s="1" t="s">
        <v>4123</v>
      </c>
      <c r="J275" s="1">
        <v>2023</v>
      </c>
      <c r="P275" s="1" t="s">
        <v>4112</v>
      </c>
      <c r="Q275" s="1" t="s">
        <v>771</v>
      </c>
      <c r="R275" s="1" t="s">
        <v>1060</v>
      </c>
      <c r="S275" s="1" t="s">
        <v>4052</v>
      </c>
      <c r="T275" s="1" t="s">
        <v>4051</v>
      </c>
      <c r="U275" s="1">
        <v>1</v>
      </c>
      <c r="V275" s="1" t="s">
        <v>771</v>
      </c>
      <c r="Y275" s="3">
        <v>45291</v>
      </c>
      <c r="Z275" s="1">
        <v>2023</v>
      </c>
      <c r="AA275" s="2"/>
      <c r="AB275" s="2"/>
      <c r="AC275" s="2">
        <v>619377.66000000015</v>
      </c>
      <c r="AG275" s="1" t="s">
        <v>21</v>
      </c>
      <c r="AI275" s="2">
        <v>619377.66000000015</v>
      </c>
      <c r="AK275" s="1"/>
      <c r="AL275" s="1" t="s">
        <v>127</v>
      </c>
    </row>
    <row r="276" spans="1:38" ht="15" customHeight="1" x14ac:dyDescent="0.2">
      <c r="A276" s="1" t="s">
        <v>19</v>
      </c>
      <c r="B276" s="5" t="s">
        <v>109</v>
      </c>
      <c r="C276" s="1" t="s">
        <v>37</v>
      </c>
      <c r="D276" s="1" t="s">
        <v>132</v>
      </c>
      <c r="E276" s="1" t="s">
        <v>35</v>
      </c>
      <c r="G276" s="1" t="s">
        <v>131</v>
      </c>
      <c r="H276" s="1" t="s">
        <v>130</v>
      </c>
      <c r="I276" s="1" t="s">
        <v>4122</v>
      </c>
      <c r="J276" s="1">
        <v>2021</v>
      </c>
      <c r="P276" s="1" t="s">
        <v>4112</v>
      </c>
      <c r="Q276" s="1" t="s">
        <v>771</v>
      </c>
      <c r="R276" s="1" t="s">
        <v>1060</v>
      </c>
      <c r="S276" s="1" t="s">
        <v>4052</v>
      </c>
      <c r="T276" s="1" t="s">
        <v>4051</v>
      </c>
      <c r="U276" s="1">
        <v>1</v>
      </c>
      <c r="V276" s="1" t="s">
        <v>771</v>
      </c>
      <c r="Y276" s="3">
        <v>44560</v>
      </c>
      <c r="Z276" s="1">
        <v>2021</v>
      </c>
      <c r="AA276" s="2"/>
      <c r="AB276" s="2"/>
      <c r="AC276" s="2">
        <v>629561.64</v>
      </c>
      <c r="AG276" s="1" t="s">
        <v>21</v>
      </c>
      <c r="AI276" s="2">
        <v>629561.64</v>
      </c>
      <c r="AK276" s="1"/>
      <c r="AL276" s="1" t="s">
        <v>127</v>
      </c>
    </row>
    <row r="277" spans="1:38" ht="15" customHeight="1" x14ac:dyDescent="0.2">
      <c r="A277" s="1" t="s">
        <v>19</v>
      </c>
      <c r="B277" s="5" t="s">
        <v>109</v>
      </c>
      <c r="C277" s="1" t="s">
        <v>37</v>
      </c>
      <c r="D277" s="1" t="s">
        <v>132</v>
      </c>
      <c r="E277" s="1" t="s">
        <v>35</v>
      </c>
      <c r="G277" s="1" t="s">
        <v>131</v>
      </c>
      <c r="H277" s="1" t="s">
        <v>130</v>
      </c>
      <c r="I277" s="1" t="s">
        <v>4121</v>
      </c>
      <c r="J277" s="1">
        <v>2021</v>
      </c>
      <c r="P277" s="1" t="s">
        <v>4112</v>
      </c>
      <c r="Q277" s="1" t="s">
        <v>771</v>
      </c>
      <c r="R277" s="1" t="s">
        <v>1060</v>
      </c>
      <c r="S277" s="1" t="s">
        <v>4052</v>
      </c>
      <c r="T277" s="1" t="s">
        <v>4051</v>
      </c>
      <c r="U277" s="1">
        <v>1</v>
      </c>
      <c r="V277" s="1" t="s">
        <v>771</v>
      </c>
      <c r="Y277" s="3">
        <v>44560</v>
      </c>
      <c r="Z277" s="1">
        <v>2021</v>
      </c>
      <c r="AA277" s="2"/>
      <c r="AB277" s="2"/>
      <c r="AC277" s="2">
        <v>775016.21999999986</v>
      </c>
      <c r="AG277" s="1" t="s">
        <v>21</v>
      </c>
      <c r="AI277" s="2">
        <v>775016.21999999986</v>
      </c>
      <c r="AK277" s="1"/>
      <c r="AL277" s="1" t="s">
        <v>127</v>
      </c>
    </row>
    <row r="278" spans="1:38" ht="15" customHeight="1" x14ac:dyDescent="0.2">
      <c r="A278" s="1" t="s">
        <v>19</v>
      </c>
      <c r="B278" s="5" t="s">
        <v>109</v>
      </c>
      <c r="C278" s="1" t="s">
        <v>37</v>
      </c>
      <c r="D278" s="1" t="s">
        <v>132</v>
      </c>
      <c r="E278" s="1" t="s">
        <v>35</v>
      </c>
      <c r="G278" s="1" t="s">
        <v>131</v>
      </c>
      <c r="H278" s="1" t="s">
        <v>130</v>
      </c>
      <c r="I278" s="1" t="s">
        <v>4120</v>
      </c>
      <c r="J278" s="1">
        <v>2023</v>
      </c>
      <c r="P278" s="1" t="s">
        <v>4112</v>
      </c>
      <c r="Q278" s="1" t="s">
        <v>771</v>
      </c>
      <c r="R278" s="1" t="s">
        <v>1060</v>
      </c>
      <c r="S278" s="1" t="s">
        <v>4052</v>
      </c>
      <c r="T278" s="1" t="s">
        <v>4051</v>
      </c>
      <c r="U278" s="1">
        <v>1</v>
      </c>
      <c r="V278" s="1" t="s">
        <v>771</v>
      </c>
      <c r="Y278" s="3">
        <v>45014</v>
      </c>
      <c r="Z278" s="1">
        <v>2023</v>
      </c>
      <c r="AA278" s="2"/>
      <c r="AB278" s="2"/>
      <c r="AC278" s="2">
        <v>636901.93000000005</v>
      </c>
      <c r="AG278" s="1" t="s">
        <v>21</v>
      </c>
      <c r="AI278" s="2">
        <v>636901.93000000005</v>
      </c>
      <c r="AK278" s="1"/>
      <c r="AL278" s="1" t="s">
        <v>127</v>
      </c>
    </row>
    <row r="279" spans="1:38" ht="15" customHeight="1" x14ac:dyDescent="0.2">
      <c r="A279" s="1" t="s">
        <v>19</v>
      </c>
      <c r="B279" s="5" t="s">
        <v>109</v>
      </c>
      <c r="C279" s="1" t="s">
        <v>37</v>
      </c>
      <c r="D279" s="1" t="s">
        <v>132</v>
      </c>
      <c r="E279" s="1" t="s">
        <v>35</v>
      </c>
      <c r="G279" s="1" t="s">
        <v>131</v>
      </c>
      <c r="H279" s="1" t="s">
        <v>130</v>
      </c>
      <c r="I279" s="1" t="s">
        <v>4119</v>
      </c>
      <c r="J279" s="1">
        <v>2023</v>
      </c>
      <c r="P279" s="1" t="s">
        <v>4112</v>
      </c>
      <c r="Q279" s="1" t="s">
        <v>771</v>
      </c>
      <c r="R279" s="1" t="s">
        <v>1060</v>
      </c>
      <c r="S279" s="1" t="s">
        <v>4052</v>
      </c>
      <c r="T279" s="1" t="s">
        <v>4051</v>
      </c>
      <c r="U279" s="1">
        <v>1</v>
      </c>
      <c r="V279" s="1" t="s">
        <v>771</v>
      </c>
      <c r="Y279" s="3">
        <v>45291</v>
      </c>
      <c r="Z279" s="1">
        <v>2023</v>
      </c>
      <c r="AA279" s="2"/>
      <c r="AB279" s="2"/>
      <c r="AC279" s="2">
        <v>477882.62000000046</v>
      </c>
      <c r="AG279" s="1" t="s">
        <v>21</v>
      </c>
      <c r="AI279" s="2">
        <v>477882.62000000046</v>
      </c>
      <c r="AK279" s="1"/>
      <c r="AL279" s="1" t="s">
        <v>127</v>
      </c>
    </row>
    <row r="280" spans="1:38" ht="15" customHeight="1" x14ac:dyDescent="0.2">
      <c r="A280" s="1" t="s">
        <v>19</v>
      </c>
      <c r="B280" s="5" t="s">
        <v>109</v>
      </c>
      <c r="C280" s="1" t="s">
        <v>37</v>
      </c>
      <c r="D280" s="1" t="s">
        <v>132</v>
      </c>
      <c r="E280" s="1" t="s">
        <v>35</v>
      </c>
      <c r="G280" s="1" t="s">
        <v>131</v>
      </c>
      <c r="H280" s="1" t="s">
        <v>130</v>
      </c>
      <c r="I280" s="1" t="s">
        <v>4118</v>
      </c>
      <c r="J280" s="1">
        <v>2024</v>
      </c>
      <c r="P280" s="1" t="s">
        <v>4112</v>
      </c>
      <c r="Q280" s="1" t="s">
        <v>771</v>
      </c>
      <c r="R280" s="1" t="s">
        <v>1060</v>
      </c>
      <c r="S280" s="1" t="s">
        <v>4052</v>
      </c>
      <c r="T280" s="1" t="s">
        <v>4051</v>
      </c>
      <c r="U280" s="1">
        <v>1</v>
      </c>
      <c r="V280" s="1" t="s">
        <v>771</v>
      </c>
      <c r="Y280" s="3">
        <v>45404</v>
      </c>
      <c r="Z280" s="1">
        <v>2024</v>
      </c>
      <c r="AA280" s="2"/>
      <c r="AB280" s="2"/>
      <c r="AC280" s="2">
        <v>492506.65000000043</v>
      </c>
      <c r="AG280" s="1" t="s">
        <v>21</v>
      </c>
      <c r="AI280" s="2">
        <v>492506.65000000043</v>
      </c>
      <c r="AK280" s="1"/>
      <c r="AL280" s="1" t="s">
        <v>127</v>
      </c>
    </row>
    <row r="281" spans="1:38" ht="15" customHeight="1" x14ac:dyDescent="0.2">
      <c r="A281" s="1" t="s">
        <v>19</v>
      </c>
      <c r="B281" s="5" t="s">
        <v>109</v>
      </c>
      <c r="C281" s="1" t="s">
        <v>37</v>
      </c>
      <c r="D281" s="1" t="s">
        <v>132</v>
      </c>
      <c r="E281" s="1" t="s">
        <v>35</v>
      </c>
      <c r="G281" s="1" t="s">
        <v>135</v>
      </c>
      <c r="H281" s="1" t="s">
        <v>130</v>
      </c>
      <c r="I281" s="1" t="s">
        <v>4117</v>
      </c>
      <c r="J281" s="1">
        <v>2021</v>
      </c>
      <c r="P281" s="1" t="s">
        <v>4112</v>
      </c>
      <c r="Q281" s="1" t="s">
        <v>771</v>
      </c>
      <c r="R281" s="1" t="s">
        <v>1060</v>
      </c>
      <c r="S281" s="1" t="s">
        <v>4052</v>
      </c>
      <c r="T281" s="1" t="s">
        <v>4051</v>
      </c>
      <c r="U281" s="1">
        <v>1</v>
      </c>
      <c r="V281" s="1" t="s">
        <v>771</v>
      </c>
      <c r="Y281" s="3">
        <v>44299</v>
      </c>
      <c r="Z281" s="1">
        <v>2021</v>
      </c>
      <c r="AA281" s="2"/>
      <c r="AB281" s="2"/>
      <c r="AC281" s="2">
        <v>77681.39</v>
      </c>
      <c r="AG281" s="1" t="s">
        <v>21</v>
      </c>
      <c r="AI281" s="2">
        <v>77681.39</v>
      </c>
      <c r="AK281" s="1"/>
    </row>
    <row r="282" spans="1:38" ht="15" customHeight="1" x14ac:dyDescent="0.2">
      <c r="A282" s="1" t="s">
        <v>19</v>
      </c>
      <c r="B282" s="5" t="s">
        <v>109</v>
      </c>
      <c r="C282" s="1" t="s">
        <v>37</v>
      </c>
      <c r="D282" s="1" t="s">
        <v>132</v>
      </c>
      <c r="E282" s="1" t="s">
        <v>35</v>
      </c>
      <c r="G282" s="1" t="s">
        <v>131</v>
      </c>
      <c r="H282" s="1" t="s">
        <v>130</v>
      </c>
      <c r="I282" s="1" t="s">
        <v>4116</v>
      </c>
      <c r="J282" s="1">
        <v>2018</v>
      </c>
      <c r="P282" s="1" t="s">
        <v>4112</v>
      </c>
      <c r="Q282" s="1" t="s">
        <v>771</v>
      </c>
      <c r="R282" s="1" t="s">
        <v>1060</v>
      </c>
      <c r="S282" s="1" t="s">
        <v>4052</v>
      </c>
      <c r="T282" s="1" t="s">
        <v>4051</v>
      </c>
      <c r="U282" s="1">
        <v>1</v>
      </c>
      <c r="V282" s="1" t="s">
        <v>771</v>
      </c>
      <c r="Y282" s="3">
        <v>43464</v>
      </c>
      <c r="Z282" s="1">
        <v>2018</v>
      </c>
      <c r="AA282" s="2"/>
      <c r="AB282" s="2"/>
      <c r="AC282" s="2">
        <v>688865.41</v>
      </c>
      <c r="AG282" s="1" t="s">
        <v>21</v>
      </c>
      <c r="AI282" s="2">
        <v>688865.41</v>
      </c>
      <c r="AK282" s="1"/>
      <c r="AL282" s="1" t="s">
        <v>127</v>
      </c>
    </row>
    <row r="283" spans="1:38" ht="15" customHeight="1" x14ac:dyDescent="0.2">
      <c r="A283" s="1" t="s">
        <v>19</v>
      </c>
      <c r="B283" s="5" t="s">
        <v>109</v>
      </c>
      <c r="C283" s="1" t="s">
        <v>37</v>
      </c>
      <c r="D283" s="1" t="s">
        <v>132</v>
      </c>
      <c r="E283" s="1" t="s">
        <v>35</v>
      </c>
      <c r="G283" s="1" t="s">
        <v>135</v>
      </c>
      <c r="H283" s="1" t="s">
        <v>130</v>
      </c>
      <c r="I283" s="1" t="s">
        <v>4115</v>
      </c>
      <c r="J283" s="1">
        <v>2021</v>
      </c>
      <c r="P283" s="1" t="s">
        <v>4112</v>
      </c>
      <c r="Q283" s="1" t="s">
        <v>771</v>
      </c>
      <c r="R283" s="1" t="s">
        <v>1060</v>
      </c>
      <c r="S283" s="1" t="s">
        <v>4052</v>
      </c>
      <c r="T283" s="1" t="s">
        <v>4051</v>
      </c>
      <c r="U283" s="1">
        <v>1</v>
      </c>
      <c r="V283" s="1" t="s">
        <v>771</v>
      </c>
      <c r="Y283" s="3">
        <v>44299</v>
      </c>
      <c r="Z283" s="1">
        <v>2021</v>
      </c>
      <c r="AA283" s="2"/>
      <c r="AB283" s="2"/>
      <c r="AC283" s="2">
        <v>65120.04</v>
      </c>
      <c r="AG283" s="1" t="s">
        <v>21</v>
      </c>
      <c r="AI283" s="2">
        <v>65120.04</v>
      </c>
      <c r="AK283" s="1"/>
    </row>
    <row r="284" spans="1:38" ht="15" customHeight="1" x14ac:dyDescent="0.2">
      <c r="A284" s="1" t="s">
        <v>19</v>
      </c>
      <c r="B284" s="5" t="s">
        <v>109</v>
      </c>
      <c r="C284" s="1" t="s">
        <v>37</v>
      </c>
      <c r="D284" s="1" t="s">
        <v>132</v>
      </c>
      <c r="E284" s="1" t="s">
        <v>35</v>
      </c>
      <c r="G284" s="1" t="s">
        <v>131</v>
      </c>
      <c r="H284" s="1" t="s">
        <v>130</v>
      </c>
      <c r="I284" s="1" t="s">
        <v>4114</v>
      </c>
      <c r="J284" s="1">
        <v>2020</v>
      </c>
      <c r="P284" s="1" t="s">
        <v>4112</v>
      </c>
      <c r="Q284" s="1" t="s">
        <v>771</v>
      </c>
      <c r="R284" s="1" t="s">
        <v>1060</v>
      </c>
      <c r="S284" s="1" t="s">
        <v>4052</v>
      </c>
      <c r="T284" s="1" t="s">
        <v>4051</v>
      </c>
      <c r="U284" s="1">
        <v>1</v>
      </c>
      <c r="V284" s="1" t="s">
        <v>771</v>
      </c>
      <c r="Y284" s="3">
        <v>43925</v>
      </c>
      <c r="Z284" s="1">
        <v>2020</v>
      </c>
      <c r="AA284" s="2"/>
      <c r="AB284" s="2"/>
      <c r="AC284" s="2">
        <v>542410.55000000005</v>
      </c>
      <c r="AG284" s="1" t="s">
        <v>21</v>
      </c>
      <c r="AI284" s="2">
        <v>542410.55000000005</v>
      </c>
      <c r="AK284" s="1"/>
      <c r="AL284" s="1" t="s">
        <v>127</v>
      </c>
    </row>
    <row r="285" spans="1:38" ht="15" customHeight="1" x14ac:dyDescent="0.2">
      <c r="A285" s="1" t="s">
        <v>19</v>
      </c>
      <c r="B285" s="5" t="s">
        <v>109</v>
      </c>
      <c r="C285" s="1" t="s">
        <v>37</v>
      </c>
      <c r="D285" s="1" t="s">
        <v>132</v>
      </c>
      <c r="E285" s="1" t="s">
        <v>35</v>
      </c>
      <c r="G285" s="1" t="s">
        <v>135</v>
      </c>
      <c r="H285" s="1" t="s">
        <v>130</v>
      </c>
      <c r="I285" s="1" t="s">
        <v>4113</v>
      </c>
      <c r="J285" s="1">
        <v>2021</v>
      </c>
      <c r="P285" s="1" t="s">
        <v>4112</v>
      </c>
      <c r="Q285" s="1" t="s">
        <v>771</v>
      </c>
      <c r="R285" s="1" t="s">
        <v>1060</v>
      </c>
      <c r="S285" s="1" t="s">
        <v>4052</v>
      </c>
      <c r="T285" s="1" t="s">
        <v>4051</v>
      </c>
      <c r="U285" s="1">
        <v>1</v>
      </c>
      <c r="V285" s="1" t="s">
        <v>771</v>
      </c>
      <c r="Y285" s="3">
        <v>44299</v>
      </c>
      <c r="Z285" s="1">
        <v>2021</v>
      </c>
      <c r="AA285" s="2"/>
      <c r="AB285" s="2"/>
      <c r="AC285" s="2">
        <v>51837.4</v>
      </c>
      <c r="AG285" s="1" t="s">
        <v>21</v>
      </c>
      <c r="AI285" s="2">
        <v>51837.4</v>
      </c>
      <c r="AK285" s="1"/>
    </row>
    <row r="286" spans="1:38" ht="15" customHeight="1" x14ac:dyDescent="0.2">
      <c r="A286" s="1" t="s">
        <v>19</v>
      </c>
      <c r="B286" s="5" t="s">
        <v>18</v>
      </c>
      <c r="C286" s="1" t="s">
        <v>37</v>
      </c>
      <c r="D286" s="1" t="s">
        <v>63</v>
      </c>
      <c r="E286" s="1" t="s">
        <v>35</v>
      </c>
      <c r="F286" s="1" t="s">
        <v>62</v>
      </c>
      <c r="G286" s="1" t="s">
        <v>61</v>
      </c>
      <c r="H286" s="1" t="s">
        <v>60</v>
      </c>
      <c r="I286" s="1" t="s">
        <v>4111</v>
      </c>
      <c r="J286" s="1">
        <v>2020</v>
      </c>
      <c r="K286" s="1" t="s">
        <v>4110</v>
      </c>
      <c r="L286" s="1" t="s">
        <v>4109</v>
      </c>
      <c r="N286" s="1" t="s">
        <v>4108</v>
      </c>
      <c r="P286" s="1" t="s">
        <v>4005</v>
      </c>
      <c r="Q286" s="1" t="s">
        <v>771</v>
      </c>
      <c r="R286" s="1" t="s">
        <v>1060</v>
      </c>
      <c r="S286" s="1" t="s">
        <v>4004</v>
      </c>
      <c r="T286" s="1" t="s">
        <v>4003</v>
      </c>
      <c r="U286" s="1">
        <v>1</v>
      </c>
      <c r="V286" s="1" t="s">
        <v>771</v>
      </c>
      <c r="W286" s="1" t="s">
        <v>4107</v>
      </c>
      <c r="X286" s="1" t="s">
        <v>52</v>
      </c>
      <c r="Y286" s="3">
        <v>44127</v>
      </c>
      <c r="Z286" s="1">
        <v>2020</v>
      </c>
      <c r="AA286" s="2">
        <v>1065000</v>
      </c>
      <c r="AB286" s="2"/>
      <c r="AC286" s="2">
        <v>798750</v>
      </c>
      <c r="AD286" s="1">
        <v>0</v>
      </c>
      <c r="AF286" s="1">
        <v>0</v>
      </c>
      <c r="AG286" s="1" t="s">
        <v>21</v>
      </c>
      <c r="AH286" s="1" t="s">
        <v>65</v>
      </c>
      <c r="AI286" s="2">
        <v>798750</v>
      </c>
      <c r="AK286" s="1" t="s">
        <v>318</v>
      </c>
      <c r="AL286" s="1" t="s">
        <v>88</v>
      </c>
    </row>
    <row r="287" spans="1:38" ht="15" customHeight="1" x14ac:dyDescent="0.2">
      <c r="A287" s="1" t="s">
        <v>19</v>
      </c>
      <c r="B287" s="5" t="s">
        <v>18</v>
      </c>
      <c r="C287" s="1" t="s">
        <v>37</v>
      </c>
      <c r="D287" s="1" t="s">
        <v>63</v>
      </c>
      <c r="E287" s="1" t="s">
        <v>35</v>
      </c>
      <c r="F287" s="1" t="s">
        <v>62</v>
      </c>
      <c r="G287" s="1" t="s">
        <v>61</v>
      </c>
      <c r="H287" s="1" t="s">
        <v>60</v>
      </c>
      <c r="I287" s="1" t="s">
        <v>4106</v>
      </c>
      <c r="J287" s="1">
        <v>2020</v>
      </c>
      <c r="K287" s="1" t="s">
        <v>4105</v>
      </c>
      <c r="L287" s="1" t="s">
        <v>4104</v>
      </c>
      <c r="P287" s="1" t="s">
        <v>3989</v>
      </c>
      <c r="Q287" s="1" t="s">
        <v>771</v>
      </c>
      <c r="R287" s="1" t="s">
        <v>1060</v>
      </c>
      <c r="S287" s="1" t="s">
        <v>3988</v>
      </c>
      <c r="T287" s="1" t="s">
        <v>3987</v>
      </c>
      <c r="U287" s="1">
        <v>1</v>
      </c>
      <c r="V287" s="1" t="s">
        <v>771</v>
      </c>
      <c r="W287" s="1" t="s">
        <v>4103</v>
      </c>
      <c r="X287" s="1" t="s">
        <v>52</v>
      </c>
      <c r="Y287" s="3">
        <v>44127</v>
      </c>
      <c r="Z287" s="1">
        <v>2020</v>
      </c>
      <c r="AA287" s="2">
        <v>251223.1</v>
      </c>
      <c r="AB287" s="2"/>
      <c r="AC287" s="2">
        <v>188417.32500000001</v>
      </c>
      <c r="AD287" s="1">
        <v>0</v>
      </c>
      <c r="AF287" s="1">
        <v>18</v>
      </c>
      <c r="AG287" s="1" t="s">
        <v>21</v>
      </c>
      <c r="AH287" s="1" t="s">
        <v>65</v>
      </c>
      <c r="AI287" s="2">
        <v>160217.38</v>
      </c>
      <c r="AK287" s="1" t="s">
        <v>318</v>
      </c>
      <c r="AL287" s="1" t="s">
        <v>2499</v>
      </c>
    </row>
    <row r="288" spans="1:38" ht="15" customHeight="1" x14ac:dyDescent="0.2">
      <c r="A288" s="1" t="s">
        <v>19</v>
      </c>
      <c r="B288" s="5" t="s">
        <v>18</v>
      </c>
      <c r="C288" s="1" t="s">
        <v>37</v>
      </c>
      <c r="D288" s="1" t="s">
        <v>63</v>
      </c>
      <c r="E288" s="1" t="s">
        <v>35</v>
      </c>
      <c r="F288" s="1" t="s">
        <v>62</v>
      </c>
      <c r="G288" s="1" t="s">
        <v>61</v>
      </c>
      <c r="H288" s="1" t="s">
        <v>60</v>
      </c>
      <c r="I288" s="1" t="s">
        <v>4102</v>
      </c>
      <c r="J288" s="1">
        <v>2020</v>
      </c>
      <c r="K288" s="1" t="s">
        <v>4101</v>
      </c>
      <c r="L288" s="1" t="s">
        <v>4100</v>
      </c>
      <c r="P288" s="1" t="s">
        <v>4005</v>
      </c>
      <c r="Q288" s="1" t="s">
        <v>771</v>
      </c>
      <c r="R288" s="1" t="s">
        <v>1060</v>
      </c>
      <c r="S288" s="1" t="s">
        <v>4004</v>
      </c>
      <c r="T288" s="1" t="s">
        <v>4003</v>
      </c>
      <c r="U288" s="1">
        <v>1</v>
      </c>
      <c r="V288" s="1" t="s">
        <v>771</v>
      </c>
      <c r="W288" s="1" t="s">
        <v>4099</v>
      </c>
      <c r="X288" s="1" t="s">
        <v>52</v>
      </c>
      <c r="Y288" s="3">
        <v>44188</v>
      </c>
      <c r="Z288" s="1">
        <v>2020</v>
      </c>
      <c r="AA288" s="2">
        <v>120000</v>
      </c>
      <c r="AB288" s="2"/>
      <c r="AC288" s="2">
        <v>90000</v>
      </c>
      <c r="AD288" s="1">
        <v>0</v>
      </c>
      <c r="AF288" s="1">
        <v>0</v>
      </c>
      <c r="AG288" s="1" t="s">
        <v>21</v>
      </c>
      <c r="AH288" s="1" t="s">
        <v>65</v>
      </c>
      <c r="AI288" s="2">
        <v>73536.41</v>
      </c>
      <c r="AK288" s="1" t="s">
        <v>1393</v>
      </c>
    </row>
    <row r="289" spans="1:38" ht="15" customHeight="1" x14ac:dyDescent="0.2">
      <c r="A289" s="1" t="s">
        <v>19</v>
      </c>
      <c r="B289" s="5" t="s">
        <v>18</v>
      </c>
      <c r="C289" s="1" t="s">
        <v>37</v>
      </c>
      <c r="D289" s="1" t="s">
        <v>63</v>
      </c>
      <c r="E289" s="1" t="s">
        <v>35</v>
      </c>
      <c r="F289" s="1" t="s">
        <v>62</v>
      </c>
      <c r="G289" s="1" t="s">
        <v>61</v>
      </c>
      <c r="H289" s="1" t="s">
        <v>60</v>
      </c>
      <c r="I289" s="1" t="s">
        <v>4098</v>
      </c>
      <c r="J289" s="1">
        <v>2020</v>
      </c>
      <c r="K289" s="1" t="s">
        <v>4097</v>
      </c>
      <c r="L289" s="1" t="s">
        <v>4096</v>
      </c>
      <c r="N289" s="1" t="s">
        <v>4095</v>
      </c>
      <c r="P289" s="1" t="s">
        <v>4094</v>
      </c>
      <c r="Q289" s="1" t="s">
        <v>771</v>
      </c>
      <c r="R289" s="1" t="s">
        <v>1060</v>
      </c>
      <c r="S289" s="1" t="s">
        <v>4093</v>
      </c>
      <c r="T289" s="1" t="s">
        <v>4092</v>
      </c>
      <c r="U289" s="1">
        <v>1</v>
      </c>
      <c r="V289" s="1" t="s">
        <v>771</v>
      </c>
      <c r="W289" s="1" t="s">
        <v>4091</v>
      </c>
      <c r="X289" s="1" t="s">
        <v>52</v>
      </c>
      <c r="Y289" s="3">
        <v>44127</v>
      </c>
      <c r="Z289" s="1">
        <v>2020</v>
      </c>
      <c r="AA289" s="2">
        <v>235000</v>
      </c>
      <c r="AB289" s="2"/>
      <c r="AC289" s="2">
        <v>176250</v>
      </c>
      <c r="AD289" s="1">
        <v>0</v>
      </c>
      <c r="AF289" s="1">
        <v>0</v>
      </c>
      <c r="AG289" s="1" t="s">
        <v>21</v>
      </c>
      <c r="AH289" s="1" t="s">
        <v>65</v>
      </c>
      <c r="AI289" s="2">
        <v>176023.4</v>
      </c>
      <c r="AK289" s="1" t="s">
        <v>1408</v>
      </c>
    </row>
    <row r="290" spans="1:38" ht="15" customHeight="1" x14ac:dyDescent="0.2">
      <c r="A290" s="1" t="s">
        <v>19</v>
      </c>
      <c r="B290" s="5" t="s">
        <v>18</v>
      </c>
      <c r="C290" s="1" t="s">
        <v>37</v>
      </c>
      <c r="D290" s="1" t="s">
        <v>63</v>
      </c>
      <c r="E290" s="1" t="s">
        <v>35</v>
      </c>
      <c r="F290" s="1" t="s">
        <v>62</v>
      </c>
      <c r="G290" s="1" t="s">
        <v>61</v>
      </c>
      <c r="H290" s="1" t="s">
        <v>509</v>
      </c>
      <c r="I290" s="1" t="s">
        <v>4090</v>
      </c>
      <c r="J290" s="1">
        <v>2020</v>
      </c>
      <c r="K290" s="1" t="s">
        <v>4089</v>
      </c>
      <c r="L290" s="1" t="s">
        <v>4088</v>
      </c>
      <c r="P290" s="1" t="s">
        <v>4087</v>
      </c>
      <c r="Q290" s="1" t="s">
        <v>771</v>
      </c>
      <c r="R290" s="1" t="s">
        <v>1060</v>
      </c>
      <c r="S290" s="1" t="s">
        <v>4086</v>
      </c>
      <c r="T290" s="1" t="s">
        <v>4085</v>
      </c>
      <c r="U290" s="1">
        <v>1</v>
      </c>
      <c r="V290" s="1" t="s">
        <v>771</v>
      </c>
      <c r="W290" s="1" t="s">
        <v>4084</v>
      </c>
      <c r="X290" s="1" t="s">
        <v>464</v>
      </c>
      <c r="Y290" s="3">
        <v>44127</v>
      </c>
      <c r="Z290" s="1">
        <v>2020</v>
      </c>
      <c r="AA290" s="2">
        <v>367830.15</v>
      </c>
      <c r="AB290" s="2"/>
      <c r="AC290" s="2">
        <v>275872.61250000005</v>
      </c>
      <c r="AD290" s="1">
        <v>12</v>
      </c>
      <c r="AF290" s="1">
        <v>12</v>
      </c>
      <c r="AG290" s="1" t="s">
        <v>21</v>
      </c>
      <c r="AH290" s="1" t="s">
        <v>65</v>
      </c>
      <c r="AI290" s="2">
        <v>208210.72</v>
      </c>
      <c r="AK290" s="1" t="s">
        <v>318</v>
      </c>
      <c r="AL290" s="1" t="s">
        <v>2499</v>
      </c>
    </row>
    <row r="291" spans="1:38" ht="15" customHeight="1" x14ac:dyDescent="0.2">
      <c r="A291" s="1" t="s">
        <v>19</v>
      </c>
      <c r="B291" s="5" t="s">
        <v>109</v>
      </c>
      <c r="C291" s="1" t="s">
        <v>37</v>
      </c>
      <c r="D291" s="1" t="s">
        <v>63</v>
      </c>
      <c r="E291" s="1" t="s">
        <v>35</v>
      </c>
      <c r="F291" s="1" t="s">
        <v>62</v>
      </c>
      <c r="G291" s="1" t="s">
        <v>61</v>
      </c>
      <c r="H291" s="1" t="s">
        <v>60</v>
      </c>
      <c r="I291" s="1" t="s">
        <v>4083</v>
      </c>
      <c r="J291" s="1">
        <v>2020</v>
      </c>
      <c r="K291" s="1" t="s">
        <v>4082</v>
      </c>
      <c r="P291" s="1" t="s">
        <v>4081</v>
      </c>
      <c r="Q291" s="1" t="s">
        <v>771</v>
      </c>
      <c r="R291" s="1" t="s">
        <v>1060</v>
      </c>
      <c r="S291" s="1" t="s">
        <v>4080</v>
      </c>
      <c r="T291" s="1" t="s">
        <v>4079</v>
      </c>
      <c r="U291" s="1">
        <v>1</v>
      </c>
      <c r="V291" s="1" t="s">
        <v>771</v>
      </c>
      <c r="W291" s="1" t="s">
        <v>4078</v>
      </c>
      <c r="X291" s="1" t="s">
        <v>529</v>
      </c>
      <c r="Y291" s="3">
        <v>44127</v>
      </c>
      <c r="Z291" s="1">
        <v>2020</v>
      </c>
      <c r="AA291" s="2">
        <v>1465227.2</v>
      </c>
      <c r="AB291" s="2"/>
      <c r="AC291" s="2">
        <v>1098920.3999999999</v>
      </c>
      <c r="AD291" s="1">
        <v>8</v>
      </c>
      <c r="AF291" s="1">
        <v>0</v>
      </c>
      <c r="AG291" s="1" t="s">
        <v>106</v>
      </c>
      <c r="AH291" s="1" t="s">
        <v>105</v>
      </c>
      <c r="AI291" s="2">
        <v>0</v>
      </c>
      <c r="AK291" s="1" t="s">
        <v>1393</v>
      </c>
      <c r="AL291" s="1" t="s">
        <v>4077</v>
      </c>
    </row>
    <row r="292" spans="1:38" ht="15" customHeight="1" x14ac:dyDescent="0.2">
      <c r="A292" s="1" t="s">
        <v>19</v>
      </c>
      <c r="B292" s="5" t="s">
        <v>18</v>
      </c>
      <c r="C292" s="1" t="s">
        <v>37</v>
      </c>
      <c r="D292" s="1" t="s">
        <v>63</v>
      </c>
      <c r="E292" s="1" t="s">
        <v>35</v>
      </c>
      <c r="F292" s="1" t="s">
        <v>62</v>
      </c>
      <c r="G292" s="1" t="s">
        <v>61</v>
      </c>
      <c r="H292" s="1" t="s">
        <v>60</v>
      </c>
      <c r="I292" s="1" t="s">
        <v>4076</v>
      </c>
      <c r="J292" s="1">
        <v>2020</v>
      </c>
      <c r="K292" s="1" t="s">
        <v>4075</v>
      </c>
      <c r="L292" s="1" t="s">
        <v>4074</v>
      </c>
      <c r="N292" s="1" t="s">
        <v>4073</v>
      </c>
      <c r="P292" s="1" t="s">
        <v>4005</v>
      </c>
      <c r="Q292" s="1" t="s">
        <v>771</v>
      </c>
      <c r="R292" s="1" t="s">
        <v>1060</v>
      </c>
      <c r="S292" s="1" t="s">
        <v>4004</v>
      </c>
      <c r="T292" s="1" t="s">
        <v>4003</v>
      </c>
      <c r="U292" s="1">
        <v>1</v>
      </c>
      <c r="V292" s="1" t="s">
        <v>771</v>
      </c>
      <c r="W292" s="1" t="s">
        <v>4072</v>
      </c>
      <c r="X292" s="1" t="s">
        <v>52</v>
      </c>
      <c r="Y292" s="3">
        <v>44127</v>
      </c>
      <c r="Z292" s="1">
        <v>2020</v>
      </c>
      <c r="AA292" s="2">
        <v>99888</v>
      </c>
      <c r="AB292" s="2"/>
      <c r="AC292" s="2">
        <v>74916</v>
      </c>
      <c r="AD292" s="1">
        <v>0</v>
      </c>
      <c r="AF292" s="1">
        <v>3</v>
      </c>
      <c r="AG292" s="1" t="s">
        <v>21</v>
      </c>
      <c r="AH292" s="1" t="s">
        <v>65</v>
      </c>
      <c r="AI292" s="2">
        <v>50411.59</v>
      </c>
      <c r="AK292" s="1" t="s">
        <v>1408</v>
      </c>
      <c r="AL292" s="1" t="s">
        <v>1868</v>
      </c>
    </row>
    <row r="293" spans="1:38" ht="15" customHeight="1" x14ac:dyDescent="0.2">
      <c r="A293" s="1" t="s">
        <v>19</v>
      </c>
      <c r="B293" s="5" t="s">
        <v>18</v>
      </c>
      <c r="C293" s="1" t="s">
        <v>37</v>
      </c>
      <c r="D293" s="1" t="s">
        <v>63</v>
      </c>
      <c r="E293" s="1" t="s">
        <v>35</v>
      </c>
      <c r="F293" s="1" t="s">
        <v>62</v>
      </c>
      <c r="G293" s="1" t="s">
        <v>61</v>
      </c>
      <c r="H293" s="1" t="s">
        <v>60</v>
      </c>
      <c r="I293" s="1" t="s">
        <v>4071</v>
      </c>
      <c r="J293" s="1">
        <v>2020</v>
      </c>
      <c r="K293" s="1" t="s">
        <v>4070</v>
      </c>
      <c r="L293" s="1" t="s">
        <v>4069</v>
      </c>
      <c r="N293" s="1" t="s">
        <v>4068</v>
      </c>
      <c r="P293" s="1" t="s">
        <v>4005</v>
      </c>
      <c r="Q293" s="1" t="s">
        <v>771</v>
      </c>
      <c r="R293" s="1" t="s">
        <v>1060</v>
      </c>
      <c r="S293" s="1" t="s">
        <v>4004</v>
      </c>
      <c r="T293" s="1" t="s">
        <v>4003</v>
      </c>
      <c r="U293" s="1">
        <v>1</v>
      </c>
      <c r="V293" s="1" t="s">
        <v>771</v>
      </c>
      <c r="W293" s="1" t="s">
        <v>4067</v>
      </c>
      <c r="X293" s="1" t="s">
        <v>52</v>
      </c>
      <c r="Y293" s="3">
        <v>44127</v>
      </c>
      <c r="Z293" s="1">
        <v>2020</v>
      </c>
      <c r="AA293" s="2">
        <v>86673</v>
      </c>
      <c r="AB293" s="2"/>
      <c r="AC293" s="2">
        <v>65004.75</v>
      </c>
      <c r="AD293" s="1">
        <v>0</v>
      </c>
      <c r="AF293" s="1">
        <v>3</v>
      </c>
      <c r="AG293" s="1" t="s">
        <v>21</v>
      </c>
      <c r="AH293" s="1" t="s">
        <v>65</v>
      </c>
      <c r="AI293" s="2">
        <v>43457.45</v>
      </c>
      <c r="AK293" s="1" t="s">
        <v>1408</v>
      </c>
      <c r="AL293" s="1" t="s">
        <v>1868</v>
      </c>
    </row>
    <row r="294" spans="1:38" ht="15" customHeight="1" x14ac:dyDescent="0.2">
      <c r="A294" s="1" t="s">
        <v>19</v>
      </c>
      <c r="B294" s="5" t="s">
        <v>18</v>
      </c>
      <c r="C294" s="1" t="s">
        <v>37</v>
      </c>
      <c r="D294" s="1" t="s">
        <v>63</v>
      </c>
      <c r="E294" s="1" t="s">
        <v>35</v>
      </c>
      <c r="F294" s="1" t="s">
        <v>62</v>
      </c>
      <c r="G294" s="1" t="s">
        <v>61</v>
      </c>
      <c r="H294" s="1" t="s">
        <v>60</v>
      </c>
      <c r="I294" s="1" t="s">
        <v>4066</v>
      </c>
      <c r="J294" s="1">
        <v>2020</v>
      </c>
      <c r="K294" s="1" t="s">
        <v>4065</v>
      </c>
      <c r="L294" s="1" t="s">
        <v>4064</v>
      </c>
      <c r="P294" s="1" t="s">
        <v>3982</v>
      </c>
      <c r="Q294" s="1" t="s">
        <v>771</v>
      </c>
      <c r="R294" s="1" t="s">
        <v>1060</v>
      </c>
      <c r="S294" s="1" t="s">
        <v>3981</v>
      </c>
      <c r="T294" s="1" t="s">
        <v>3980</v>
      </c>
      <c r="U294" s="1">
        <v>1</v>
      </c>
      <c r="V294" s="1" t="s">
        <v>771</v>
      </c>
      <c r="W294" s="1" t="s">
        <v>4063</v>
      </c>
      <c r="X294" s="1" t="s">
        <v>52</v>
      </c>
      <c r="Y294" s="3">
        <v>44127</v>
      </c>
      <c r="Z294" s="1">
        <v>2020</v>
      </c>
      <c r="AA294" s="2">
        <v>249769</v>
      </c>
      <c r="AB294" s="2"/>
      <c r="AC294" s="2">
        <v>187326.75</v>
      </c>
      <c r="AF294" s="1">
        <v>15</v>
      </c>
      <c r="AG294" s="1" t="s">
        <v>21</v>
      </c>
      <c r="AH294" s="1" t="s">
        <v>65</v>
      </c>
      <c r="AI294" s="2">
        <v>186235.84</v>
      </c>
      <c r="AK294" s="1" t="s">
        <v>4062</v>
      </c>
      <c r="AL294" s="1" t="s">
        <v>88</v>
      </c>
    </row>
    <row r="295" spans="1:38" ht="15" customHeight="1" x14ac:dyDescent="0.2">
      <c r="A295" s="1" t="s">
        <v>19</v>
      </c>
      <c r="B295" s="5" t="s">
        <v>18</v>
      </c>
      <c r="C295" s="1" t="s">
        <v>37</v>
      </c>
      <c r="D295" s="1" t="s">
        <v>63</v>
      </c>
      <c r="E295" s="1" t="s">
        <v>35</v>
      </c>
      <c r="F295" s="1" t="s">
        <v>62</v>
      </c>
      <c r="G295" s="1" t="s">
        <v>61</v>
      </c>
      <c r="H295" s="1" t="s">
        <v>60</v>
      </c>
      <c r="I295" s="1" t="s">
        <v>4061</v>
      </c>
      <c r="J295" s="1">
        <v>2020</v>
      </c>
      <c r="K295" s="1" t="s">
        <v>4060</v>
      </c>
      <c r="L295" s="1" t="s">
        <v>4059</v>
      </c>
      <c r="P295" s="1" t="s">
        <v>3982</v>
      </c>
      <c r="Q295" s="1" t="s">
        <v>771</v>
      </c>
      <c r="R295" s="1" t="s">
        <v>1060</v>
      </c>
      <c r="S295" s="1" t="s">
        <v>3981</v>
      </c>
      <c r="T295" s="1" t="s">
        <v>3980</v>
      </c>
      <c r="U295" s="1">
        <v>1</v>
      </c>
      <c r="V295" s="1" t="s">
        <v>771</v>
      </c>
      <c r="W295" s="1" t="s">
        <v>4058</v>
      </c>
      <c r="X295" s="1" t="s">
        <v>52</v>
      </c>
      <c r="Y295" s="3">
        <v>44127</v>
      </c>
      <c r="Z295" s="1">
        <v>2020</v>
      </c>
      <c r="AA295" s="2">
        <v>199988</v>
      </c>
      <c r="AB295" s="2"/>
      <c r="AC295" s="2">
        <v>149991</v>
      </c>
      <c r="AF295" s="1">
        <v>15</v>
      </c>
      <c r="AG295" s="1" t="s">
        <v>21</v>
      </c>
      <c r="AH295" s="1" t="s">
        <v>65</v>
      </c>
      <c r="AI295" s="2">
        <v>149991</v>
      </c>
      <c r="AK295" s="1" t="s">
        <v>1393</v>
      </c>
      <c r="AL295" s="1" t="s">
        <v>4057</v>
      </c>
    </row>
    <row r="296" spans="1:38" ht="15" customHeight="1" x14ac:dyDescent="0.2">
      <c r="A296" s="1" t="s">
        <v>19</v>
      </c>
      <c r="B296" s="5" t="s">
        <v>18</v>
      </c>
      <c r="C296" s="1" t="s">
        <v>37</v>
      </c>
      <c r="D296" s="1" t="s">
        <v>63</v>
      </c>
      <c r="E296" s="1" t="s">
        <v>35</v>
      </c>
      <c r="F296" s="1" t="s">
        <v>62</v>
      </c>
      <c r="G296" s="1" t="s">
        <v>61</v>
      </c>
      <c r="H296" s="1" t="s">
        <v>60</v>
      </c>
      <c r="I296" s="1" t="s">
        <v>4056</v>
      </c>
      <c r="J296" s="1">
        <v>2020</v>
      </c>
      <c r="K296" s="1" t="s">
        <v>4055</v>
      </c>
      <c r="L296" s="1" t="s">
        <v>4054</v>
      </c>
      <c r="P296" s="1" t="s">
        <v>4053</v>
      </c>
      <c r="Q296" s="1" t="s">
        <v>771</v>
      </c>
      <c r="R296" s="1" t="s">
        <v>1060</v>
      </c>
      <c r="S296" s="1" t="s">
        <v>4052</v>
      </c>
      <c r="T296" s="1" t="s">
        <v>4051</v>
      </c>
      <c r="U296" s="1">
        <v>1</v>
      </c>
      <c r="V296" s="1" t="s">
        <v>771</v>
      </c>
      <c r="W296" s="1" t="s">
        <v>4050</v>
      </c>
      <c r="X296" s="1" t="s">
        <v>529</v>
      </c>
      <c r="Y296" s="3">
        <v>44127</v>
      </c>
      <c r="Z296" s="1">
        <v>2020</v>
      </c>
      <c r="AA296" s="2">
        <v>5386700.1699999999</v>
      </c>
      <c r="AB296" s="2"/>
      <c r="AC296" s="2">
        <v>4040025.1274999999</v>
      </c>
      <c r="AD296" s="1">
        <v>24</v>
      </c>
      <c r="AF296" s="1">
        <v>0</v>
      </c>
      <c r="AG296" s="1" t="s">
        <v>21</v>
      </c>
      <c r="AH296" s="1" t="s">
        <v>51</v>
      </c>
      <c r="AI296" s="2">
        <v>4040025.1274999999</v>
      </c>
      <c r="AK296" s="1" t="s">
        <v>1393</v>
      </c>
      <c r="AL296" s="1" t="s">
        <v>2499</v>
      </c>
    </row>
    <row r="297" spans="1:38" ht="15" customHeight="1" x14ac:dyDescent="0.2">
      <c r="A297" s="1" t="s">
        <v>19</v>
      </c>
      <c r="B297" s="5" t="s">
        <v>18</v>
      </c>
      <c r="C297" s="1" t="s">
        <v>37</v>
      </c>
      <c r="D297" s="1" t="s">
        <v>63</v>
      </c>
      <c r="E297" s="1" t="s">
        <v>35</v>
      </c>
      <c r="F297" s="1" t="s">
        <v>62</v>
      </c>
      <c r="G297" s="1" t="s">
        <v>61</v>
      </c>
      <c r="H297" s="1" t="s">
        <v>60</v>
      </c>
      <c r="I297" s="1" t="s">
        <v>4049</v>
      </c>
      <c r="J297" s="1">
        <v>2020</v>
      </c>
      <c r="K297" s="1" t="s">
        <v>4048</v>
      </c>
      <c r="L297" s="1" t="s">
        <v>4047</v>
      </c>
      <c r="N297" s="1" t="s">
        <v>4046</v>
      </c>
      <c r="P297" s="1" t="s">
        <v>4045</v>
      </c>
      <c r="Q297" s="1" t="s">
        <v>771</v>
      </c>
      <c r="R297" s="1" t="s">
        <v>1060</v>
      </c>
      <c r="S297" s="1" t="s">
        <v>4044</v>
      </c>
      <c r="T297" s="1" t="s">
        <v>4043</v>
      </c>
      <c r="U297" s="1">
        <v>1</v>
      </c>
      <c r="V297" s="1" t="s">
        <v>771</v>
      </c>
      <c r="W297" s="1" t="s">
        <v>4042</v>
      </c>
      <c r="X297" s="1" t="s">
        <v>52</v>
      </c>
      <c r="Y297" s="3">
        <v>44127</v>
      </c>
      <c r="Z297" s="1">
        <v>2020</v>
      </c>
      <c r="AA297" s="2">
        <v>485759</v>
      </c>
      <c r="AB297" s="2"/>
      <c r="AC297" s="2">
        <v>364319.25</v>
      </c>
      <c r="AD297" s="1">
        <v>0</v>
      </c>
      <c r="AF297" s="1">
        <v>3</v>
      </c>
      <c r="AG297" s="1" t="s">
        <v>21</v>
      </c>
      <c r="AH297" s="1" t="s">
        <v>65</v>
      </c>
      <c r="AI297" s="2">
        <v>338851.78</v>
      </c>
      <c r="AK297" s="1" t="s">
        <v>318</v>
      </c>
      <c r="AL297" s="1" t="s">
        <v>820</v>
      </c>
    </row>
    <row r="298" spans="1:38" ht="15" customHeight="1" x14ac:dyDescent="0.2">
      <c r="A298" s="1" t="s">
        <v>19</v>
      </c>
      <c r="B298" s="5" t="s">
        <v>18</v>
      </c>
      <c r="C298" s="1" t="s">
        <v>37</v>
      </c>
      <c r="D298" s="1" t="s">
        <v>63</v>
      </c>
      <c r="E298" s="1" t="s">
        <v>35</v>
      </c>
      <c r="F298" s="1" t="s">
        <v>62</v>
      </c>
      <c r="G298" s="1" t="s">
        <v>61</v>
      </c>
      <c r="H298" s="1" t="s">
        <v>60</v>
      </c>
      <c r="I298" s="1" t="s">
        <v>4041</v>
      </c>
      <c r="J298" s="1">
        <v>2020</v>
      </c>
      <c r="K298" s="1" t="s">
        <v>4040</v>
      </c>
      <c r="L298" s="1" t="s">
        <v>4039</v>
      </c>
      <c r="P298" s="1" t="s">
        <v>3989</v>
      </c>
      <c r="Q298" s="1" t="s">
        <v>771</v>
      </c>
      <c r="R298" s="1" t="s">
        <v>1060</v>
      </c>
      <c r="S298" s="1" t="s">
        <v>3988</v>
      </c>
      <c r="T298" s="1" t="s">
        <v>3987</v>
      </c>
      <c r="U298" s="1">
        <v>1</v>
      </c>
      <c r="V298" s="1" t="s">
        <v>771</v>
      </c>
      <c r="W298" s="1" t="s">
        <v>4038</v>
      </c>
      <c r="X298" s="1" t="s">
        <v>52</v>
      </c>
      <c r="Y298" s="3">
        <v>44127</v>
      </c>
      <c r="Z298" s="1">
        <v>2020</v>
      </c>
      <c r="AA298" s="2">
        <v>53487</v>
      </c>
      <c r="AB298" s="2"/>
      <c r="AC298" s="2">
        <v>40115.25</v>
      </c>
      <c r="AD298" s="1">
        <v>0</v>
      </c>
      <c r="AF298" s="1">
        <v>0</v>
      </c>
      <c r="AG298" s="1" t="s">
        <v>21</v>
      </c>
      <c r="AH298" s="1" t="s">
        <v>65</v>
      </c>
      <c r="AI298" s="2">
        <v>40115.25</v>
      </c>
      <c r="AK298" s="1"/>
      <c r="AL298" s="1" t="s">
        <v>4037</v>
      </c>
    </row>
    <row r="299" spans="1:38" ht="15" customHeight="1" x14ac:dyDescent="0.2">
      <c r="A299" s="1" t="s">
        <v>19</v>
      </c>
      <c r="B299" s="5" t="s">
        <v>18</v>
      </c>
      <c r="C299" s="1" t="s">
        <v>37</v>
      </c>
      <c r="D299" s="1" t="s">
        <v>63</v>
      </c>
      <c r="E299" s="1" t="s">
        <v>35</v>
      </c>
      <c r="F299" s="1" t="s">
        <v>62</v>
      </c>
      <c r="G299" s="1" t="s">
        <v>61</v>
      </c>
      <c r="H299" s="1" t="s">
        <v>60</v>
      </c>
      <c r="I299" s="1" t="s">
        <v>4036</v>
      </c>
      <c r="J299" s="1">
        <v>2020</v>
      </c>
      <c r="K299" s="1" t="s">
        <v>4035</v>
      </c>
      <c r="L299" s="1" t="s">
        <v>4034</v>
      </c>
      <c r="P299" s="1" t="s">
        <v>4033</v>
      </c>
      <c r="Q299" s="1" t="s">
        <v>771</v>
      </c>
      <c r="R299" s="1" t="s">
        <v>1060</v>
      </c>
      <c r="S299" s="1" t="s">
        <v>4032</v>
      </c>
      <c r="T299" s="1" t="s">
        <v>4031</v>
      </c>
      <c r="U299" s="1">
        <v>1</v>
      </c>
      <c r="V299" s="1" t="s">
        <v>771</v>
      </c>
      <c r="W299" s="1" t="s">
        <v>4030</v>
      </c>
      <c r="X299" s="1" t="s">
        <v>52</v>
      </c>
      <c r="Y299" s="3">
        <v>44127</v>
      </c>
      <c r="Z299" s="1">
        <v>2020</v>
      </c>
      <c r="AA299" s="2">
        <v>199700.7</v>
      </c>
      <c r="AB299" s="2"/>
      <c r="AC299" s="2">
        <v>149775.52500000002</v>
      </c>
      <c r="AD299" s="1">
        <v>4</v>
      </c>
      <c r="AG299" s="1" t="s">
        <v>21</v>
      </c>
      <c r="AH299" s="1" t="s">
        <v>65</v>
      </c>
      <c r="AI299" s="2">
        <v>148961.57</v>
      </c>
      <c r="AK299" s="1" t="s">
        <v>20</v>
      </c>
    </row>
    <row r="300" spans="1:38" ht="15" customHeight="1" x14ac:dyDescent="0.2">
      <c r="A300" s="1" t="s">
        <v>19</v>
      </c>
      <c r="B300" s="5" t="s">
        <v>18</v>
      </c>
      <c r="C300" s="1" t="s">
        <v>37</v>
      </c>
      <c r="D300" s="1" t="s">
        <v>63</v>
      </c>
      <c r="E300" s="1" t="s">
        <v>35</v>
      </c>
      <c r="F300" s="1" t="s">
        <v>62</v>
      </c>
      <c r="G300" s="1" t="s">
        <v>61</v>
      </c>
      <c r="H300" s="1" t="s">
        <v>60</v>
      </c>
      <c r="I300" s="1" t="s">
        <v>4029</v>
      </c>
      <c r="J300" s="1">
        <v>2020</v>
      </c>
      <c r="K300" s="1" t="s">
        <v>4028</v>
      </c>
      <c r="L300" s="1" t="s">
        <v>4027</v>
      </c>
      <c r="N300" s="1" t="s">
        <v>4026</v>
      </c>
      <c r="P300" s="1" t="s">
        <v>4025</v>
      </c>
      <c r="Q300" s="1" t="s">
        <v>771</v>
      </c>
      <c r="R300" s="1" t="s">
        <v>1060</v>
      </c>
      <c r="S300" s="1" t="s">
        <v>4024</v>
      </c>
      <c r="T300" s="1" t="s">
        <v>4023</v>
      </c>
      <c r="U300" s="1">
        <v>1</v>
      </c>
      <c r="V300" s="1" t="s">
        <v>771</v>
      </c>
      <c r="W300" s="1" t="s">
        <v>4022</v>
      </c>
      <c r="X300" s="1" t="s">
        <v>52</v>
      </c>
      <c r="Y300" s="3">
        <v>44127</v>
      </c>
      <c r="Z300" s="1">
        <v>2020</v>
      </c>
      <c r="AA300" s="2">
        <v>130380</v>
      </c>
      <c r="AB300" s="2"/>
      <c r="AC300" s="2">
        <v>97785</v>
      </c>
      <c r="AD300" s="1">
        <v>0</v>
      </c>
      <c r="AF300" s="1">
        <v>5</v>
      </c>
      <c r="AG300" s="1" t="s">
        <v>21</v>
      </c>
      <c r="AH300" s="1" t="s">
        <v>65</v>
      </c>
      <c r="AI300" s="2">
        <v>97785</v>
      </c>
      <c r="AK300" s="1" t="s">
        <v>318</v>
      </c>
    </row>
    <row r="301" spans="1:38" ht="15" customHeight="1" x14ac:dyDescent="0.2">
      <c r="A301" s="1" t="s">
        <v>19</v>
      </c>
      <c r="B301" s="5" t="s">
        <v>18</v>
      </c>
      <c r="C301" s="1" t="s">
        <v>37</v>
      </c>
      <c r="D301" s="1" t="s">
        <v>63</v>
      </c>
      <c r="E301" s="1" t="s">
        <v>35</v>
      </c>
      <c r="F301" s="1" t="s">
        <v>62</v>
      </c>
      <c r="G301" s="1" t="s">
        <v>61</v>
      </c>
      <c r="H301" s="1" t="s">
        <v>60</v>
      </c>
      <c r="I301" s="1" t="s">
        <v>4021</v>
      </c>
      <c r="J301" s="1">
        <v>2020</v>
      </c>
      <c r="K301" s="1" t="s">
        <v>4020</v>
      </c>
      <c r="L301" s="1" t="s">
        <v>4019</v>
      </c>
      <c r="P301" s="1" t="s">
        <v>4005</v>
      </c>
      <c r="Q301" s="1" t="s">
        <v>771</v>
      </c>
      <c r="R301" s="1" t="s">
        <v>1060</v>
      </c>
      <c r="S301" s="1" t="s">
        <v>4004</v>
      </c>
      <c r="T301" s="1" t="s">
        <v>4003</v>
      </c>
      <c r="U301" s="1">
        <v>1</v>
      </c>
      <c r="V301" s="1" t="s">
        <v>771</v>
      </c>
      <c r="W301" s="1" t="s">
        <v>4018</v>
      </c>
      <c r="X301" s="1" t="s">
        <v>52</v>
      </c>
      <c r="Y301" s="3">
        <v>44127</v>
      </c>
      <c r="Z301" s="1">
        <v>2020</v>
      </c>
      <c r="AA301" s="2">
        <v>37295</v>
      </c>
      <c r="AB301" s="2"/>
      <c r="AC301" s="2">
        <v>27971.25</v>
      </c>
      <c r="AD301" s="1">
        <v>0</v>
      </c>
      <c r="AF301" s="1">
        <v>0</v>
      </c>
      <c r="AG301" s="1" t="s">
        <v>21</v>
      </c>
      <c r="AH301" s="1" t="s">
        <v>65</v>
      </c>
      <c r="AI301" s="2">
        <v>23683.89</v>
      </c>
      <c r="AK301" s="1" t="s">
        <v>1335</v>
      </c>
      <c r="AL301" s="1" t="s">
        <v>1868</v>
      </c>
    </row>
    <row r="302" spans="1:38" ht="15" customHeight="1" x14ac:dyDescent="0.2">
      <c r="A302" s="1" t="s">
        <v>19</v>
      </c>
      <c r="B302" s="5" t="s">
        <v>18</v>
      </c>
      <c r="C302" s="1" t="s">
        <v>37</v>
      </c>
      <c r="D302" s="1" t="s">
        <v>63</v>
      </c>
      <c r="E302" s="1" t="s">
        <v>35</v>
      </c>
      <c r="F302" s="1" t="s">
        <v>62</v>
      </c>
      <c r="G302" s="1" t="s">
        <v>61</v>
      </c>
      <c r="H302" s="1" t="s">
        <v>60</v>
      </c>
      <c r="I302" s="1" t="s">
        <v>4017</v>
      </c>
      <c r="J302" s="1">
        <v>2020</v>
      </c>
      <c r="K302" s="1" t="s">
        <v>4016</v>
      </c>
      <c r="L302" s="1" t="s">
        <v>4015</v>
      </c>
      <c r="P302" s="1" t="s">
        <v>3965</v>
      </c>
      <c r="Q302" s="1" t="s">
        <v>771</v>
      </c>
      <c r="R302" s="1" t="s">
        <v>1060</v>
      </c>
      <c r="S302" s="1" t="s">
        <v>3964</v>
      </c>
      <c r="T302" s="1" t="s">
        <v>3963</v>
      </c>
      <c r="U302" s="1">
        <v>1</v>
      </c>
      <c r="V302" s="1" t="s">
        <v>771</v>
      </c>
      <c r="W302" s="1" t="s">
        <v>4014</v>
      </c>
      <c r="X302" s="1" t="s">
        <v>52</v>
      </c>
      <c r="Y302" s="3">
        <v>44127</v>
      </c>
      <c r="Z302" s="1">
        <v>2020</v>
      </c>
      <c r="AA302" s="2">
        <v>237978</v>
      </c>
      <c r="AB302" s="2"/>
      <c r="AC302" s="2">
        <v>178483.5</v>
      </c>
      <c r="AD302" s="1">
        <v>0</v>
      </c>
      <c r="AF302" s="1">
        <v>0</v>
      </c>
      <c r="AG302" s="1" t="s">
        <v>21</v>
      </c>
      <c r="AH302" s="1" t="s">
        <v>65</v>
      </c>
      <c r="AI302" s="2">
        <v>168781.79</v>
      </c>
      <c r="AK302" s="1" t="s">
        <v>1393</v>
      </c>
      <c r="AL302" s="1" t="s">
        <v>1868</v>
      </c>
    </row>
    <row r="303" spans="1:38" ht="15" customHeight="1" x14ac:dyDescent="0.2">
      <c r="A303" s="1" t="s">
        <v>19</v>
      </c>
      <c r="B303" s="5" t="s">
        <v>18</v>
      </c>
      <c r="C303" s="1" t="s">
        <v>37</v>
      </c>
      <c r="D303" s="1" t="s">
        <v>63</v>
      </c>
      <c r="E303" s="1" t="s">
        <v>35</v>
      </c>
      <c r="F303" s="1" t="s">
        <v>62</v>
      </c>
      <c r="G303" s="1" t="s">
        <v>61</v>
      </c>
      <c r="H303" s="1" t="s">
        <v>60</v>
      </c>
      <c r="I303" s="1" t="s">
        <v>4013</v>
      </c>
      <c r="J303" s="1">
        <v>2020</v>
      </c>
      <c r="K303" s="1" t="s">
        <v>4012</v>
      </c>
      <c r="L303" s="1" t="s">
        <v>4011</v>
      </c>
      <c r="P303" s="1" t="s">
        <v>3957</v>
      </c>
      <c r="Q303" s="1" t="s">
        <v>771</v>
      </c>
      <c r="R303" s="1" t="s">
        <v>1060</v>
      </c>
      <c r="S303" s="1" t="s">
        <v>3956</v>
      </c>
      <c r="T303" s="1" t="s">
        <v>3955</v>
      </c>
      <c r="U303" s="1">
        <v>1</v>
      </c>
      <c r="V303" s="1" t="s">
        <v>771</v>
      </c>
      <c r="W303" s="1" t="s">
        <v>4010</v>
      </c>
      <c r="X303" s="1" t="s">
        <v>52</v>
      </c>
      <c r="Y303" s="3">
        <v>44127</v>
      </c>
      <c r="Z303" s="1">
        <v>2020</v>
      </c>
      <c r="AA303" s="2">
        <v>249550</v>
      </c>
      <c r="AB303" s="2"/>
      <c r="AC303" s="2">
        <v>187162.5</v>
      </c>
      <c r="AD303" s="1">
        <v>0</v>
      </c>
      <c r="AF303" s="1">
        <v>0</v>
      </c>
      <c r="AG303" s="1" t="s">
        <v>21</v>
      </c>
      <c r="AH303" s="1" t="s">
        <v>65</v>
      </c>
      <c r="AI303" s="2">
        <v>185032.01</v>
      </c>
      <c r="AK303" s="1" t="s">
        <v>318</v>
      </c>
      <c r="AL303" s="1" t="s">
        <v>1868</v>
      </c>
    </row>
    <row r="304" spans="1:38" ht="15" customHeight="1" x14ac:dyDescent="0.2">
      <c r="A304" s="1" t="s">
        <v>19</v>
      </c>
      <c r="B304" s="5" t="s">
        <v>18</v>
      </c>
      <c r="C304" s="1" t="s">
        <v>37</v>
      </c>
      <c r="D304" s="1" t="s">
        <v>63</v>
      </c>
      <c r="E304" s="1" t="s">
        <v>35</v>
      </c>
      <c r="F304" s="1" t="s">
        <v>62</v>
      </c>
      <c r="G304" s="1" t="s">
        <v>61</v>
      </c>
      <c r="H304" s="1" t="s">
        <v>60</v>
      </c>
      <c r="I304" s="1" t="s">
        <v>4009</v>
      </c>
      <c r="J304" s="1">
        <v>2020</v>
      </c>
      <c r="K304" s="1" t="s">
        <v>4008</v>
      </c>
      <c r="L304" s="1" t="s">
        <v>4007</v>
      </c>
      <c r="N304" s="1" t="s">
        <v>4006</v>
      </c>
      <c r="P304" s="1" t="s">
        <v>4005</v>
      </c>
      <c r="Q304" s="1" t="s">
        <v>771</v>
      </c>
      <c r="R304" s="1" t="s">
        <v>1060</v>
      </c>
      <c r="S304" s="1" t="s">
        <v>4004</v>
      </c>
      <c r="T304" s="1" t="s">
        <v>4003</v>
      </c>
      <c r="U304" s="1">
        <v>1</v>
      </c>
      <c r="V304" s="1" t="s">
        <v>771</v>
      </c>
      <c r="W304" s="1" t="s">
        <v>4002</v>
      </c>
      <c r="X304" s="1" t="s">
        <v>667</v>
      </c>
      <c r="Y304" s="3">
        <v>44127</v>
      </c>
      <c r="Z304" s="1">
        <v>2020</v>
      </c>
      <c r="AA304" s="2">
        <v>120000</v>
      </c>
      <c r="AB304" s="2"/>
      <c r="AC304" s="2">
        <v>90000</v>
      </c>
      <c r="AD304" s="1">
        <v>0</v>
      </c>
      <c r="AF304" s="1">
        <v>12</v>
      </c>
      <c r="AG304" s="1" t="s">
        <v>21</v>
      </c>
      <c r="AH304" s="1" t="s">
        <v>65</v>
      </c>
      <c r="AI304" s="2">
        <v>89999.99</v>
      </c>
      <c r="AK304" s="1" t="s">
        <v>318</v>
      </c>
    </row>
    <row r="305" spans="1:38" ht="15" customHeight="1" x14ac:dyDescent="0.2">
      <c r="A305" s="1" t="s">
        <v>19</v>
      </c>
      <c r="B305" s="5" t="s">
        <v>18</v>
      </c>
      <c r="C305" s="1" t="s">
        <v>37</v>
      </c>
      <c r="D305" s="1" t="s">
        <v>63</v>
      </c>
      <c r="E305" s="1" t="s">
        <v>35</v>
      </c>
      <c r="F305" s="1" t="s">
        <v>62</v>
      </c>
      <c r="G305" s="1" t="s">
        <v>61</v>
      </c>
      <c r="H305" s="1" t="s">
        <v>509</v>
      </c>
      <c r="I305" s="1" t="s">
        <v>4001</v>
      </c>
      <c r="J305" s="1">
        <v>2020</v>
      </c>
      <c r="K305" s="1" t="s">
        <v>4000</v>
      </c>
      <c r="L305" s="1" t="s">
        <v>3999</v>
      </c>
      <c r="P305" s="1" t="s">
        <v>3957</v>
      </c>
      <c r="Q305" s="1" t="s">
        <v>771</v>
      </c>
      <c r="R305" s="1" t="s">
        <v>1060</v>
      </c>
      <c r="S305" s="1" t="s">
        <v>3956</v>
      </c>
      <c r="T305" s="1" t="s">
        <v>3955</v>
      </c>
      <c r="U305" s="1">
        <v>1</v>
      </c>
      <c r="V305" s="1" t="s">
        <v>771</v>
      </c>
      <c r="W305" s="1" t="s">
        <v>3998</v>
      </c>
      <c r="X305" s="1" t="s">
        <v>52</v>
      </c>
      <c r="Y305" s="3">
        <v>44127</v>
      </c>
      <c r="Z305" s="1">
        <v>2020</v>
      </c>
      <c r="AA305" s="2">
        <v>361789.58</v>
      </c>
      <c r="AB305" s="2"/>
      <c r="AC305" s="2">
        <v>271342.19</v>
      </c>
      <c r="AD305" s="1">
        <v>0</v>
      </c>
      <c r="AF305" s="1">
        <v>0</v>
      </c>
      <c r="AG305" s="1" t="s">
        <v>21</v>
      </c>
      <c r="AH305" s="1" t="s">
        <v>65</v>
      </c>
      <c r="AI305" s="2">
        <v>271342.19</v>
      </c>
      <c r="AK305" s="1" t="s">
        <v>318</v>
      </c>
      <c r="AL305" s="1" t="s">
        <v>3997</v>
      </c>
    </row>
    <row r="306" spans="1:38" ht="15" customHeight="1" x14ac:dyDescent="0.2">
      <c r="A306" s="1" t="s">
        <v>19</v>
      </c>
      <c r="B306" s="5" t="s">
        <v>18</v>
      </c>
      <c r="C306" s="1" t="s">
        <v>37</v>
      </c>
      <c r="D306" s="1" t="s">
        <v>63</v>
      </c>
      <c r="E306" s="1" t="s">
        <v>35</v>
      </c>
      <c r="F306" s="1" t="s">
        <v>62</v>
      </c>
      <c r="G306" s="1" t="s">
        <v>61</v>
      </c>
      <c r="H306" s="1" t="s">
        <v>60</v>
      </c>
      <c r="I306" s="1" t="s">
        <v>3996</v>
      </c>
      <c r="J306" s="1">
        <v>2020</v>
      </c>
      <c r="K306" s="1" t="s">
        <v>3995</v>
      </c>
      <c r="L306" s="1" t="s">
        <v>3994</v>
      </c>
      <c r="P306" s="1" t="s">
        <v>3957</v>
      </c>
      <c r="Q306" s="1" t="s">
        <v>771</v>
      </c>
      <c r="R306" s="1" t="s">
        <v>1060</v>
      </c>
      <c r="S306" s="1" t="s">
        <v>3956</v>
      </c>
      <c r="T306" s="1" t="s">
        <v>3955</v>
      </c>
      <c r="U306" s="1">
        <v>1</v>
      </c>
      <c r="V306" s="1" t="s">
        <v>771</v>
      </c>
      <c r="W306" s="1" t="s">
        <v>3993</v>
      </c>
      <c r="X306" s="1" t="s">
        <v>529</v>
      </c>
      <c r="Y306" s="3">
        <v>44127</v>
      </c>
      <c r="Z306" s="1">
        <v>2020</v>
      </c>
      <c r="AA306" s="2">
        <v>231916.12</v>
      </c>
      <c r="AB306" s="2"/>
      <c r="AC306" s="2">
        <v>173937.09</v>
      </c>
      <c r="AD306" s="1">
        <v>0</v>
      </c>
      <c r="AF306" s="1">
        <v>2</v>
      </c>
      <c r="AG306" s="1" t="s">
        <v>21</v>
      </c>
      <c r="AH306" s="1" t="s">
        <v>51</v>
      </c>
      <c r="AI306" s="2">
        <v>173937.09</v>
      </c>
      <c r="AK306" s="1" t="s">
        <v>1335</v>
      </c>
      <c r="AL306" s="1" t="s">
        <v>2499</v>
      </c>
    </row>
    <row r="307" spans="1:38" ht="15" customHeight="1" x14ac:dyDescent="0.2">
      <c r="A307" s="1" t="s">
        <v>19</v>
      </c>
      <c r="B307" s="5" t="s">
        <v>18</v>
      </c>
      <c r="C307" s="1" t="s">
        <v>37</v>
      </c>
      <c r="D307" s="1" t="s">
        <v>63</v>
      </c>
      <c r="E307" s="1" t="s">
        <v>35</v>
      </c>
      <c r="F307" s="1" t="s">
        <v>62</v>
      </c>
      <c r="G307" s="1" t="s">
        <v>61</v>
      </c>
      <c r="H307" s="1" t="s">
        <v>509</v>
      </c>
      <c r="I307" s="1" t="s">
        <v>3992</v>
      </c>
      <c r="J307" s="1">
        <v>2020</v>
      </c>
      <c r="K307" s="1" t="s">
        <v>3991</v>
      </c>
      <c r="L307" s="1" t="s">
        <v>3990</v>
      </c>
      <c r="P307" s="1" t="s">
        <v>3989</v>
      </c>
      <c r="Q307" s="1" t="s">
        <v>771</v>
      </c>
      <c r="R307" s="1" t="s">
        <v>1060</v>
      </c>
      <c r="S307" s="1" t="s">
        <v>3988</v>
      </c>
      <c r="T307" s="1" t="s">
        <v>3987</v>
      </c>
      <c r="U307" s="1">
        <v>1</v>
      </c>
      <c r="V307" s="1" t="s">
        <v>771</v>
      </c>
      <c r="W307" s="1" t="s">
        <v>3986</v>
      </c>
      <c r="X307" s="1" t="s">
        <v>667</v>
      </c>
      <c r="Y307" s="3">
        <v>44127</v>
      </c>
      <c r="Z307" s="1">
        <v>2020</v>
      </c>
      <c r="AA307" s="2">
        <v>1036918.0666666667</v>
      </c>
      <c r="AB307" s="2"/>
      <c r="AC307" s="2">
        <v>777688.55</v>
      </c>
      <c r="AD307" s="1">
        <v>0</v>
      </c>
      <c r="AF307" s="1">
        <v>5</v>
      </c>
      <c r="AG307" s="1" t="s">
        <v>21</v>
      </c>
      <c r="AH307" s="1" t="s">
        <v>65</v>
      </c>
      <c r="AI307" s="2">
        <v>659909.99</v>
      </c>
      <c r="AK307" s="1"/>
      <c r="AL307" s="1" t="s">
        <v>429</v>
      </c>
    </row>
    <row r="308" spans="1:38" ht="15" customHeight="1" x14ac:dyDescent="0.2">
      <c r="A308" s="1" t="s">
        <v>19</v>
      </c>
      <c r="B308" s="5" t="s">
        <v>18</v>
      </c>
      <c r="C308" s="1" t="s">
        <v>37</v>
      </c>
      <c r="D308" s="1" t="s">
        <v>63</v>
      </c>
      <c r="E308" s="1" t="s">
        <v>35</v>
      </c>
      <c r="F308" s="1" t="s">
        <v>62</v>
      </c>
      <c r="G308" s="1" t="s">
        <v>61</v>
      </c>
      <c r="H308" s="1" t="s">
        <v>60</v>
      </c>
      <c r="I308" s="1" t="s">
        <v>3985</v>
      </c>
      <c r="J308" s="1">
        <v>2020</v>
      </c>
      <c r="K308" s="1" t="s">
        <v>3984</v>
      </c>
      <c r="L308" s="1" t="s">
        <v>3983</v>
      </c>
      <c r="P308" s="1" t="s">
        <v>3982</v>
      </c>
      <c r="Q308" s="1" t="s">
        <v>771</v>
      </c>
      <c r="R308" s="1" t="s">
        <v>1060</v>
      </c>
      <c r="S308" s="1" t="s">
        <v>3981</v>
      </c>
      <c r="T308" s="1" t="s">
        <v>3980</v>
      </c>
      <c r="U308" s="1">
        <v>1</v>
      </c>
      <c r="V308" s="1" t="s">
        <v>771</v>
      </c>
      <c r="W308" s="1" t="s">
        <v>3979</v>
      </c>
      <c r="X308" s="1" t="s">
        <v>52</v>
      </c>
      <c r="Y308" s="3">
        <v>44127</v>
      </c>
      <c r="Z308" s="1">
        <v>2020</v>
      </c>
      <c r="AA308" s="2">
        <v>393361</v>
      </c>
      <c r="AB308" s="2"/>
      <c r="AC308" s="2">
        <v>295020.75</v>
      </c>
      <c r="AD308" s="1">
        <v>18</v>
      </c>
      <c r="AF308" s="1">
        <v>0</v>
      </c>
      <c r="AG308" s="1" t="s">
        <v>21</v>
      </c>
      <c r="AH308" s="1" t="s">
        <v>65</v>
      </c>
      <c r="AI308" s="2">
        <v>201775.79</v>
      </c>
      <c r="AK308" s="1" t="s">
        <v>1393</v>
      </c>
      <c r="AL308" s="1" t="s">
        <v>3978</v>
      </c>
    </row>
    <row r="309" spans="1:38" ht="15" customHeight="1" x14ac:dyDescent="0.2">
      <c r="A309" s="1" t="s">
        <v>19</v>
      </c>
      <c r="B309" s="5" t="s">
        <v>18</v>
      </c>
      <c r="C309" s="1" t="s">
        <v>37</v>
      </c>
      <c r="D309" s="1" t="s">
        <v>63</v>
      </c>
      <c r="E309" s="1" t="s">
        <v>35</v>
      </c>
      <c r="G309" s="1" t="s">
        <v>1619</v>
      </c>
      <c r="H309" s="1" t="s">
        <v>130</v>
      </c>
      <c r="I309" s="1" t="s">
        <v>3977</v>
      </c>
      <c r="J309" s="1">
        <v>2020</v>
      </c>
      <c r="K309" s="1" t="s">
        <v>3229</v>
      </c>
      <c r="L309" s="1" t="s">
        <v>3970</v>
      </c>
      <c r="N309" s="1" t="s">
        <v>3976</v>
      </c>
      <c r="P309" s="1" t="s">
        <v>3975</v>
      </c>
      <c r="Q309" s="1" t="s">
        <v>3974</v>
      </c>
      <c r="R309" s="1" t="s">
        <v>3973</v>
      </c>
      <c r="S309" s="1" t="s">
        <v>3972</v>
      </c>
      <c r="T309" s="1" t="s">
        <v>3971</v>
      </c>
      <c r="U309" s="1">
        <v>2</v>
      </c>
      <c r="V309" s="1" t="s">
        <v>771</v>
      </c>
      <c r="W309" s="1" t="s">
        <v>3970</v>
      </c>
      <c r="X309" s="1" t="s">
        <v>667</v>
      </c>
      <c r="Y309" s="3">
        <v>44337</v>
      </c>
      <c r="Z309" s="1">
        <v>2021</v>
      </c>
      <c r="AA309" s="2">
        <v>1000000</v>
      </c>
      <c r="AB309" s="2"/>
      <c r="AC309" s="2">
        <v>500000</v>
      </c>
      <c r="AD309" s="1">
        <v>10</v>
      </c>
      <c r="AE309" s="1">
        <v>17</v>
      </c>
      <c r="AF309" s="1">
        <v>7</v>
      </c>
      <c r="AG309" s="1" t="s">
        <v>21</v>
      </c>
      <c r="AH309" s="1" t="s">
        <v>65</v>
      </c>
      <c r="AI309" s="2">
        <v>500000</v>
      </c>
      <c r="AK309" s="1">
        <v>17</v>
      </c>
      <c r="AL309" s="1" t="s">
        <v>3969</v>
      </c>
    </row>
    <row r="310" spans="1:38" ht="15" customHeight="1" x14ac:dyDescent="0.2">
      <c r="A310" s="1" t="s">
        <v>19</v>
      </c>
      <c r="B310" s="5" t="s">
        <v>18</v>
      </c>
      <c r="C310" s="1" t="s">
        <v>37</v>
      </c>
      <c r="D310" s="1" t="s">
        <v>63</v>
      </c>
      <c r="E310" s="1" t="s">
        <v>35</v>
      </c>
      <c r="G310" s="1" t="s">
        <v>1619</v>
      </c>
      <c r="H310" s="1" t="s">
        <v>130</v>
      </c>
      <c r="I310" s="1" t="s">
        <v>3968</v>
      </c>
      <c r="J310" s="1">
        <v>2020</v>
      </c>
      <c r="K310" s="1" t="s">
        <v>3962</v>
      </c>
      <c r="L310" s="1" t="s">
        <v>3967</v>
      </c>
      <c r="N310" s="1" t="s">
        <v>3966</v>
      </c>
      <c r="P310" s="1" t="s">
        <v>3965</v>
      </c>
      <c r="Q310" s="1" t="s">
        <v>771</v>
      </c>
      <c r="R310" s="1" t="s">
        <v>1060</v>
      </c>
      <c r="S310" s="1" t="s">
        <v>3964</v>
      </c>
      <c r="T310" s="1" t="s">
        <v>3963</v>
      </c>
      <c r="U310" s="1">
        <v>1</v>
      </c>
      <c r="V310" s="1" t="s">
        <v>771</v>
      </c>
      <c r="W310" s="1" t="s">
        <v>3962</v>
      </c>
      <c r="X310" s="1" t="s">
        <v>667</v>
      </c>
      <c r="Y310" s="3">
        <v>44337</v>
      </c>
      <c r="Z310" s="1">
        <v>2021</v>
      </c>
      <c r="AA310" s="2">
        <v>287325.31</v>
      </c>
      <c r="AB310" s="2"/>
      <c r="AC310" s="2">
        <v>184089.32</v>
      </c>
      <c r="AD310" s="1">
        <v>6</v>
      </c>
      <c r="AE310" s="1">
        <v>6</v>
      </c>
      <c r="AF310" s="1">
        <v>2</v>
      </c>
      <c r="AG310" s="1" t="s">
        <v>21</v>
      </c>
      <c r="AH310" s="1" t="s">
        <v>65</v>
      </c>
      <c r="AI310" s="2">
        <v>150617.93</v>
      </c>
      <c r="AK310" s="1">
        <v>8</v>
      </c>
      <c r="AL310" s="1" t="s">
        <v>3961</v>
      </c>
    </row>
    <row r="311" spans="1:38" ht="15" customHeight="1" x14ac:dyDescent="0.2">
      <c r="A311" s="1" t="s">
        <v>19</v>
      </c>
      <c r="B311" s="5" t="s">
        <v>18</v>
      </c>
      <c r="C311" s="1" t="s">
        <v>37</v>
      </c>
      <c r="D311" s="1" t="s">
        <v>63</v>
      </c>
      <c r="E311" s="1" t="s">
        <v>35</v>
      </c>
      <c r="G311" s="1" t="s">
        <v>1619</v>
      </c>
      <c r="H311" s="1" t="s">
        <v>130</v>
      </c>
      <c r="I311" s="1" t="s">
        <v>3960</v>
      </c>
      <c r="J311" s="1">
        <v>2020</v>
      </c>
      <c r="K311" s="1" t="s">
        <v>3954</v>
      </c>
      <c r="L311" s="1" t="s">
        <v>3959</v>
      </c>
      <c r="N311" s="1" t="s">
        <v>3958</v>
      </c>
      <c r="P311" s="1" t="s">
        <v>3957</v>
      </c>
      <c r="Q311" s="1" t="s">
        <v>771</v>
      </c>
      <c r="R311" s="1" t="s">
        <v>1060</v>
      </c>
      <c r="S311" s="1" t="s">
        <v>3956</v>
      </c>
      <c r="T311" s="1" t="s">
        <v>3955</v>
      </c>
      <c r="U311" s="1">
        <v>1</v>
      </c>
      <c r="V311" s="1" t="s">
        <v>771</v>
      </c>
      <c r="W311" s="1" t="s">
        <v>3954</v>
      </c>
      <c r="X311" s="1" t="s">
        <v>667</v>
      </c>
      <c r="Y311" s="3">
        <v>44337</v>
      </c>
      <c r="Z311" s="1">
        <v>2021</v>
      </c>
      <c r="AA311" s="2">
        <v>1000000</v>
      </c>
      <c r="AB311" s="2"/>
      <c r="AC311" s="2">
        <v>500000</v>
      </c>
      <c r="AD311" s="1">
        <v>10</v>
      </c>
      <c r="AE311" s="1">
        <v>7</v>
      </c>
      <c r="AG311" s="1" t="s">
        <v>21</v>
      </c>
      <c r="AH311" s="1" t="s">
        <v>65</v>
      </c>
      <c r="AI311" s="2">
        <v>500000</v>
      </c>
      <c r="AK311" s="1">
        <v>10</v>
      </c>
      <c r="AL311" s="1" t="s">
        <v>2239</v>
      </c>
    </row>
    <row r="312" spans="1:38" ht="15" customHeight="1" x14ac:dyDescent="0.2">
      <c r="A312" s="1" t="s">
        <v>19</v>
      </c>
      <c r="B312" s="5" t="s">
        <v>18</v>
      </c>
      <c r="C312" s="1" t="s">
        <v>17</v>
      </c>
      <c r="D312" s="1" t="s">
        <v>16</v>
      </c>
      <c r="E312" s="1" t="s">
        <v>35</v>
      </c>
      <c r="F312" s="1" t="s">
        <v>3699</v>
      </c>
      <c r="G312" s="1" t="s">
        <v>3698</v>
      </c>
      <c r="H312" s="1" t="s">
        <v>12</v>
      </c>
      <c r="I312" s="1" t="s">
        <v>3953</v>
      </c>
      <c r="J312" s="1">
        <v>2024</v>
      </c>
      <c r="K312" s="1" t="s">
        <v>3952</v>
      </c>
      <c r="L312" s="1" t="s">
        <v>3951</v>
      </c>
      <c r="M312" s="1" t="s">
        <v>3950</v>
      </c>
      <c r="N312" s="1" t="s">
        <v>1739</v>
      </c>
      <c r="P312" s="1" t="s">
        <v>3949</v>
      </c>
      <c r="Q312" s="1" t="s">
        <v>1612</v>
      </c>
      <c r="R312" s="1" t="s">
        <v>1732</v>
      </c>
      <c r="S312" s="1" t="s">
        <v>3877</v>
      </c>
      <c r="T312" s="1" t="s">
        <v>3876</v>
      </c>
      <c r="U312" s="2"/>
      <c r="V312" s="1" t="s">
        <v>1696</v>
      </c>
      <c r="W312" s="2" t="s">
        <v>3948</v>
      </c>
      <c r="X312" s="1" t="s">
        <v>2</v>
      </c>
      <c r="Y312" s="3">
        <v>45958</v>
      </c>
      <c r="Z312" s="1">
        <v>2025</v>
      </c>
      <c r="AA312" s="2">
        <v>166056</v>
      </c>
      <c r="AB312" s="2"/>
      <c r="AC312" s="2">
        <v>89671.79</v>
      </c>
      <c r="AG312" s="1" t="s">
        <v>1</v>
      </c>
      <c r="AI312" s="2">
        <v>89671.79</v>
      </c>
      <c r="AK312" s="1"/>
    </row>
    <row r="313" spans="1:38" ht="15" customHeight="1" x14ac:dyDescent="0.2">
      <c r="A313" s="1" t="s">
        <v>19</v>
      </c>
      <c r="B313" s="5" t="s">
        <v>18</v>
      </c>
      <c r="C313" s="1" t="s">
        <v>17</v>
      </c>
      <c r="D313" s="1" t="s">
        <v>16</v>
      </c>
      <c r="E313" s="1" t="s">
        <v>15</v>
      </c>
      <c r="F313" s="1" t="s">
        <v>1807</v>
      </c>
      <c r="G313" s="1" t="s">
        <v>1806</v>
      </c>
      <c r="H313" s="1" t="s">
        <v>12</v>
      </c>
      <c r="I313" s="1" t="s">
        <v>3947</v>
      </c>
      <c r="J313" s="1">
        <v>2022</v>
      </c>
      <c r="K313" s="1" t="s">
        <v>3946</v>
      </c>
      <c r="L313" s="1" t="s">
        <v>3942</v>
      </c>
      <c r="M313" s="1" t="s">
        <v>3945</v>
      </c>
      <c r="N313" s="1" t="s">
        <v>3944</v>
      </c>
      <c r="P313" s="1" t="s">
        <v>3943</v>
      </c>
      <c r="Q313" s="1" t="s">
        <v>1612</v>
      </c>
      <c r="R313" s="1" t="s">
        <v>1611</v>
      </c>
      <c r="S313" s="1" t="s">
        <v>3722</v>
      </c>
      <c r="T313" s="1" t="s">
        <v>3721</v>
      </c>
      <c r="V313" s="1" t="s">
        <v>1696</v>
      </c>
      <c r="W313" s="1" t="s">
        <v>3942</v>
      </c>
      <c r="X313" s="1" t="s">
        <v>2</v>
      </c>
      <c r="Y313" s="3">
        <v>45019</v>
      </c>
      <c r="Z313" s="1">
        <v>2023</v>
      </c>
      <c r="AA313" s="2">
        <v>34288197.890000001</v>
      </c>
      <c r="AB313" s="2"/>
      <c r="AC313" s="2">
        <v>15000000</v>
      </c>
      <c r="AD313" s="1">
        <v>35</v>
      </c>
      <c r="AG313" s="1" t="s">
        <v>1</v>
      </c>
      <c r="AI313" s="2">
        <v>15000000</v>
      </c>
      <c r="AK313" s="1"/>
    </row>
    <row r="314" spans="1:38" ht="15" customHeight="1" x14ac:dyDescent="0.2">
      <c r="A314" s="1" t="s">
        <v>19</v>
      </c>
      <c r="B314" s="5" t="s">
        <v>18</v>
      </c>
      <c r="C314" s="1" t="s">
        <v>17</v>
      </c>
      <c r="D314" s="1" t="s">
        <v>16</v>
      </c>
      <c r="E314" s="1" t="s">
        <v>35</v>
      </c>
      <c r="F314" s="1" t="s">
        <v>1591</v>
      </c>
      <c r="G314" s="1" t="s">
        <v>1590</v>
      </c>
      <c r="H314" s="1" t="s">
        <v>12</v>
      </c>
      <c r="I314" s="1" t="s">
        <v>3941</v>
      </c>
      <c r="J314" s="1">
        <v>2023</v>
      </c>
      <c r="K314" s="1" t="s">
        <v>3940</v>
      </c>
      <c r="L314" s="1" t="s">
        <v>3939</v>
      </c>
      <c r="N314" s="1" t="s">
        <v>3938</v>
      </c>
      <c r="P314" s="1" t="s">
        <v>3937</v>
      </c>
      <c r="Q314" s="1" t="s">
        <v>1612</v>
      </c>
      <c r="R314" s="1" t="s">
        <v>1611</v>
      </c>
      <c r="S314" s="1" t="s">
        <v>3722</v>
      </c>
      <c r="T314" s="1" t="s">
        <v>3721</v>
      </c>
      <c r="V314" s="1" t="s">
        <v>1696</v>
      </c>
      <c r="W314" s="1" t="s">
        <v>3936</v>
      </c>
      <c r="X314" s="1" t="s">
        <v>2</v>
      </c>
      <c r="Y314" s="3">
        <v>45281</v>
      </c>
      <c r="Z314" s="1">
        <v>2023</v>
      </c>
      <c r="AA314" s="2">
        <v>68795600</v>
      </c>
      <c r="AB314" s="2"/>
      <c r="AC314" s="2">
        <v>15000000</v>
      </c>
      <c r="AF314" s="1">
        <v>60</v>
      </c>
      <c r="AG314" s="1" t="s">
        <v>1</v>
      </c>
      <c r="AI314" s="2">
        <v>15000000</v>
      </c>
      <c r="AK314" s="1"/>
    </row>
    <row r="315" spans="1:38" ht="15" customHeight="1" x14ac:dyDescent="0.2">
      <c r="A315" s="1" t="s">
        <v>19</v>
      </c>
      <c r="B315" s="5" t="s">
        <v>18</v>
      </c>
      <c r="C315" s="1" t="s">
        <v>17</v>
      </c>
      <c r="D315" s="1" t="s">
        <v>16</v>
      </c>
      <c r="E315" s="1" t="s">
        <v>35</v>
      </c>
      <c r="F315" s="1" t="s">
        <v>1575</v>
      </c>
      <c r="G315" s="1" t="s">
        <v>1574</v>
      </c>
      <c r="H315" s="1" t="s">
        <v>12</v>
      </c>
      <c r="I315" s="1" t="s">
        <v>3935</v>
      </c>
      <c r="J315" s="1">
        <v>2024</v>
      </c>
      <c r="K315" s="1" t="s">
        <v>3933</v>
      </c>
      <c r="L315" s="1" t="s">
        <v>3933</v>
      </c>
      <c r="N315" s="1" t="s">
        <v>3934</v>
      </c>
      <c r="P315" s="1" t="s">
        <v>1703</v>
      </c>
      <c r="Q315" s="1" t="s">
        <v>1612</v>
      </c>
      <c r="R315" s="1" t="s">
        <v>1611</v>
      </c>
      <c r="S315" s="1" t="s">
        <v>1610</v>
      </c>
      <c r="T315" s="1" t="s">
        <v>1609</v>
      </c>
      <c r="V315" s="1" t="s">
        <v>1608</v>
      </c>
      <c r="W315" s="1" t="s">
        <v>3933</v>
      </c>
      <c r="X315" s="1" t="s">
        <v>2</v>
      </c>
      <c r="Y315" s="3">
        <v>45786</v>
      </c>
      <c r="Z315" s="1">
        <v>2025</v>
      </c>
      <c r="AA315" s="2">
        <v>537446.49</v>
      </c>
      <c r="AB315" s="2"/>
      <c r="AC315" s="2">
        <v>134361.62</v>
      </c>
      <c r="AD315" s="1">
        <v>12</v>
      </c>
      <c r="AG315" s="1" t="s">
        <v>1</v>
      </c>
      <c r="AI315" s="2">
        <v>134361.62</v>
      </c>
      <c r="AK315" s="1"/>
    </row>
    <row r="316" spans="1:38" ht="15" customHeight="1" x14ac:dyDescent="0.2">
      <c r="A316" s="1" t="s">
        <v>18</v>
      </c>
      <c r="B316" s="5" t="s">
        <v>18</v>
      </c>
      <c r="C316" s="1" t="s">
        <v>17</v>
      </c>
      <c r="D316" s="1" t="s">
        <v>16</v>
      </c>
      <c r="E316" s="1" t="s">
        <v>35</v>
      </c>
      <c r="F316" s="1" t="s">
        <v>3908</v>
      </c>
      <c r="G316" s="1" t="s">
        <v>3907</v>
      </c>
      <c r="H316" s="1" t="s">
        <v>3906</v>
      </c>
      <c r="I316" s="1" t="s">
        <v>3932</v>
      </c>
      <c r="J316" s="1">
        <v>2025</v>
      </c>
      <c r="K316" s="1" t="s">
        <v>3931</v>
      </c>
      <c r="L316" s="9" t="s">
        <v>3930</v>
      </c>
      <c r="N316" s="1" t="s">
        <v>3929</v>
      </c>
      <c r="P316" s="1" t="s">
        <v>3928</v>
      </c>
      <c r="Q316" s="1" t="s">
        <v>1612</v>
      </c>
      <c r="R316" s="1" t="s">
        <v>1732</v>
      </c>
      <c r="S316" s="1" t="s">
        <v>1731</v>
      </c>
      <c r="T316" s="1" t="s">
        <v>1730</v>
      </c>
      <c r="V316" s="1" t="s">
        <v>1696</v>
      </c>
      <c r="W316" s="1" t="s">
        <v>3927</v>
      </c>
      <c r="Y316" s="3">
        <v>46014</v>
      </c>
      <c r="Z316" s="1">
        <v>2025</v>
      </c>
      <c r="AA316" s="2">
        <v>31958546.899999999</v>
      </c>
      <c r="AB316" s="2"/>
      <c r="AC316" s="2">
        <v>13938240</v>
      </c>
      <c r="AG316" s="1" t="s">
        <v>1</v>
      </c>
      <c r="AI316" s="2">
        <v>13938240</v>
      </c>
      <c r="AK316" s="1"/>
    </row>
    <row r="317" spans="1:38" ht="15" customHeight="1" x14ac:dyDescent="0.2">
      <c r="A317" s="1" t="s">
        <v>18</v>
      </c>
      <c r="B317" s="5" t="s">
        <v>18</v>
      </c>
      <c r="C317" s="1" t="s">
        <v>17</v>
      </c>
      <c r="D317" s="1" t="s">
        <v>16</v>
      </c>
      <c r="E317" s="1" t="s">
        <v>35</v>
      </c>
      <c r="F317" s="1" t="s">
        <v>3908</v>
      </c>
      <c r="G317" s="1" t="s">
        <v>3907</v>
      </c>
      <c r="H317" s="1" t="s">
        <v>3906</v>
      </c>
      <c r="I317" s="1" t="s">
        <v>3926</v>
      </c>
      <c r="J317" s="1">
        <v>2025</v>
      </c>
      <c r="K317" s="1" t="s">
        <v>3925</v>
      </c>
      <c r="L317" s="9" t="s">
        <v>3924</v>
      </c>
      <c r="M317" s="48" t="s">
        <v>3923</v>
      </c>
      <c r="N317" s="1" t="s">
        <v>3901</v>
      </c>
      <c r="P317" s="1" t="s">
        <v>3922</v>
      </c>
      <c r="Q317" s="1" t="s">
        <v>1612</v>
      </c>
      <c r="R317" s="1" t="s">
        <v>1611</v>
      </c>
      <c r="S317" s="1" t="s">
        <v>1610</v>
      </c>
      <c r="T317" s="1" t="s">
        <v>1609</v>
      </c>
      <c r="V317" s="1" t="s">
        <v>1608</v>
      </c>
      <c r="W317" s="1" t="s">
        <v>3921</v>
      </c>
      <c r="Y317" s="3">
        <v>46014</v>
      </c>
      <c r="Z317" s="1">
        <v>2025</v>
      </c>
      <c r="AA317" s="2">
        <v>4414690.47</v>
      </c>
      <c r="AB317" s="2"/>
      <c r="AC317" s="2">
        <v>1755734.52</v>
      </c>
      <c r="AG317" s="1" t="s">
        <v>1</v>
      </c>
      <c r="AI317" s="2">
        <v>1755734.52</v>
      </c>
      <c r="AK317" s="1"/>
    </row>
    <row r="318" spans="1:38" ht="15" customHeight="1" x14ac:dyDescent="0.2">
      <c r="A318" s="1" t="s">
        <v>18</v>
      </c>
      <c r="B318" s="5" t="s">
        <v>18</v>
      </c>
      <c r="C318" s="1" t="s">
        <v>17</v>
      </c>
      <c r="D318" s="1" t="s">
        <v>16</v>
      </c>
      <c r="E318" s="1" t="s">
        <v>35</v>
      </c>
      <c r="F318" s="1" t="s">
        <v>3908</v>
      </c>
      <c r="G318" s="1" t="s">
        <v>3907</v>
      </c>
      <c r="H318" s="1" t="s">
        <v>3906</v>
      </c>
      <c r="I318" s="1" t="s">
        <v>3920</v>
      </c>
      <c r="J318" s="1">
        <v>2025</v>
      </c>
      <c r="K318" s="1" t="s">
        <v>3919</v>
      </c>
      <c r="L318" s="9" t="s">
        <v>3918</v>
      </c>
      <c r="M318" s="48" t="s">
        <v>3917</v>
      </c>
      <c r="N318" s="1" t="s">
        <v>3901</v>
      </c>
      <c r="P318" s="1" t="s">
        <v>3916</v>
      </c>
      <c r="Q318" s="1" t="s">
        <v>1612</v>
      </c>
      <c r="R318" s="1" t="s">
        <v>1611</v>
      </c>
      <c r="S318" s="1" t="s">
        <v>1649</v>
      </c>
      <c r="T318" s="1" t="s">
        <v>1648</v>
      </c>
      <c r="V318" s="1" t="s">
        <v>1608</v>
      </c>
      <c r="W318" s="1" t="s">
        <v>3915</v>
      </c>
      <c r="Y318" s="3">
        <v>46014</v>
      </c>
      <c r="Z318" s="1">
        <v>2025</v>
      </c>
      <c r="AA318" s="2">
        <v>1981440</v>
      </c>
      <c r="AB318" s="2"/>
      <c r="AC318" s="2">
        <v>1188864</v>
      </c>
      <c r="AG318" s="1" t="s">
        <v>1</v>
      </c>
      <c r="AI318" s="2">
        <v>1188864</v>
      </c>
      <c r="AK318" s="1"/>
    </row>
    <row r="319" spans="1:38" ht="15" customHeight="1" x14ac:dyDescent="0.2">
      <c r="A319" s="1" t="s">
        <v>18</v>
      </c>
      <c r="B319" s="5" t="s">
        <v>18</v>
      </c>
      <c r="C319" s="1" t="s">
        <v>17</v>
      </c>
      <c r="D319" s="1" t="s">
        <v>16</v>
      </c>
      <c r="E319" s="1" t="s">
        <v>35</v>
      </c>
      <c r="F319" s="1" t="s">
        <v>3908</v>
      </c>
      <c r="G319" s="1" t="s">
        <v>3907</v>
      </c>
      <c r="H319" s="1" t="s">
        <v>3906</v>
      </c>
      <c r="I319" s="1" t="s">
        <v>3914</v>
      </c>
      <c r="J319" s="1">
        <v>2025</v>
      </c>
      <c r="K319" s="1" t="s">
        <v>3913</v>
      </c>
      <c r="L319" s="9" t="s">
        <v>3912</v>
      </c>
      <c r="N319" s="1" t="s">
        <v>3911</v>
      </c>
      <c r="P319" s="1" t="s">
        <v>3910</v>
      </c>
      <c r="Q319" s="1" t="s">
        <v>1612</v>
      </c>
      <c r="R319" s="1" t="s">
        <v>1611</v>
      </c>
      <c r="S319" s="1" t="s">
        <v>1623</v>
      </c>
      <c r="T319" s="1" t="s">
        <v>1622</v>
      </c>
      <c r="V319" s="1" t="s">
        <v>1608</v>
      </c>
      <c r="W319" s="1" t="s">
        <v>3909</v>
      </c>
      <c r="Y319" s="3">
        <v>46014</v>
      </c>
      <c r="Z319" s="1">
        <v>2025</v>
      </c>
      <c r="AA319" s="2">
        <v>107515738.5</v>
      </c>
      <c r="AB319" s="2"/>
      <c r="AC319" s="2">
        <v>39243244.549999997</v>
      </c>
      <c r="AG319" s="1" t="s">
        <v>1</v>
      </c>
      <c r="AI319" s="2">
        <v>39243244.549999997</v>
      </c>
      <c r="AK319" s="1"/>
    </row>
    <row r="320" spans="1:38" ht="15" customHeight="1" x14ac:dyDescent="0.2">
      <c r="A320" s="1" t="s">
        <v>18</v>
      </c>
      <c r="B320" s="5" t="s">
        <v>18</v>
      </c>
      <c r="C320" s="1" t="s">
        <v>17</v>
      </c>
      <c r="D320" s="1" t="s">
        <v>16</v>
      </c>
      <c r="E320" s="1" t="s">
        <v>35</v>
      </c>
      <c r="F320" s="1" t="s">
        <v>3908</v>
      </c>
      <c r="G320" s="1" t="s">
        <v>3907</v>
      </c>
      <c r="H320" s="1" t="s">
        <v>3906</v>
      </c>
      <c r="I320" s="1" t="s">
        <v>3905</v>
      </c>
      <c r="J320" s="1">
        <v>2025</v>
      </c>
      <c r="K320" s="1" t="s">
        <v>3904</v>
      </c>
      <c r="L320" s="9" t="s">
        <v>3903</v>
      </c>
      <c r="M320" s="1" t="s">
        <v>3902</v>
      </c>
      <c r="N320" s="1" t="s">
        <v>3901</v>
      </c>
      <c r="P320" s="1" t="s">
        <v>3900</v>
      </c>
      <c r="Q320" s="1" t="s">
        <v>1612</v>
      </c>
      <c r="R320" s="1" t="s">
        <v>1611</v>
      </c>
      <c r="S320" s="1" t="s">
        <v>1610</v>
      </c>
      <c r="T320" s="1" t="s">
        <v>1609</v>
      </c>
      <c r="V320" s="1" t="s">
        <v>1608</v>
      </c>
      <c r="W320" s="1" t="s">
        <v>3899</v>
      </c>
      <c r="Y320" s="3">
        <v>46014</v>
      </c>
      <c r="Z320" s="1">
        <v>2025</v>
      </c>
      <c r="AA320" s="2">
        <v>3538588.91</v>
      </c>
      <c r="AB320" s="2"/>
      <c r="AC320" s="2">
        <v>2066788.33</v>
      </c>
      <c r="AG320" s="1" t="s">
        <v>1</v>
      </c>
      <c r="AI320" s="2">
        <v>2066788.33</v>
      </c>
      <c r="AK320" s="1"/>
    </row>
    <row r="321" spans="1:38" ht="15" customHeight="1" x14ac:dyDescent="0.2">
      <c r="A321" s="1" t="s">
        <v>19</v>
      </c>
      <c r="B321" s="5" t="s">
        <v>18</v>
      </c>
      <c r="C321" s="1" t="s">
        <v>17</v>
      </c>
      <c r="D321" s="1" t="s">
        <v>16</v>
      </c>
      <c r="E321" s="1" t="s">
        <v>35</v>
      </c>
      <c r="F321" s="1" t="s">
        <v>3897</v>
      </c>
      <c r="G321" s="1" t="s">
        <v>3896</v>
      </c>
      <c r="H321" s="1" t="s">
        <v>12</v>
      </c>
      <c r="I321" s="1" t="s">
        <v>3895</v>
      </c>
      <c r="J321" s="1">
        <v>2023</v>
      </c>
      <c r="K321" s="1" t="s">
        <v>3890</v>
      </c>
      <c r="L321" s="9" t="s">
        <v>3898</v>
      </c>
      <c r="M321" s="1" t="s">
        <v>3893</v>
      </c>
      <c r="N321" s="1" t="s">
        <v>3892</v>
      </c>
      <c r="P321" s="1" t="s">
        <v>3891</v>
      </c>
      <c r="Q321" s="1" t="s">
        <v>1612</v>
      </c>
      <c r="R321" s="1" t="s">
        <v>1611</v>
      </c>
      <c r="S321" s="1" t="s">
        <v>3722</v>
      </c>
      <c r="T321" s="1" t="s">
        <v>3721</v>
      </c>
      <c r="V321" s="1" t="s">
        <v>1696</v>
      </c>
      <c r="W321" s="1" t="s">
        <v>3890</v>
      </c>
      <c r="X321" s="1" t="s">
        <v>2</v>
      </c>
      <c r="Y321" s="3">
        <v>45222</v>
      </c>
      <c r="Z321" s="1">
        <v>2023</v>
      </c>
      <c r="AA321" s="2">
        <v>24250125</v>
      </c>
      <c r="AB321" s="2"/>
      <c r="AC321" s="2">
        <v>10000000</v>
      </c>
      <c r="AD321" s="1">
        <v>0</v>
      </c>
      <c r="AG321" s="1" t="s">
        <v>1</v>
      </c>
      <c r="AI321" s="2">
        <v>10000000</v>
      </c>
      <c r="AK321" s="1"/>
      <c r="AL321" s="1" t="s">
        <v>3889</v>
      </c>
    </row>
    <row r="322" spans="1:38" ht="15" customHeight="1" x14ac:dyDescent="0.2">
      <c r="A322" s="1" t="s">
        <v>19</v>
      </c>
      <c r="B322" s="5" t="s">
        <v>18</v>
      </c>
      <c r="C322" s="1" t="s">
        <v>17</v>
      </c>
      <c r="D322" s="1" t="s">
        <v>16</v>
      </c>
      <c r="E322" s="1" t="s">
        <v>35</v>
      </c>
      <c r="F322" s="1" t="s">
        <v>3897</v>
      </c>
      <c r="G322" s="1" t="s">
        <v>3896</v>
      </c>
      <c r="H322" s="1" t="s">
        <v>12</v>
      </c>
      <c r="I322" s="1" t="s">
        <v>3895</v>
      </c>
      <c r="K322" s="1" t="s">
        <v>3890</v>
      </c>
      <c r="L322" s="9" t="s">
        <v>3894</v>
      </c>
      <c r="M322" s="1" t="s">
        <v>3893</v>
      </c>
      <c r="N322" s="1" t="s">
        <v>3892</v>
      </c>
      <c r="P322" s="1" t="s">
        <v>3891</v>
      </c>
      <c r="Q322" s="1" t="s">
        <v>1612</v>
      </c>
      <c r="R322" s="1" t="s">
        <v>1611</v>
      </c>
      <c r="S322" s="1" t="s">
        <v>1610</v>
      </c>
      <c r="T322" s="1" t="s">
        <v>1609</v>
      </c>
      <c r="V322" s="1" t="s">
        <v>1608</v>
      </c>
      <c r="W322" s="1" t="s">
        <v>3890</v>
      </c>
      <c r="X322" s="1" t="s">
        <v>2</v>
      </c>
      <c r="Y322" s="3">
        <v>45222</v>
      </c>
      <c r="Z322" s="1">
        <v>2023</v>
      </c>
      <c r="AA322" s="2">
        <v>24250125</v>
      </c>
      <c r="AB322" s="2"/>
      <c r="AC322" s="2">
        <v>10000000</v>
      </c>
      <c r="AD322" s="1">
        <v>0</v>
      </c>
      <c r="AG322" s="1" t="s">
        <v>1</v>
      </c>
      <c r="AI322" s="2">
        <v>10000000</v>
      </c>
      <c r="AK322" s="1"/>
      <c r="AL322" s="1" t="s">
        <v>3889</v>
      </c>
    </row>
    <row r="323" spans="1:38" ht="15" customHeight="1" x14ac:dyDescent="0.2">
      <c r="A323" s="1" t="s">
        <v>19</v>
      </c>
      <c r="B323" s="5" t="s">
        <v>109</v>
      </c>
      <c r="C323" s="1" t="s">
        <v>17</v>
      </c>
      <c r="D323" s="1" t="s">
        <v>16</v>
      </c>
      <c r="E323" s="1" t="s">
        <v>35</v>
      </c>
      <c r="F323" s="1" t="s">
        <v>1554</v>
      </c>
      <c r="G323" s="1" t="s">
        <v>1553</v>
      </c>
      <c r="H323" s="1" t="s">
        <v>12</v>
      </c>
      <c r="I323" s="1" t="s">
        <v>3888</v>
      </c>
      <c r="J323" s="1">
        <v>2022</v>
      </c>
      <c r="K323" s="1" t="s">
        <v>3887</v>
      </c>
      <c r="L323" s="1" t="s">
        <v>3886</v>
      </c>
      <c r="P323" s="1" t="s">
        <v>3885</v>
      </c>
      <c r="Q323" s="1" t="s">
        <v>1612</v>
      </c>
      <c r="R323" s="1" t="s">
        <v>1732</v>
      </c>
      <c r="S323" s="1" t="s">
        <v>3877</v>
      </c>
      <c r="T323" s="1" t="s">
        <v>3876</v>
      </c>
      <c r="V323" s="1" t="s">
        <v>1696</v>
      </c>
      <c r="W323" s="1" t="s">
        <v>3884</v>
      </c>
      <c r="X323" s="1" t="s">
        <v>1544</v>
      </c>
      <c r="Y323" s="3">
        <v>45254</v>
      </c>
      <c r="Z323" s="1">
        <v>2023</v>
      </c>
      <c r="AA323" s="2">
        <v>8964942</v>
      </c>
      <c r="AB323" s="2"/>
      <c r="AC323" s="2">
        <v>499000</v>
      </c>
      <c r="AG323" s="1" t="s">
        <v>1522</v>
      </c>
      <c r="AH323" s="1" t="s">
        <v>1521</v>
      </c>
      <c r="AI323" s="2">
        <v>0</v>
      </c>
      <c r="AK323" s="1"/>
    </row>
    <row r="324" spans="1:38" ht="15" customHeight="1" x14ac:dyDescent="0.2">
      <c r="A324" s="1" t="s">
        <v>19</v>
      </c>
      <c r="B324" s="5" t="s">
        <v>18</v>
      </c>
      <c r="C324" s="1" t="s">
        <v>37</v>
      </c>
      <c r="D324" s="1" t="s">
        <v>63</v>
      </c>
      <c r="E324" s="1" t="s">
        <v>35</v>
      </c>
      <c r="G324" s="1" t="s">
        <v>288</v>
      </c>
      <c r="H324" s="1" t="s">
        <v>32</v>
      </c>
      <c r="I324" s="1" t="s">
        <v>3883</v>
      </c>
      <c r="J324" s="1">
        <v>2022</v>
      </c>
      <c r="K324" s="1" t="s">
        <v>3882</v>
      </c>
      <c r="L324" s="1" t="s">
        <v>3881</v>
      </c>
      <c r="M324" s="1" t="s">
        <v>3880</v>
      </c>
      <c r="N324" s="1" t="s">
        <v>3879</v>
      </c>
      <c r="P324" s="1" t="s">
        <v>3878</v>
      </c>
      <c r="Q324" s="1" t="s">
        <v>1612</v>
      </c>
      <c r="R324" s="1" t="s">
        <v>1732</v>
      </c>
      <c r="S324" s="1" t="s">
        <v>3877</v>
      </c>
      <c r="T324" s="1" t="s">
        <v>3876</v>
      </c>
      <c r="V324" s="1" t="s">
        <v>1696</v>
      </c>
      <c r="W324" s="1" t="s">
        <v>3875</v>
      </c>
      <c r="Y324" s="3">
        <v>45112</v>
      </c>
      <c r="Z324" s="1">
        <v>2023</v>
      </c>
      <c r="AA324" s="2">
        <v>403000</v>
      </c>
      <c r="AB324" s="2"/>
      <c r="AC324" s="2">
        <v>403000</v>
      </c>
      <c r="AG324" s="1" t="s">
        <v>21</v>
      </c>
      <c r="AI324" s="2">
        <v>403000</v>
      </c>
      <c r="AK324" s="1"/>
    </row>
    <row r="325" spans="1:38" ht="15" customHeight="1" x14ac:dyDescent="0.2">
      <c r="A325" s="1" t="s">
        <v>19</v>
      </c>
      <c r="B325" s="5" t="s">
        <v>18</v>
      </c>
      <c r="C325" s="1" t="s">
        <v>37</v>
      </c>
      <c r="D325" s="1" t="s">
        <v>63</v>
      </c>
      <c r="E325" s="1" t="s">
        <v>35</v>
      </c>
      <c r="G325" s="1" t="s">
        <v>288</v>
      </c>
      <c r="H325" s="1" t="s">
        <v>32</v>
      </c>
      <c r="I325" s="1" t="s">
        <v>3874</v>
      </c>
      <c r="J325" s="1">
        <v>2022</v>
      </c>
      <c r="K325" s="1" t="s">
        <v>3873</v>
      </c>
      <c r="L325" s="1" t="s">
        <v>3872</v>
      </c>
      <c r="P325" s="1" t="s">
        <v>3865</v>
      </c>
      <c r="Q325" s="1" t="s">
        <v>1612</v>
      </c>
      <c r="R325" s="1" t="s">
        <v>1611</v>
      </c>
      <c r="S325" s="1" t="s">
        <v>3864</v>
      </c>
      <c r="T325" s="1" t="s">
        <v>3863</v>
      </c>
      <c r="V325" s="1" t="s">
        <v>1696</v>
      </c>
      <c r="W325" s="1" t="s">
        <v>3871</v>
      </c>
      <c r="Y325" s="3">
        <v>45112</v>
      </c>
      <c r="Z325" s="1">
        <v>2023</v>
      </c>
      <c r="AA325" s="2">
        <v>706989.45</v>
      </c>
      <c r="AB325" s="2"/>
      <c r="AC325" s="2">
        <v>706989.45</v>
      </c>
      <c r="AG325" s="1" t="s">
        <v>21</v>
      </c>
      <c r="AI325" s="2">
        <v>706989.45</v>
      </c>
      <c r="AK325" s="1"/>
    </row>
    <row r="326" spans="1:38" ht="15" customHeight="1" x14ac:dyDescent="0.2">
      <c r="A326" s="1" t="s">
        <v>19</v>
      </c>
      <c r="B326" s="5" t="s">
        <v>18</v>
      </c>
      <c r="C326" s="1" t="s">
        <v>37</v>
      </c>
      <c r="D326" s="1" t="s">
        <v>63</v>
      </c>
      <c r="E326" s="1" t="s">
        <v>35</v>
      </c>
      <c r="G326" s="1" t="s">
        <v>288</v>
      </c>
      <c r="H326" s="1" t="s">
        <v>32</v>
      </c>
      <c r="I326" s="1" t="s">
        <v>3870</v>
      </c>
      <c r="J326" s="1">
        <v>2022</v>
      </c>
      <c r="K326" s="1" t="s">
        <v>3869</v>
      </c>
      <c r="L326" s="1" t="s">
        <v>3868</v>
      </c>
      <c r="M326" s="1" t="s">
        <v>3867</v>
      </c>
      <c r="N326" s="1" t="s">
        <v>3866</v>
      </c>
      <c r="P326" s="1" t="s">
        <v>3865</v>
      </c>
      <c r="Q326" s="1" t="s">
        <v>1612</v>
      </c>
      <c r="R326" s="1" t="s">
        <v>1611</v>
      </c>
      <c r="S326" s="1" t="s">
        <v>3864</v>
      </c>
      <c r="T326" s="1" t="s">
        <v>3863</v>
      </c>
      <c r="V326" s="1" t="s">
        <v>1696</v>
      </c>
      <c r="W326" s="1" t="s">
        <v>3862</v>
      </c>
      <c r="Y326" s="3">
        <v>45112</v>
      </c>
      <c r="Z326" s="1">
        <v>2023</v>
      </c>
      <c r="AA326" s="2">
        <v>498872.22</v>
      </c>
      <c r="AB326" s="2"/>
      <c r="AC326" s="2">
        <v>498872.22</v>
      </c>
      <c r="AG326" s="1" t="s">
        <v>21</v>
      </c>
      <c r="AI326" s="2">
        <v>498872.22</v>
      </c>
      <c r="AK326" s="1"/>
    </row>
    <row r="327" spans="1:38" ht="15" customHeight="1" x14ac:dyDescent="0.2">
      <c r="A327" s="1" t="s">
        <v>19</v>
      </c>
      <c r="B327" s="5" t="s">
        <v>18</v>
      </c>
      <c r="C327" s="1" t="s">
        <v>37</v>
      </c>
      <c r="D327" s="1" t="s">
        <v>63</v>
      </c>
      <c r="E327" s="1" t="s">
        <v>35</v>
      </c>
      <c r="G327" s="1" t="s">
        <v>288</v>
      </c>
      <c r="H327" s="1" t="s">
        <v>32</v>
      </c>
      <c r="I327" s="1" t="s">
        <v>3861</v>
      </c>
      <c r="J327" s="1">
        <v>2022</v>
      </c>
      <c r="K327" s="1" t="s">
        <v>3860</v>
      </c>
      <c r="L327" s="1" t="s">
        <v>3859</v>
      </c>
      <c r="M327" s="1" t="s">
        <v>3858</v>
      </c>
      <c r="N327" s="1" t="s">
        <v>3857</v>
      </c>
      <c r="P327" s="1" t="s">
        <v>3856</v>
      </c>
      <c r="Q327" s="1" t="s">
        <v>1612</v>
      </c>
      <c r="R327" s="1" t="s">
        <v>1611</v>
      </c>
      <c r="S327" s="1" t="s">
        <v>1737</v>
      </c>
      <c r="T327" s="1" t="s">
        <v>1736</v>
      </c>
      <c r="V327" s="1" t="s">
        <v>1696</v>
      </c>
      <c r="W327" s="1" t="s">
        <v>3855</v>
      </c>
      <c r="Y327" s="3">
        <v>45112</v>
      </c>
      <c r="Z327" s="1">
        <v>2023</v>
      </c>
      <c r="AA327" s="2">
        <v>957943.34</v>
      </c>
      <c r="AB327" s="2"/>
      <c r="AC327" s="2">
        <v>957943.34</v>
      </c>
      <c r="AG327" s="1" t="s">
        <v>21</v>
      </c>
      <c r="AI327" s="2">
        <v>957943.34</v>
      </c>
      <c r="AK327" s="1"/>
    </row>
    <row r="328" spans="1:38" ht="15" customHeight="1" x14ac:dyDescent="0.2">
      <c r="A328" s="1" t="s">
        <v>19</v>
      </c>
      <c r="B328" s="5" t="s">
        <v>18</v>
      </c>
      <c r="C328" s="1" t="s">
        <v>37</v>
      </c>
      <c r="D328" s="1" t="s">
        <v>63</v>
      </c>
      <c r="E328" s="1" t="s">
        <v>35</v>
      </c>
      <c r="G328" s="1" t="s">
        <v>288</v>
      </c>
      <c r="H328" s="1" t="s">
        <v>32</v>
      </c>
      <c r="I328" s="1" t="s">
        <v>3854</v>
      </c>
      <c r="J328" s="1">
        <v>2022</v>
      </c>
      <c r="K328" s="1" t="s">
        <v>3853</v>
      </c>
      <c r="L328" s="1" t="s">
        <v>3852</v>
      </c>
      <c r="M328" s="1" t="s">
        <v>3851</v>
      </c>
      <c r="N328" s="1" t="s">
        <v>3850</v>
      </c>
      <c r="P328" s="1" t="s">
        <v>3849</v>
      </c>
      <c r="Q328" s="1" t="s">
        <v>1612</v>
      </c>
      <c r="R328" s="1" t="s">
        <v>1611</v>
      </c>
      <c r="S328" s="1" t="s">
        <v>1698</v>
      </c>
      <c r="T328" s="1" t="s">
        <v>1697</v>
      </c>
      <c r="V328" s="1" t="s">
        <v>1696</v>
      </c>
      <c r="W328" s="1" t="s">
        <v>3848</v>
      </c>
      <c r="Y328" s="3">
        <v>45112</v>
      </c>
      <c r="Z328" s="1">
        <v>2023</v>
      </c>
      <c r="AA328" s="2">
        <v>304046.31</v>
      </c>
      <c r="AB328" s="2"/>
      <c r="AC328" s="2">
        <v>304046.31</v>
      </c>
      <c r="AG328" s="1" t="s">
        <v>21</v>
      </c>
      <c r="AI328" s="2">
        <v>304046.31</v>
      </c>
      <c r="AK328" s="1"/>
    </row>
    <row r="329" spans="1:38" ht="15" customHeight="1" x14ac:dyDescent="0.2">
      <c r="A329" s="1" t="s">
        <v>19</v>
      </c>
      <c r="B329" s="5" t="s">
        <v>109</v>
      </c>
      <c r="C329" s="1" t="s">
        <v>37</v>
      </c>
      <c r="D329" s="1" t="s">
        <v>63</v>
      </c>
      <c r="E329" s="1" t="s">
        <v>35</v>
      </c>
      <c r="G329" s="1" t="s">
        <v>288</v>
      </c>
      <c r="H329" s="1" t="s">
        <v>32</v>
      </c>
      <c r="I329" s="1" t="s">
        <v>3847</v>
      </c>
      <c r="J329" s="1">
        <v>2022</v>
      </c>
      <c r="K329" s="38" t="s">
        <v>3846</v>
      </c>
      <c r="P329" s="1" t="s">
        <v>3845</v>
      </c>
      <c r="Q329" s="1" t="s">
        <v>1612</v>
      </c>
      <c r="R329" s="1" t="s">
        <v>1732</v>
      </c>
      <c r="S329" s="1" t="s">
        <v>3844</v>
      </c>
      <c r="T329" s="1" t="s">
        <v>3843</v>
      </c>
      <c r="V329" s="1" t="s">
        <v>1696</v>
      </c>
      <c r="W329" s="1" t="s">
        <v>3842</v>
      </c>
      <c r="Y329" s="3">
        <v>45195</v>
      </c>
      <c r="Z329" s="1">
        <v>2023</v>
      </c>
      <c r="AA329" s="2">
        <v>499605.93</v>
      </c>
      <c r="AB329" s="2"/>
      <c r="AC329" s="2">
        <v>148624.89846153959</v>
      </c>
      <c r="AG329" s="1" t="s">
        <v>106</v>
      </c>
      <c r="AH329" s="1" t="s">
        <v>105</v>
      </c>
      <c r="AI329" s="2">
        <v>0</v>
      </c>
      <c r="AK329" s="1"/>
    </row>
    <row r="330" spans="1:38" ht="15" customHeight="1" x14ac:dyDescent="0.2">
      <c r="A330" s="1" t="s">
        <v>19</v>
      </c>
      <c r="B330" s="5" t="s">
        <v>18</v>
      </c>
      <c r="C330" s="1" t="s">
        <v>37</v>
      </c>
      <c r="D330" s="1" t="s">
        <v>63</v>
      </c>
      <c r="E330" s="1" t="s">
        <v>35</v>
      </c>
      <c r="G330" s="1" t="s">
        <v>288</v>
      </c>
      <c r="H330" s="1" t="s">
        <v>32</v>
      </c>
      <c r="I330" s="1" t="s">
        <v>3841</v>
      </c>
      <c r="J330" s="1">
        <v>2022</v>
      </c>
      <c r="K330" s="1" t="s">
        <v>3840</v>
      </c>
      <c r="L330" s="1" t="s">
        <v>3839</v>
      </c>
      <c r="M330" s="1" t="s">
        <v>3838</v>
      </c>
      <c r="P330" s="1" t="s">
        <v>3837</v>
      </c>
      <c r="Q330" s="1" t="s">
        <v>1612</v>
      </c>
      <c r="R330" s="1" t="s">
        <v>1611</v>
      </c>
      <c r="S330" s="1" t="s">
        <v>1709</v>
      </c>
      <c r="T330" s="1" t="s">
        <v>1708</v>
      </c>
      <c r="V330" s="1" t="s">
        <v>1696</v>
      </c>
      <c r="W330" s="1" t="s">
        <v>3836</v>
      </c>
      <c r="Y330" s="3">
        <v>45112</v>
      </c>
      <c r="Z330" s="1">
        <v>2023</v>
      </c>
      <c r="AA330" s="2">
        <v>971824.35</v>
      </c>
      <c r="AB330" s="2"/>
      <c r="AC330" s="2">
        <v>971824.35</v>
      </c>
      <c r="AG330" s="1" t="s">
        <v>21</v>
      </c>
      <c r="AI330" s="2">
        <v>971824.35</v>
      </c>
      <c r="AK330" s="1"/>
    </row>
    <row r="331" spans="1:38" ht="15" customHeight="1" x14ac:dyDescent="0.2">
      <c r="A331" s="1" t="s">
        <v>19</v>
      </c>
      <c r="B331" s="5" t="s">
        <v>18</v>
      </c>
      <c r="C331" s="1" t="s">
        <v>37</v>
      </c>
      <c r="D331" s="1" t="s">
        <v>63</v>
      </c>
      <c r="E331" s="1" t="s">
        <v>35</v>
      </c>
      <c r="G331" s="1" t="s">
        <v>288</v>
      </c>
      <c r="H331" s="1" t="s">
        <v>32</v>
      </c>
      <c r="I331" s="1" t="s">
        <v>3835</v>
      </c>
      <c r="J331" s="1">
        <v>2022</v>
      </c>
      <c r="K331" s="1" t="s">
        <v>3834</v>
      </c>
      <c r="L331" s="1" t="s">
        <v>3833</v>
      </c>
      <c r="M331" s="1" t="s">
        <v>3832</v>
      </c>
      <c r="P331" s="1" t="s">
        <v>3831</v>
      </c>
      <c r="Q331" s="1" t="s">
        <v>1612</v>
      </c>
      <c r="R331" s="1" t="s">
        <v>1611</v>
      </c>
      <c r="S331" s="1" t="s">
        <v>1717</v>
      </c>
      <c r="T331" s="1" t="s">
        <v>1716</v>
      </c>
      <c r="V331" s="1" t="s">
        <v>1696</v>
      </c>
      <c r="W331" s="1" t="s">
        <v>3830</v>
      </c>
      <c r="Y331" s="3">
        <v>45112</v>
      </c>
      <c r="Z331" s="1">
        <v>2023</v>
      </c>
      <c r="AA331" s="2">
        <v>493280.97</v>
      </c>
      <c r="AB331" s="2"/>
      <c r="AC331" s="2">
        <v>493280.97</v>
      </c>
      <c r="AG331" s="1" t="s">
        <v>21</v>
      </c>
      <c r="AI331" s="2">
        <v>493280.97</v>
      </c>
      <c r="AK331" s="1"/>
    </row>
    <row r="332" spans="1:38" ht="15" customHeight="1" x14ac:dyDescent="0.2">
      <c r="A332" s="1" t="s">
        <v>19</v>
      </c>
      <c r="B332" s="5" t="s">
        <v>18</v>
      </c>
      <c r="C332" s="1" t="s">
        <v>37</v>
      </c>
      <c r="D332" s="1" t="s">
        <v>63</v>
      </c>
      <c r="E332" s="1" t="s">
        <v>35</v>
      </c>
      <c r="G332" s="1" t="s">
        <v>288</v>
      </c>
      <c r="H332" s="1" t="s">
        <v>32</v>
      </c>
      <c r="I332" s="1" t="s">
        <v>3829</v>
      </c>
      <c r="J332" s="1">
        <v>2022</v>
      </c>
      <c r="K332" s="1" t="s">
        <v>3828</v>
      </c>
      <c r="L332" s="1" t="s">
        <v>3827</v>
      </c>
      <c r="M332" s="1" t="s">
        <v>3826</v>
      </c>
      <c r="N332" s="1" t="s">
        <v>3825</v>
      </c>
      <c r="P332" s="1" t="s">
        <v>3824</v>
      </c>
      <c r="Q332" s="1" t="s">
        <v>1612</v>
      </c>
      <c r="R332" s="1" t="s">
        <v>1611</v>
      </c>
      <c r="S332" s="1" t="s">
        <v>3823</v>
      </c>
      <c r="T332" s="1" t="s">
        <v>3822</v>
      </c>
      <c r="V332" s="1" t="s">
        <v>1696</v>
      </c>
      <c r="W332" s="1" t="s">
        <v>3821</v>
      </c>
      <c r="Y332" s="3">
        <v>45112</v>
      </c>
      <c r="Z332" s="1">
        <v>2023</v>
      </c>
      <c r="AA332" s="2">
        <v>1123556.43</v>
      </c>
      <c r="AB332" s="2"/>
      <c r="AC332" s="2">
        <v>1123556.43</v>
      </c>
      <c r="AG332" s="1" t="s">
        <v>21</v>
      </c>
      <c r="AI332" s="2">
        <v>1123556.43</v>
      </c>
      <c r="AK332" s="1"/>
    </row>
    <row r="333" spans="1:38" ht="15" customHeight="1" x14ac:dyDescent="0.2">
      <c r="A333" s="1" t="s">
        <v>19</v>
      </c>
      <c r="B333" s="5" t="s">
        <v>18</v>
      </c>
      <c r="C333" s="1" t="s">
        <v>37</v>
      </c>
      <c r="D333" s="1" t="s">
        <v>63</v>
      </c>
      <c r="E333" s="1" t="s">
        <v>35</v>
      </c>
      <c r="F333" s="1" t="s">
        <v>2380</v>
      </c>
      <c r="G333" s="1" t="s">
        <v>288</v>
      </c>
      <c r="H333" s="1" t="s">
        <v>32</v>
      </c>
      <c r="I333" s="1" t="s">
        <v>3820</v>
      </c>
      <c r="J333" s="1">
        <v>2022</v>
      </c>
      <c r="K333" s="1" t="s">
        <v>3819</v>
      </c>
      <c r="L333" s="1" t="s">
        <v>3818</v>
      </c>
      <c r="M333" s="1" t="s">
        <v>3817</v>
      </c>
      <c r="P333" s="1" t="s">
        <v>3816</v>
      </c>
      <c r="Q333" s="1" t="s">
        <v>1612</v>
      </c>
      <c r="R333" s="1" t="s">
        <v>1611</v>
      </c>
      <c r="S333" s="1" t="s">
        <v>3815</v>
      </c>
      <c r="T333" s="1" t="s">
        <v>3814</v>
      </c>
      <c r="V333" s="1" t="s">
        <v>1696</v>
      </c>
      <c r="W333" s="1" t="s">
        <v>3813</v>
      </c>
      <c r="X333" s="1" t="s">
        <v>1620</v>
      </c>
      <c r="Y333" s="2"/>
      <c r="Z333" s="1">
        <v>2025</v>
      </c>
      <c r="AA333" s="2">
        <v>490845.18</v>
      </c>
      <c r="AB333" s="2"/>
      <c r="AC333" s="1">
        <v>490845.18</v>
      </c>
      <c r="AE333" s="2"/>
      <c r="AG333" s="1" t="s">
        <v>21</v>
      </c>
      <c r="AI333" s="2">
        <v>490845.18</v>
      </c>
      <c r="AK333" s="1"/>
    </row>
    <row r="334" spans="1:38" ht="15" customHeight="1" x14ac:dyDescent="0.2">
      <c r="A334" s="1" t="s">
        <v>19</v>
      </c>
      <c r="B334" s="5" t="s">
        <v>18</v>
      </c>
      <c r="C334" s="1" t="s">
        <v>37</v>
      </c>
      <c r="D334" s="1" t="s">
        <v>63</v>
      </c>
      <c r="E334" s="1" t="s">
        <v>35</v>
      </c>
      <c r="G334" s="1" t="s">
        <v>288</v>
      </c>
      <c r="H334" s="1" t="s">
        <v>32</v>
      </c>
      <c r="I334" s="1" t="s">
        <v>3812</v>
      </c>
      <c r="J334" s="1">
        <v>2022</v>
      </c>
      <c r="K334" s="1" t="s">
        <v>3811</v>
      </c>
      <c r="L334" s="1" t="s">
        <v>3810</v>
      </c>
      <c r="M334" s="1" t="s">
        <v>3809</v>
      </c>
      <c r="P334" s="1" t="s">
        <v>3808</v>
      </c>
      <c r="Q334" s="1" t="s">
        <v>1612</v>
      </c>
      <c r="R334" s="1" t="s">
        <v>1611</v>
      </c>
      <c r="S334" s="1" t="s">
        <v>3771</v>
      </c>
      <c r="T334" s="1" t="s">
        <v>3770</v>
      </c>
      <c r="V334" s="1" t="s">
        <v>1696</v>
      </c>
      <c r="W334" s="1" t="s">
        <v>3807</v>
      </c>
      <c r="Y334" s="3">
        <v>45112</v>
      </c>
      <c r="Z334" s="1">
        <v>2023</v>
      </c>
      <c r="AA334" s="2">
        <v>461243</v>
      </c>
      <c r="AB334" s="2"/>
      <c r="AC334" s="2">
        <v>461243</v>
      </c>
      <c r="AG334" s="1" t="s">
        <v>21</v>
      </c>
      <c r="AI334" s="2">
        <v>461243</v>
      </c>
      <c r="AK334" s="1"/>
    </row>
    <row r="335" spans="1:38" ht="15" customHeight="1" x14ac:dyDescent="0.2">
      <c r="A335" s="1" t="s">
        <v>19</v>
      </c>
      <c r="B335" s="5" t="s">
        <v>18</v>
      </c>
      <c r="C335" s="1" t="s">
        <v>37</v>
      </c>
      <c r="D335" s="1" t="s">
        <v>63</v>
      </c>
      <c r="E335" s="1" t="s">
        <v>35</v>
      </c>
      <c r="G335" s="1" t="s">
        <v>288</v>
      </c>
      <c r="H335" s="1" t="s">
        <v>32</v>
      </c>
      <c r="I335" s="1" t="s">
        <v>3806</v>
      </c>
      <c r="J335" s="1">
        <v>2022</v>
      </c>
      <c r="K335" s="1" t="s">
        <v>3805</v>
      </c>
      <c r="L335" s="1" t="s">
        <v>3804</v>
      </c>
      <c r="M335" s="1" t="s">
        <v>3803</v>
      </c>
      <c r="P335" s="1" t="s">
        <v>3802</v>
      </c>
      <c r="Q335" s="1" t="s">
        <v>1612</v>
      </c>
      <c r="R335" s="1" t="s">
        <v>1611</v>
      </c>
      <c r="S335" s="1" t="s">
        <v>1724</v>
      </c>
      <c r="T335" s="1" t="s">
        <v>1723</v>
      </c>
      <c r="V335" s="1" t="s">
        <v>1696</v>
      </c>
      <c r="W335" s="1" t="s">
        <v>3801</v>
      </c>
      <c r="Y335" s="3">
        <v>45112</v>
      </c>
      <c r="Z335" s="1">
        <v>2023</v>
      </c>
      <c r="AA335" s="2">
        <v>759658.07</v>
      </c>
      <c r="AB335" s="2"/>
      <c r="AC335" s="2">
        <v>759658.07</v>
      </c>
      <c r="AG335" s="1" t="s">
        <v>21</v>
      </c>
      <c r="AI335" s="2">
        <v>759658.07</v>
      </c>
      <c r="AK335" s="1"/>
    </row>
    <row r="336" spans="1:38" ht="15" customHeight="1" x14ac:dyDescent="0.2">
      <c r="A336" s="1" t="s">
        <v>19</v>
      </c>
      <c r="B336" s="5" t="s">
        <v>18</v>
      </c>
      <c r="C336" s="1" t="s">
        <v>37</v>
      </c>
      <c r="D336" s="1" t="s">
        <v>211</v>
      </c>
      <c r="E336" s="1" t="s">
        <v>35</v>
      </c>
      <c r="F336" s="1" t="s">
        <v>267</v>
      </c>
      <c r="G336" s="1" t="s">
        <v>266</v>
      </c>
      <c r="H336" s="1" t="s">
        <v>208</v>
      </c>
      <c r="I336" s="1" t="s">
        <v>3800</v>
      </c>
      <c r="J336" s="1">
        <v>2023</v>
      </c>
      <c r="K336" s="1" t="s">
        <v>3795</v>
      </c>
      <c r="L336" s="1" t="s">
        <v>3799</v>
      </c>
      <c r="M336" s="1" t="s">
        <v>3798</v>
      </c>
      <c r="N336" s="1" t="s">
        <v>3797</v>
      </c>
      <c r="P336" s="1" t="s">
        <v>3796</v>
      </c>
      <c r="Q336" s="1" t="s">
        <v>1612</v>
      </c>
      <c r="R336" s="1" t="s">
        <v>1611</v>
      </c>
      <c r="S336" s="1" t="s">
        <v>3722</v>
      </c>
      <c r="T336" s="1" t="s">
        <v>3721</v>
      </c>
      <c r="V336" s="1" t="s">
        <v>1696</v>
      </c>
      <c r="W336" s="1" t="s">
        <v>3795</v>
      </c>
      <c r="Y336" s="3">
        <v>45462</v>
      </c>
      <c r="Z336" s="1">
        <v>2024</v>
      </c>
      <c r="AA336" s="2">
        <v>2775810.32</v>
      </c>
      <c r="AB336" s="2"/>
      <c r="AC336" s="2">
        <v>560766.81000000006</v>
      </c>
      <c r="AD336" s="1">
        <v>5</v>
      </c>
      <c r="AE336" s="1">
        <v>1</v>
      </c>
      <c r="AG336" s="1" t="s">
        <v>21</v>
      </c>
      <c r="AI336" s="2">
        <v>560766.81000000006</v>
      </c>
      <c r="AK336" s="1"/>
      <c r="AL336" s="1" t="s">
        <v>3794</v>
      </c>
    </row>
    <row r="337" spans="1:38" ht="15" customHeight="1" x14ac:dyDescent="0.2">
      <c r="A337" s="1" t="s">
        <v>19</v>
      </c>
      <c r="B337" s="5" t="s">
        <v>18</v>
      </c>
      <c r="C337" s="1" t="s">
        <v>37</v>
      </c>
      <c r="D337" s="1" t="s">
        <v>211</v>
      </c>
      <c r="E337" s="1" t="s">
        <v>35</v>
      </c>
      <c r="F337" s="1" t="s">
        <v>267</v>
      </c>
      <c r="G337" s="1" t="s">
        <v>266</v>
      </c>
      <c r="H337" s="1" t="s">
        <v>208</v>
      </c>
      <c r="I337" s="1" t="s">
        <v>3793</v>
      </c>
      <c r="J337" s="1">
        <v>2023</v>
      </c>
      <c r="K337" s="1" t="s">
        <v>3792</v>
      </c>
      <c r="L337" s="1" t="s">
        <v>3791</v>
      </c>
      <c r="P337" s="1" t="s">
        <v>3790</v>
      </c>
      <c r="Q337" s="1" t="s">
        <v>1612</v>
      </c>
      <c r="R337" s="1" t="s">
        <v>1611</v>
      </c>
      <c r="S337" s="1" t="s">
        <v>1737</v>
      </c>
      <c r="T337" s="1" t="s">
        <v>1736</v>
      </c>
      <c r="V337" s="1" t="s">
        <v>1696</v>
      </c>
      <c r="W337" s="1" t="s">
        <v>3789</v>
      </c>
      <c r="Y337" s="3">
        <v>45594</v>
      </c>
      <c r="Z337" s="1">
        <v>2024</v>
      </c>
      <c r="AA337" s="2">
        <v>1948628.5</v>
      </c>
      <c r="AB337" s="2"/>
      <c r="AC337" s="2">
        <v>378509.99</v>
      </c>
      <c r="AD337" s="1">
        <v>5</v>
      </c>
      <c r="AE337" s="1">
        <v>0</v>
      </c>
      <c r="AG337" s="1" t="s">
        <v>21</v>
      </c>
      <c r="AI337" s="2">
        <v>378509.99</v>
      </c>
      <c r="AK337" s="1"/>
    </row>
    <row r="338" spans="1:38" ht="15" customHeight="1" x14ac:dyDescent="0.2">
      <c r="A338" s="1" t="s">
        <v>19</v>
      </c>
      <c r="B338" s="5" t="s">
        <v>109</v>
      </c>
      <c r="C338" s="1" t="s">
        <v>37</v>
      </c>
      <c r="D338" s="1" t="s">
        <v>211</v>
      </c>
      <c r="E338" s="1" t="s">
        <v>35</v>
      </c>
      <c r="F338" s="1" t="s">
        <v>267</v>
      </c>
      <c r="G338" s="1" t="s">
        <v>266</v>
      </c>
      <c r="H338" s="1" t="s">
        <v>208</v>
      </c>
      <c r="I338" s="1" t="s">
        <v>3788</v>
      </c>
      <c r="J338" s="1">
        <v>2023</v>
      </c>
      <c r="K338" s="1" t="s">
        <v>3784</v>
      </c>
      <c r="L338" s="1" t="s">
        <v>3787</v>
      </c>
      <c r="M338" s="1" t="s">
        <v>3786</v>
      </c>
      <c r="P338" s="1" t="s">
        <v>3785</v>
      </c>
      <c r="Q338" s="1" t="s">
        <v>1612</v>
      </c>
      <c r="R338" s="1" t="s">
        <v>1611</v>
      </c>
      <c r="S338" s="1" t="s">
        <v>3722</v>
      </c>
      <c r="T338" s="1" t="s">
        <v>3721</v>
      </c>
      <c r="V338" s="1" t="s">
        <v>1696</v>
      </c>
      <c r="W338" s="1" t="s">
        <v>3784</v>
      </c>
      <c r="Y338" s="3">
        <v>45462</v>
      </c>
      <c r="Z338" s="1">
        <v>2024</v>
      </c>
      <c r="AA338" s="2">
        <v>1033350.16</v>
      </c>
      <c r="AB338" s="2"/>
      <c r="AC338" s="2">
        <v>258337.54</v>
      </c>
      <c r="AD338" s="1">
        <v>11</v>
      </c>
      <c r="AE338" s="1">
        <v>11</v>
      </c>
      <c r="AG338" s="1" t="s">
        <v>21</v>
      </c>
      <c r="AH338" s="1" t="s">
        <v>105</v>
      </c>
      <c r="AI338" s="2">
        <v>258337.54</v>
      </c>
      <c r="AK338" s="1"/>
    </row>
    <row r="339" spans="1:38" ht="15" customHeight="1" x14ac:dyDescent="0.25">
      <c r="A339" s="1" t="s">
        <v>19</v>
      </c>
      <c r="B339" s="5" t="s">
        <v>18</v>
      </c>
      <c r="C339" s="1" t="s">
        <v>37</v>
      </c>
      <c r="D339" s="1" t="s">
        <v>211</v>
      </c>
      <c r="E339" s="1" t="s">
        <v>35</v>
      </c>
      <c r="F339" s="1" t="s">
        <v>267</v>
      </c>
      <c r="G339" s="1" t="s">
        <v>266</v>
      </c>
      <c r="H339" s="1" t="s">
        <v>208</v>
      </c>
      <c r="I339" s="1" t="s">
        <v>3783</v>
      </c>
      <c r="J339" s="1">
        <v>2023</v>
      </c>
      <c r="K339" s="1" t="s">
        <v>3778</v>
      </c>
      <c r="L339" s="1" t="s">
        <v>3782</v>
      </c>
      <c r="M339" s="48" t="s">
        <v>3781</v>
      </c>
      <c r="N339" s="1" t="s">
        <v>3780</v>
      </c>
      <c r="P339" s="1" t="s">
        <v>3779</v>
      </c>
      <c r="Q339" s="1" t="s">
        <v>1612</v>
      </c>
      <c r="R339" s="1" t="s">
        <v>1611</v>
      </c>
      <c r="S339" s="10" t="s">
        <v>1709</v>
      </c>
      <c r="T339" s="1" t="s">
        <v>1708</v>
      </c>
      <c r="V339" s="1" t="s">
        <v>1696</v>
      </c>
      <c r="W339" s="1" t="s">
        <v>3778</v>
      </c>
      <c r="Y339" s="3">
        <v>45462</v>
      </c>
      <c r="Z339" s="1">
        <v>2024</v>
      </c>
      <c r="AA339" s="2">
        <v>21720130.07</v>
      </c>
      <c r="AB339" s="2"/>
      <c r="AC339" s="2">
        <v>3000000</v>
      </c>
      <c r="AD339" s="1">
        <v>25</v>
      </c>
      <c r="AE339" s="1">
        <v>6</v>
      </c>
      <c r="AG339" s="1" t="s">
        <v>21</v>
      </c>
      <c r="AI339" s="2">
        <v>3000000</v>
      </c>
      <c r="AK339" s="1"/>
    </row>
    <row r="340" spans="1:38" ht="15" customHeight="1" x14ac:dyDescent="0.2">
      <c r="A340" s="1" t="s">
        <v>19</v>
      </c>
      <c r="B340" s="5" t="s">
        <v>18</v>
      </c>
      <c r="C340" s="1" t="s">
        <v>37</v>
      </c>
      <c r="D340" s="1" t="s">
        <v>211</v>
      </c>
      <c r="E340" s="1" t="s">
        <v>35</v>
      </c>
      <c r="F340" s="1" t="s">
        <v>210</v>
      </c>
      <c r="G340" s="1" t="s">
        <v>209</v>
      </c>
      <c r="H340" s="1" t="s">
        <v>208</v>
      </c>
      <c r="I340" s="1" t="s">
        <v>3777</v>
      </c>
      <c r="J340" s="1">
        <v>2023</v>
      </c>
      <c r="K340" s="1" t="s">
        <v>3769</v>
      </c>
      <c r="L340" s="1" t="s">
        <v>3776</v>
      </c>
      <c r="M340" s="1" t="s">
        <v>3775</v>
      </c>
      <c r="N340" s="1" t="s">
        <v>3774</v>
      </c>
      <c r="O340" s="1" t="s">
        <v>3773</v>
      </c>
      <c r="P340" s="1" t="s">
        <v>3772</v>
      </c>
      <c r="Q340" s="1" t="s">
        <v>1612</v>
      </c>
      <c r="R340" s="1" t="s">
        <v>1611</v>
      </c>
      <c r="S340" s="1" t="s">
        <v>3771</v>
      </c>
      <c r="T340" s="1" t="s">
        <v>3770</v>
      </c>
      <c r="V340" s="1" t="s">
        <v>1696</v>
      </c>
      <c r="W340" s="1" t="s">
        <v>3769</v>
      </c>
      <c r="Y340" s="3">
        <v>45478</v>
      </c>
      <c r="Z340" s="1">
        <v>2024</v>
      </c>
      <c r="AA340" s="2">
        <v>69271.55</v>
      </c>
      <c r="AB340" s="2"/>
      <c r="AC340" s="2">
        <v>32317.89</v>
      </c>
      <c r="AD340" s="1">
        <v>1</v>
      </c>
      <c r="AG340" s="1" t="s">
        <v>21</v>
      </c>
      <c r="AI340" s="2">
        <v>32317.89</v>
      </c>
      <c r="AK340" s="1"/>
    </row>
    <row r="341" spans="1:38" ht="15" customHeight="1" x14ac:dyDescent="0.2">
      <c r="A341" s="1" t="s">
        <v>19</v>
      </c>
      <c r="B341" s="5" t="s">
        <v>18</v>
      </c>
      <c r="C341" s="1" t="s">
        <v>37</v>
      </c>
      <c r="D341" s="1" t="s">
        <v>211</v>
      </c>
      <c r="E341" s="1" t="s">
        <v>35</v>
      </c>
      <c r="F341" s="1" t="s">
        <v>210</v>
      </c>
      <c r="G341" s="1" t="s">
        <v>209</v>
      </c>
      <c r="H341" s="1" t="s">
        <v>130</v>
      </c>
      <c r="I341" s="1" t="s">
        <v>3768</v>
      </c>
      <c r="J341" s="1">
        <v>2023</v>
      </c>
      <c r="K341" s="1" t="s">
        <v>3765</v>
      </c>
      <c r="L341" s="1" t="s">
        <v>3767</v>
      </c>
      <c r="P341" s="1" t="s">
        <v>3766</v>
      </c>
      <c r="Q341" s="1" t="s">
        <v>1612</v>
      </c>
      <c r="R341" s="1" t="s">
        <v>1611</v>
      </c>
      <c r="S341" s="1" t="s">
        <v>3722</v>
      </c>
      <c r="T341" s="1" t="s">
        <v>3721</v>
      </c>
      <c r="V341" s="1" t="s">
        <v>1696</v>
      </c>
      <c r="W341" s="1" t="s">
        <v>3765</v>
      </c>
      <c r="Y341" s="3">
        <v>45478</v>
      </c>
      <c r="Z341" s="1">
        <v>2024</v>
      </c>
      <c r="AA341" s="2">
        <v>209189.26</v>
      </c>
      <c r="AB341" s="2"/>
      <c r="AC341" s="2">
        <v>97297.32</v>
      </c>
      <c r="AD341" s="1">
        <v>3</v>
      </c>
      <c r="AG341" s="1" t="s">
        <v>21</v>
      </c>
      <c r="AI341" s="2">
        <v>97297.32</v>
      </c>
      <c r="AK341" s="1"/>
    </row>
    <row r="342" spans="1:38" ht="15" customHeight="1" x14ac:dyDescent="0.2">
      <c r="A342" s="1" t="s">
        <v>19</v>
      </c>
      <c r="B342" s="5" t="s">
        <v>18</v>
      </c>
      <c r="C342" s="1" t="s">
        <v>37</v>
      </c>
      <c r="D342" s="1" t="s">
        <v>211</v>
      </c>
      <c r="E342" s="1" t="s">
        <v>35</v>
      </c>
      <c r="F342" s="1" t="s">
        <v>210</v>
      </c>
      <c r="G342" s="1" t="s">
        <v>209</v>
      </c>
      <c r="H342" s="1" t="s">
        <v>208</v>
      </c>
      <c r="I342" s="1" t="s">
        <v>3764</v>
      </c>
      <c r="J342" s="1">
        <v>2023</v>
      </c>
      <c r="K342" s="1" t="s">
        <v>3761</v>
      </c>
      <c r="L342" s="1" t="s">
        <v>3763</v>
      </c>
      <c r="P342" s="1" t="s">
        <v>3762</v>
      </c>
      <c r="Q342" s="1" t="s">
        <v>1612</v>
      </c>
      <c r="R342" s="1" t="s">
        <v>1611</v>
      </c>
      <c r="S342" s="1" t="s">
        <v>3722</v>
      </c>
      <c r="T342" s="1" t="s">
        <v>3721</v>
      </c>
      <c r="V342" s="1" t="s">
        <v>1696</v>
      </c>
      <c r="W342" s="1" t="s">
        <v>3761</v>
      </c>
      <c r="Y342" s="3">
        <v>45478</v>
      </c>
      <c r="Z342" s="1">
        <v>2024</v>
      </c>
      <c r="AA342" s="2">
        <v>334140.74</v>
      </c>
      <c r="AB342" s="2"/>
      <c r="AC342" s="2">
        <v>167070.37</v>
      </c>
      <c r="AD342" s="1">
        <v>3</v>
      </c>
      <c r="AE342" s="1">
        <v>3</v>
      </c>
      <c r="AG342" s="1" t="s">
        <v>21</v>
      </c>
      <c r="AI342" s="2">
        <v>167070.37</v>
      </c>
      <c r="AK342" s="1"/>
    </row>
    <row r="343" spans="1:38" ht="15" customHeight="1" x14ac:dyDescent="0.2">
      <c r="A343" s="1" t="s">
        <v>19</v>
      </c>
      <c r="B343" s="5" t="s">
        <v>109</v>
      </c>
      <c r="C343" s="1" t="s">
        <v>37</v>
      </c>
      <c r="D343" s="1" t="s">
        <v>211</v>
      </c>
      <c r="E343" s="1" t="s">
        <v>35</v>
      </c>
      <c r="F343" s="1" t="s">
        <v>210</v>
      </c>
      <c r="G343" s="1" t="s">
        <v>209</v>
      </c>
      <c r="H343" s="1" t="s">
        <v>130</v>
      </c>
      <c r="I343" s="1" t="s">
        <v>3760</v>
      </c>
      <c r="J343" s="1">
        <v>2023</v>
      </c>
      <c r="K343" s="1" t="s">
        <v>3756</v>
      </c>
      <c r="L343" s="1" t="s">
        <v>3759</v>
      </c>
      <c r="M343" s="48" t="s">
        <v>3758</v>
      </c>
      <c r="P343" s="1" t="s">
        <v>3757</v>
      </c>
      <c r="Q343" s="1" t="s">
        <v>1612</v>
      </c>
      <c r="R343" s="1" t="s">
        <v>1611</v>
      </c>
      <c r="S343" s="1" t="s">
        <v>1737</v>
      </c>
      <c r="T343" s="1" t="s">
        <v>1736</v>
      </c>
      <c r="V343" s="1" t="s">
        <v>1696</v>
      </c>
      <c r="W343" s="1" t="s">
        <v>3756</v>
      </c>
      <c r="Y343" s="3">
        <v>45478</v>
      </c>
      <c r="Z343" s="1">
        <v>2024</v>
      </c>
      <c r="AA343" s="2">
        <v>68000</v>
      </c>
      <c r="AB343" s="2"/>
      <c r="AC343" s="2">
        <v>34000</v>
      </c>
      <c r="AD343" s="1">
        <v>1</v>
      </c>
      <c r="AE343" s="1">
        <v>1</v>
      </c>
      <c r="AG343" s="1" t="s">
        <v>21</v>
      </c>
      <c r="AI343" s="2">
        <v>34000</v>
      </c>
      <c r="AK343" s="1"/>
    </row>
    <row r="344" spans="1:38" ht="15" customHeight="1" x14ac:dyDescent="0.2">
      <c r="A344" s="1" t="s">
        <v>19</v>
      </c>
      <c r="B344" s="5" t="s">
        <v>18</v>
      </c>
      <c r="C344" s="1" t="s">
        <v>37</v>
      </c>
      <c r="D344" s="1" t="s">
        <v>211</v>
      </c>
      <c r="E344" s="1" t="s">
        <v>35</v>
      </c>
      <c r="F344" s="1" t="s">
        <v>210</v>
      </c>
      <c r="G344" s="1" t="s">
        <v>209</v>
      </c>
      <c r="H344" s="1" t="s">
        <v>130</v>
      </c>
      <c r="I344" s="1" t="s">
        <v>3755</v>
      </c>
      <c r="J344" s="1">
        <v>2023</v>
      </c>
      <c r="K344" s="1" t="s">
        <v>3751</v>
      </c>
      <c r="L344" s="1" t="s">
        <v>3754</v>
      </c>
      <c r="N344" s="1" t="s">
        <v>3753</v>
      </c>
      <c r="P344" s="1" t="s">
        <v>3752</v>
      </c>
      <c r="Q344" s="1" t="s">
        <v>1612</v>
      </c>
      <c r="R344" s="1" t="s">
        <v>1732</v>
      </c>
      <c r="S344" s="1" t="s">
        <v>1731</v>
      </c>
      <c r="T344" s="1" t="s">
        <v>1730</v>
      </c>
      <c r="V344" s="1" t="s">
        <v>1696</v>
      </c>
      <c r="W344" s="1" t="s">
        <v>3751</v>
      </c>
      <c r="Y344" s="3">
        <v>45478</v>
      </c>
      <c r="Z344" s="1">
        <v>2024</v>
      </c>
      <c r="AA344" s="2">
        <v>374953.4</v>
      </c>
      <c r="AB344" s="2"/>
      <c r="AC344" s="2">
        <v>112486.02</v>
      </c>
      <c r="AD344" s="1">
        <v>4</v>
      </c>
      <c r="AE344" s="1">
        <v>2</v>
      </c>
      <c r="AG344" s="1" t="s">
        <v>21</v>
      </c>
      <c r="AI344" s="2">
        <v>112486.02</v>
      </c>
      <c r="AK344" s="1"/>
    </row>
    <row r="345" spans="1:38" ht="15" customHeight="1" x14ac:dyDescent="0.2">
      <c r="A345" s="1" t="s">
        <v>19</v>
      </c>
      <c r="B345" s="5" t="s">
        <v>18</v>
      </c>
      <c r="C345" s="1" t="s">
        <v>37</v>
      </c>
      <c r="D345" s="1" t="s">
        <v>211</v>
      </c>
      <c r="E345" s="1" t="s">
        <v>35</v>
      </c>
      <c r="F345" s="1" t="s">
        <v>210</v>
      </c>
      <c r="G345" s="1" t="s">
        <v>209</v>
      </c>
      <c r="H345" s="1" t="s">
        <v>130</v>
      </c>
      <c r="I345" s="1" t="s">
        <v>3750</v>
      </c>
      <c r="J345" s="1">
        <v>2023</v>
      </c>
      <c r="K345" s="1" t="s">
        <v>3746</v>
      </c>
      <c r="L345" s="1" t="s">
        <v>3749</v>
      </c>
      <c r="N345" s="1" t="s">
        <v>3748</v>
      </c>
      <c r="P345" s="1" t="s">
        <v>3747</v>
      </c>
      <c r="Q345" s="1" t="s">
        <v>1612</v>
      </c>
      <c r="R345" s="1" t="s">
        <v>1611</v>
      </c>
      <c r="S345" s="1" t="s">
        <v>3722</v>
      </c>
      <c r="T345" s="1" t="s">
        <v>3721</v>
      </c>
      <c r="V345" s="1" t="s">
        <v>1696</v>
      </c>
      <c r="W345" s="1" t="s">
        <v>3746</v>
      </c>
      <c r="Y345" s="3">
        <v>45478</v>
      </c>
      <c r="Z345" s="1">
        <v>2024</v>
      </c>
      <c r="AA345" s="2">
        <v>199873.95</v>
      </c>
      <c r="AB345" s="2"/>
      <c r="AC345" s="2">
        <v>99936.98</v>
      </c>
      <c r="AD345" s="1">
        <v>4</v>
      </c>
      <c r="AE345" s="1">
        <v>1</v>
      </c>
      <c r="AG345" s="1" t="s">
        <v>21</v>
      </c>
      <c r="AI345" s="2">
        <v>99936.98</v>
      </c>
      <c r="AK345" s="1"/>
    </row>
    <row r="346" spans="1:38" ht="15" customHeight="1" x14ac:dyDescent="0.2">
      <c r="A346" s="1" t="s">
        <v>19</v>
      </c>
      <c r="B346" s="5" t="s">
        <v>18</v>
      </c>
      <c r="C346" s="1" t="s">
        <v>37</v>
      </c>
      <c r="D346" s="1" t="s">
        <v>211</v>
      </c>
      <c r="E346" s="1" t="s">
        <v>35</v>
      </c>
      <c r="F346" s="1" t="s">
        <v>210</v>
      </c>
      <c r="G346" s="1" t="s">
        <v>209</v>
      </c>
      <c r="H346" s="1" t="s">
        <v>208</v>
      </c>
      <c r="I346" s="1" t="s">
        <v>3745</v>
      </c>
      <c r="J346" s="1">
        <v>2023</v>
      </c>
      <c r="K346" s="1" t="s">
        <v>3744</v>
      </c>
      <c r="L346" s="1" t="s">
        <v>3743</v>
      </c>
      <c r="N346" s="1" t="s">
        <v>3742</v>
      </c>
      <c r="O346" s="1" t="s">
        <v>3741</v>
      </c>
      <c r="P346" s="1" t="s">
        <v>3740</v>
      </c>
      <c r="Q346" s="1" t="s">
        <v>1612</v>
      </c>
      <c r="R346" s="1" t="s">
        <v>1611</v>
      </c>
      <c r="S346" s="1" t="s">
        <v>3722</v>
      </c>
      <c r="T346" s="1" t="s">
        <v>3721</v>
      </c>
      <c r="V346" s="1" t="s">
        <v>1696</v>
      </c>
      <c r="W346" s="1" t="s">
        <v>3739</v>
      </c>
      <c r="Y346" s="3">
        <v>45478</v>
      </c>
      <c r="Z346" s="1">
        <v>2024</v>
      </c>
      <c r="AA346" s="2">
        <v>262983.45</v>
      </c>
      <c r="AB346" s="2"/>
      <c r="AC346" s="2">
        <v>95745.86</v>
      </c>
      <c r="AD346" s="1">
        <v>1</v>
      </c>
      <c r="AE346" s="1">
        <v>1</v>
      </c>
      <c r="AG346" s="1" t="s">
        <v>21</v>
      </c>
      <c r="AI346" s="2">
        <v>95745.86</v>
      </c>
      <c r="AK346" s="1"/>
    </row>
    <row r="347" spans="1:38" ht="15" customHeight="1" x14ac:dyDescent="0.25">
      <c r="A347" s="1" t="s">
        <v>19</v>
      </c>
      <c r="B347" s="14" t="s">
        <v>18</v>
      </c>
      <c r="C347" s="12" t="s">
        <v>37</v>
      </c>
      <c r="D347" s="1" t="s">
        <v>63</v>
      </c>
      <c r="E347" s="1" t="s">
        <v>35</v>
      </c>
      <c r="G347" s="1" t="s">
        <v>202</v>
      </c>
      <c r="H347" s="1" t="s">
        <v>32</v>
      </c>
      <c r="I347" s="12" t="s">
        <v>3738</v>
      </c>
      <c r="J347" s="1">
        <v>2023</v>
      </c>
      <c r="K347" s="1" t="s">
        <v>3737</v>
      </c>
      <c r="L347" s="1" t="s">
        <v>3736</v>
      </c>
      <c r="M347" s="1" t="s">
        <v>3735</v>
      </c>
      <c r="N347" s="1" t="s">
        <v>3734</v>
      </c>
      <c r="P347" s="1" t="s">
        <v>3723</v>
      </c>
      <c r="Q347" s="1" t="s">
        <v>1612</v>
      </c>
      <c r="R347" s="1" t="s">
        <v>1611</v>
      </c>
      <c r="S347" s="1" t="s">
        <v>3722</v>
      </c>
      <c r="T347" s="1" t="s">
        <v>3721</v>
      </c>
      <c r="U347" s="17"/>
      <c r="V347" s="12" t="s">
        <v>1696</v>
      </c>
      <c r="W347" s="12" t="s">
        <v>3733</v>
      </c>
      <c r="X347" s="12" t="s">
        <v>2159</v>
      </c>
      <c r="Y347" s="13">
        <v>45799</v>
      </c>
      <c r="Z347" s="12">
        <v>2025</v>
      </c>
      <c r="AA347" s="11">
        <v>1553053.94</v>
      </c>
      <c r="AB347" s="11"/>
      <c r="AC347" s="11">
        <v>1553053.94</v>
      </c>
      <c r="AD347" s="2"/>
      <c r="AG347" s="1" t="s">
        <v>21</v>
      </c>
      <c r="AI347" s="11">
        <v>1553053.94</v>
      </c>
      <c r="AK347" s="1"/>
    </row>
    <row r="348" spans="1:38" ht="15" customHeight="1" x14ac:dyDescent="0.2">
      <c r="A348" s="1" t="s">
        <v>19</v>
      </c>
      <c r="B348" s="5" t="s">
        <v>109</v>
      </c>
      <c r="C348" s="1" t="s">
        <v>37</v>
      </c>
      <c r="D348" s="1" t="s">
        <v>63</v>
      </c>
      <c r="E348" s="1" t="s">
        <v>35</v>
      </c>
      <c r="G348" s="1" t="s">
        <v>1619</v>
      </c>
      <c r="H348" s="1" t="s">
        <v>130</v>
      </c>
      <c r="I348" s="1" t="s">
        <v>3732</v>
      </c>
      <c r="J348" s="1">
        <v>2020</v>
      </c>
      <c r="K348" s="1" t="s">
        <v>3731</v>
      </c>
      <c r="P348" s="1" t="s">
        <v>3723</v>
      </c>
      <c r="Q348" s="1" t="s">
        <v>1612</v>
      </c>
      <c r="R348" s="1" t="s">
        <v>1611</v>
      </c>
      <c r="S348" s="1" t="s">
        <v>3722</v>
      </c>
      <c r="T348" s="1" t="s">
        <v>3721</v>
      </c>
      <c r="V348" s="1" t="s">
        <v>1696</v>
      </c>
      <c r="W348" s="1" t="s">
        <v>3731</v>
      </c>
      <c r="X348" s="1" t="s">
        <v>327</v>
      </c>
      <c r="Y348" s="3">
        <v>44337</v>
      </c>
      <c r="Z348" s="1">
        <v>2021</v>
      </c>
      <c r="AA348" s="2">
        <v>890800</v>
      </c>
      <c r="AB348" s="2"/>
      <c r="AC348" s="2">
        <v>445400</v>
      </c>
      <c r="AD348" s="1">
        <v>5</v>
      </c>
      <c r="AE348" s="1">
        <v>2</v>
      </c>
      <c r="AG348" s="1" t="s">
        <v>106</v>
      </c>
      <c r="AH348" s="1" t="s">
        <v>105</v>
      </c>
      <c r="AI348" s="2">
        <v>0</v>
      </c>
      <c r="AK348" s="1">
        <v>5</v>
      </c>
      <c r="AL348" s="1" t="s">
        <v>3730</v>
      </c>
    </row>
    <row r="349" spans="1:38" ht="15" customHeight="1" x14ac:dyDescent="0.2">
      <c r="A349" s="1" t="s">
        <v>19</v>
      </c>
      <c r="B349" s="5" t="s">
        <v>109</v>
      </c>
      <c r="C349" s="1" t="s">
        <v>37</v>
      </c>
      <c r="D349" s="1" t="s">
        <v>63</v>
      </c>
      <c r="E349" s="1" t="s">
        <v>35</v>
      </c>
      <c r="G349" s="1" t="s">
        <v>1619</v>
      </c>
      <c r="H349" s="1" t="s">
        <v>130</v>
      </c>
      <c r="I349" s="1" t="s">
        <v>3729</v>
      </c>
      <c r="J349" s="1">
        <v>2020</v>
      </c>
      <c r="K349" s="1" t="s">
        <v>3728</v>
      </c>
      <c r="P349" s="1" t="s">
        <v>3723</v>
      </c>
      <c r="Q349" s="1" t="s">
        <v>1612</v>
      </c>
      <c r="R349" s="1" t="s">
        <v>1611</v>
      </c>
      <c r="S349" s="1" t="s">
        <v>3722</v>
      </c>
      <c r="T349" s="1" t="s">
        <v>3721</v>
      </c>
      <c r="V349" s="1" t="s">
        <v>1696</v>
      </c>
      <c r="W349" s="1" t="s">
        <v>3728</v>
      </c>
      <c r="X349" s="1" t="s">
        <v>327</v>
      </c>
      <c r="Y349" s="3">
        <v>44337</v>
      </c>
      <c r="Z349" s="1">
        <v>2021</v>
      </c>
      <c r="AA349" s="2">
        <v>539035</v>
      </c>
      <c r="AB349" s="2"/>
      <c r="AC349" s="2">
        <v>288814.95</v>
      </c>
      <c r="AD349" s="1">
        <v>1</v>
      </c>
      <c r="AE349" s="1">
        <v>1</v>
      </c>
      <c r="AG349" s="1" t="s">
        <v>106</v>
      </c>
      <c r="AH349" s="1" t="s">
        <v>105</v>
      </c>
      <c r="AI349" s="2">
        <v>0</v>
      </c>
      <c r="AK349" s="1">
        <v>1</v>
      </c>
      <c r="AL349" s="1" t="s">
        <v>2437</v>
      </c>
    </row>
    <row r="350" spans="1:38" ht="15" customHeight="1" x14ac:dyDescent="0.2">
      <c r="A350" s="1" t="s">
        <v>19</v>
      </c>
      <c r="B350" s="5" t="s">
        <v>18</v>
      </c>
      <c r="C350" s="1" t="s">
        <v>37</v>
      </c>
      <c r="D350" s="1" t="s">
        <v>63</v>
      </c>
      <c r="E350" s="1" t="s">
        <v>35</v>
      </c>
      <c r="G350" s="1" t="s">
        <v>1619</v>
      </c>
      <c r="H350" s="1" t="s">
        <v>130</v>
      </c>
      <c r="I350" s="1" t="s">
        <v>3727</v>
      </c>
      <c r="J350" s="1">
        <v>2020</v>
      </c>
      <c r="K350" s="1" t="s">
        <v>3726</v>
      </c>
      <c r="L350" s="1" t="s">
        <v>3725</v>
      </c>
      <c r="N350" s="1" t="s">
        <v>3724</v>
      </c>
      <c r="P350" s="1" t="s">
        <v>3723</v>
      </c>
      <c r="Q350" s="1" t="s">
        <v>1612</v>
      </c>
      <c r="R350" s="1" t="s">
        <v>1611</v>
      </c>
      <c r="S350" s="1" t="s">
        <v>3722</v>
      </c>
      <c r="T350" s="1" t="s">
        <v>3721</v>
      </c>
      <c r="V350" s="1" t="s">
        <v>1696</v>
      </c>
      <c r="W350" s="1" t="s">
        <v>3720</v>
      </c>
      <c r="X350" s="1" t="s">
        <v>327</v>
      </c>
      <c r="Y350" s="3">
        <v>44337</v>
      </c>
      <c r="Z350" s="1">
        <v>2021</v>
      </c>
      <c r="AA350" s="2">
        <v>997050.58</v>
      </c>
      <c r="AB350" s="2"/>
      <c r="AC350" s="2">
        <v>498525.29</v>
      </c>
      <c r="AD350" s="1">
        <v>6</v>
      </c>
      <c r="AE350" s="1">
        <v>2</v>
      </c>
      <c r="AG350" s="1" t="s">
        <v>21</v>
      </c>
      <c r="AH350" s="1" t="s">
        <v>65</v>
      </c>
      <c r="AI350" s="2">
        <v>498525.29</v>
      </c>
      <c r="AK350" s="1">
        <v>6</v>
      </c>
      <c r="AL350" s="1" t="s">
        <v>3719</v>
      </c>
    </row>
    <row r="351" spans="1:38" ht="15" customHeight="1" x14ac:dyDescent="0.25">
      <c r="A351" s="1" t="s">
        <v>19</v>
      </c>
      <c r="B351" s="5" t="s">
        <v>18</v>
      </c>
      <c r="C351" s="1" t="s">
        <v>17</v>
      </c>
      <c r="D351" s="1" t="s">
        <v>16</v>
      </c>
      <c r="E351" s="1" t="s">
        <v>35</v>
      </c>
      <c r="F351" s="1" t="s">
        <v>2232</v>
      </c>
      <c r="G351" s="1" t="s">
        <v>2231</v>
      </c>
      <c r="H351" s="1" t="s">
        <v>12</v>
      </c>
      <c r="I351" s="1" t="s">
        <v>3718</v>
      </c>
      <c r="J351" s="1">
        <v>2023</v>
      </c>
      <c r="K351" s="1" t="s">
        <v>3717</v>
      </c>
      <c r="L351" s="1" t="s">
        <v>3716</v>
      </c>
      <c r="M351" s="1" t="s">
        <v>3715</v>
      </c>
      <c r="N351" s="1" t="s">
        <v>3714</v>
      </c>
      <c r="P351" s="1" t="s">
        <v>3713</v>
      </c>
      <c r="Q351" s="1" t="s">
        <v>780</v>
      </c>
      <c r="R351" s="1" t="s">
        <v>941</v>
      </c>
      <c r="S351" s="1" t="s">
        <v>3339</v>
      </c>
      <c r="T351" s="1" t="s">
        <v>3338</v>
      </c>
      <c r="U351" s="1">
        <v>1</v>
      </c>
      <c r="V351" s="1" t="s">
        <v>3267</v>
      </c>
      <c r="W351" s="1" t="s">
        <v>3712</v>
      </c>
      <c r="X351" s="1" t="s">
        <v>1544</v>
      </c>
      <c r="Y351" s="3">
        <v>45496</v>
      </c>
      <c r="Z351" s="1">
        <v>2024</v>
      </c>
      <c r="AA351" s="39">
        <v>153560986.62</v>
      </c>
      <c r="AB351" s="39"/>
      <c r="AC351" s="39">
        <v>35319026.920000002</v>
      </c>
      <c r="AG351" s="1" t="s">
        <v>1</v>
      </c>
      <c r="AI351" s="2">
        <v>35319026.920000002</v>
      </c>
      <c r="AK351" s="1" t="s">
        <v>2224</v>
      </c>
      <c r="AL351" s="2" t="s">
        <v>2223</v>
      </c>
    </row>
    <row r="352" spans="1:38" ht="15" customHeight="1" x14ac:dyDescent="0.2">
      <c r="A352" s="1" t="s">
        <v>19</v>
      </c>
      <c r="B352" s="5" t="s">
        <v>18</v>
      </c>
      <c r="C352" s="1" t="s">
        <v>17</v>
      </c>
      <c r="D352" s="1" t="s">
        <v>16</v>
      </c>
      <c r="E352" s="1" t="s">
        <v>35</v>
      </c>
      <c r="F352" s="1" t="s">
        <v>2073</v>
      </c>
      <c r="G352" s="1" t="s">
        <v>2072</v>
      </c>
      <c r="H352" s="1" t="s">
        <v>12</v>
      </c>
      <c r="I352" s="1" t="s">
        <v>3711</v>
      </c>
      <c r="J352" s="1">
        <v>2024</v>
      </c>
      <c r="K352" s="1" t="s">
        <v>3710</v>
      </c>
      <c r="L352" s="1" t="s">
        <v>3709</v>
      </c>
      <c r="M352" s="1" t="s">
        <v>3708</v>
      </c>
      <c r="P352" s="1" t="s">
        <v>3707</v>
      </c>
      <c r="Q352" s="1" t="s">
        <v>780</v>
      </c>
      <c r="R352" s="1" t="s">
        <v>941</v>
      </c>
      <c r="S352" s="1" t="s">
        <v>3431</v>
      </c>
      <c r="T352" s="1" t="s">
        <v>3430</v>
      </c>
      <c r="U352" s="1">
        <v>2</v>
      </c>
      <c r="V352" s="1" t="s">
        <v>3267</v>
      </c>
      <c r="W352" s="1" t="s">
        <v>3706</v>
      </c>
      <c r="X352" s="1" t="s">
        <v>3705</v>
      </c>
      <c r="Y352" s="3">
        <v>45820</v>
      </c>
      <c r="Z352" s="1">
        <v>2025</v>
      </c>
      <c r="AA352" s="2">
        <v>632474369.95000005</v>
      </c>
      <c r="AB352" s="2"/>
      <c r="AC352" s="2">
        <v>81400000</v>
      </c>
      <c r="AD352" s="1">
        <v>240</v>
      </c>
      <c r="AG352" s="1" t="s">
        <v>1</v>
      </c>
      <c r="AI352" s="2">
        <v>81400000</v>
      </c>
      <c r="AK352" s="1"/>
    </row>
    <row r="353" spans="1:38" ht="15" customHeight="1" x14ac:dyDescent="0.2">
      <c r="A353" s="1" t="s">
        <v>19</v>
      </c>
      <c r="B353" s="5" t="s">
        <v>18</v>
      </c>
      <c r="C353" s="1" t="s">
        <v>17</v>
      </c>
      <c r="D353" s="1" t="s">
        <v>16</v>
      </c>
      <c r="E353" s="1" t="s">
        <v>15</v>
      </c>
      <c r="F353" s="1" t="s">
        <v>14</v>
      </c>
      <c r="G353" s="1" t="s">
        <v>13</v>
      </c>
      <c r="H353" s="1" t="s">
        <v>12</v>
      </c>
      <c r="I353" s="1" t="s">
        <v>3704</v>
      </c>
      <c r="J353" s="1">
        <v>2022</v>
      </c>
      <c r="K353" s="1" t="s">
        <v>3703</v>
      </c>
      <c r="L353" s="1" t="s">
        <v>3702</v>
      </c>
      <c r="N353" s="1" t="s">
        <v>3701</v>
      </c>
      <c r="P353" s="1" t="s">
        <v>1619</v>
      </c>
      <c r="Q353" s="1" t="s">
        <v>780</v>
      </c>
      <c r="R353" s="1" t="s">
        <v>941</v>
      </c>
      <c r="S353" s="1" t="s">
        <v>3431</v>
      </c>
      <c r="T353" s="1" t="s">
        <v>3430</v>
      </c>
      <c r="U353" s="1">
        <v>2</v>
      </c>
      <c r="V353" s="1" t="s">
        <v>3267</v>
      </c>
      <c r="W353" s="1" t="s">
        <v>3700</v>
      </c>
      <c r="X353" s="1" t="s">
        <v>2</v>
      </c>
      <c r="Y353" s="3">
        <v>45208</v>
      </c>
      <c r="Z353" s="1">
        <v>2023</v>
      </c>
      <c r="AA353" s="2">
        <v>219388</v>
      </c>
      <c r="AB353" s="2"/>
      <c r="AC353" s="2">
        <v>175510.39999999999</v>
      </c>
      <c r="AG353" s="1" t="s">
        <v>1</v>
      </c>
      <c r="AI353" s="2">
        <v>175510.39999999999</v>
      </c>
      <c r="AK353" s="1"/>
    </row>
    <row r="354" spans="1:38" ht="15" customHeight="1" x14ac:dyDescent="0.2">
      <c r="A354" s="1" t="s">
        <v>19</v>
      </c>
      <c r="B354" s="5" t="s">
        <v>18</v>
      </c>
      <c r="C354" s="1" t="s">
        <v>17</v>
      </c>
      <c r="D354" s="1" t="s">
        <v>16</v>
      </c>
      <c r="E354" s="1" t="s">
        <v>35</v>
      </c>
      <c r="F354" s="1" t="s">
        <v>3699</v>
      </c>
      <c r="G354" s="1" t="s">
        <v>3698</v>
      </c>
      <c r="H354" s="1" t="s">
        <v>12</v>
      </c>
      <c r="I354" s="1" t="s">
        <v>3697</v>
      </c>
      <c r="J354" s="1">
        <v>2024</v>
      </c>
      <c r="K354" s="1" t="s">
        <v>3694</v>
      </c>
      <c r="L354" s="1" t="s">
        <v>3696</v>
      </c>
      <c r="P354" s="2" t="s">
        <v>3695</v>
      </c>
      <c r="Q354" s="1" t="s">
        <v>780</v>
      </c>
      <c r="R354" s="1" t="s">
        <v>941</v>
      </c>
      <c r="S354" s="1" t="s">
        <v>3325</v>
      </c>
      <c r="T354" s="3" t="s">
        <v>3324</v>
      </c>
      <c r="V354" s="2" t="s">
        <v>3267</v>
      </c>
      <c r="W354" s="2" t="s">
        <v>3694</v>
      </c>
      <c r="X354" s="2" t="s">
        <v>2</v>
      </c>
      <c r="Y354" s="3">
        <v>45958</v>
      </c>
      <c r="Z354" s="1">
        <v>2025</v>
      </c>
      <c r="AA354" s="1">
        <v>749852.15</v>
      </c>
      <c r="AC354" s="2">
        <v>260822.34</v>
      </c>
      <c r="AD354" s="2"/>
      <c r="AG354" s="1" t="s">
        <v>1</v>
      </c>
      <c r="AI354" s="2">
        <v>260822.34</v>
      </c>
      <c r="AK354" s="1"/>
    </row>
    <row r="355" spans="1:38" ht="15" customHeight="1" x14ac:dyDescent="0.2">
      <c r="A355" s="1" t="s">
        <v>19</v>
      </c>
      <c r="B355" s="5" t="s">
        <v>18</v>
      </c>
      <c r="C355" s="1" t="s">
        <v>17</v>
      </c>
      <c r="D355" s="1" t="s">
        <v>16</v>
      </c>
      <c r="E355" s="1" t="s">
        <v>35</v>
      </c>
      <c r="F355" s="1" t="s">
        <v>1562</v>
      </c>
      <c r="G355" s="1" t="s">
        <v>1561</v>
      </c>
      <c r="H355" s="1" t="s">
        <v>12</v>
      </c>
      <c r="I355" s="1" t="s">
        <v>3693</v>
      </c>
      <c r="J355" s="1">
        <v>2024</v>
      </c>
      <c r="K355" s="1" t="s">
        <v>3692</v>
      </c>
      <c r="L355" s="1" t="s">
        <v>3691</v>
      </c>
      <c r="M355" s="1" t="s">
        <v>3690</v>
      </c>
      <c r="P355" s="1" t="s">
        <v>3689</v>
      </c>
      <c r="Q355" s="1" t="s">
        <v>780</v>
      </c>
      <c r="R355" s="1" t="s">
        <v>941</v>
      </c>
      <c r="S355" s="1" t="s">
        <v>3325</v>
      </c>
      <c r="T355" s="1" t="s">
        <v>3324</v>
      </c>
      <c r="U355" s="1">
        <v>1</v>
      </c>
      <c r="V355" s="1" t="s">
        <v>3267</v>
      </c>
      <c r="W355" s="1" t="s">
        <v>3688</v>
      </c>
      <c r="X355" s="1" t="s">
        <v>3687</v>
      </c>
      <c r="Y355" s="3">
        <v>45834</v>
      </c>
      <c r="Z355" s="1">
        <v>2025</v>
      </c>
      <c r="AA355" s="2">
        <v>3448712</v>
      </c>
      <c r="AB355" s="2"/>
      <c r="AC355" s="2">
        <v>1207049</v>
      </c>
      <c r="AG355" s="1" t="s">
        <v>1</v>
      </c>
      <c r="AI355" s="2">
        <v>1207049</v>
      </c>
      <c r="AK355" s="1"/>
    </row>
    <row r="356" spans="1:38" ht="15" customHeight="1" x14ac:dyDescent="0.25">
      <c r="A356" s="1" t="s">
        <v>19</v>
      </c>
      <c r="B356" s="5" t="s">
        <v>18</v>
      </c>
      <c r="C356" s="1" t="s">
        <v>17</v>
      </c>
      <c r="D356" s="1" t="s">
        <v>16</v>
      </c>
      <c r="E356" s="35" t="s">
        <v>15</v>
      </c>
      <c r="F356" s="1" t="s">
        <v>1554</v>
      </c>
      <c r="G356" s="1" t="s">
        <v>1553</v>
      </c>
      <c r="H356" s="1" t="s">
        <v>12</v>
      </c>
      <c r="I356" s="1" t="s">
        <v>3686</v>
      </c>
      <c r="J356" s="1">
        <v>2022</v>
      </c>
      <c r="K356" s="1" t="s">
        <v>3685</v>
      </c>
      <c r="L356" s="1" t="s">
        <v>3684</v>
      </c>
      <c r="P356" s="1" t="s">
        <v>3683</v>
      </c>
      <c r="Q356" s="1" t="s">
        <v>780</v>
      </c>
      <c r="R356" s="1" t="s">
        <v>941</v>
      </c>
      <c r="S356" s="10" t="s">
        <v>3431</v>
      </c>
      <c r="T356" s="1" t="s">
        <v>3430</v>
      </c>
      <c r="U356" s="1">
        <v>2</v>
      </c>
      <c r="V356" s="1" t="s">
        <v>3267</v>
      </c>
      <c r="W356" s="1" t="s">
        <v>3682</v>
      </c>
      <c r="X356" s="1" t="s">
        <v>1544</v>
      </c>
      <c r="Y356" s="3">
        <v>45254</v>
      </c>
      <c r="Z356" s="1">
        <v>2023</v>
      </c>
      <c r="AA356" s="2">
        <v>10033420</v>
      </c>
      <c r="AB356" s="2"/>
      <c r="AC356" s="2">
        <v>3511697</v>
      </c>
      <c r="AG356" s="1" t="s">
        <v>1</v>
      </c>
      <c r="AI356" s="2">
        <v>3511697</v>
      </c>
      <c r="AK356" s="1"/>
      <c r="AL356" s="47" t="s">
        <v>3681</v>
      </c>
    </row>
    <row r="357" spans="1:38" ht="15" customHeight="1" x14ac:dyDescent="0.2">
      <c r="A357" s="1" t="s">
        <v>19</v>
      </c>
      <c r="B357" s="5" t="s">
        <v>109</v>
      </c>
      <c r="C357" s="1" t="s">
        <v>17</v>
      </c>
      <c r="D357" s="1" t="s">
        <v>16</v>
      </c>
      <c r="E357" s="1" t="s">
        <v>15</v>
      </c>
      <c r="F357" s="1" t="s">
        <v>1554</v>
      </c>
      <c r="G357" s="1" t="s">
        <v>1553</v>
      </c>
      <c r="H357" s="1" t="s">
        <v>12</v>
      </c>
      <c r="I357" s="1" t="s">
        <v>3680</v>
      </c>
      <c r="J357" s="1">
        <v>2022</v>
      </c>
      <c r="K357" s="1" t="s">
        <v>3679</v>
      </c>
      <c r="L357" s="1" t="s">
        <v>3678</v>
      </c>
      <c r="M357" s="1" t="s">
        <v>3677</v>
      </c>
      <c r="P357" s="1" t="s">
        <v>3676</v>
      </c>
      <c r="Q357" s="1" t="s">
        <v>780</v>
      </c>
      <c r="R357" s="1" t="s">
        <v>941</v>
      </c>
      <c r="S357" s="1" t="s">
        <v>3302</v>
      </c>
      <c r="T357" s="1" t="s">
        <v>3301</v>
      </c>
      <c r="U357" s="1">
        <v>1</v>
      </c>
      <c r="V357" s="1" t="s">
        <v>3267</v>
      </c>
      <c r="W357" s="1" t="s">
        <v>3675</v>
      </c>
      <c r="X357" s="1" t="s">
        <v>1544</v>
      </c>
      <c r="Y357" s="3">
        <v>45254</v>
      </c>
      <c r="Z357" s="1">
        <v>2023</v>
      </c>
      <c r="AA357" s="2">
        <v>1439968</v>
      </c>
      <c r="AB357" s="2"/>
      <c r="AC357" s="2">
        <v>499995</v>
      </c>
      <c r="AG357" s="1" t="s">
        <v>1522</v>
      </c>
      <c r="AH357" s="1" t="s">
        <v>1521</v>
      </c>
      <c r="AI357" s="2">
        <v>0</v>
      </c>
      <c r="AK357" s="1"/>
    </row>
    <row r="358" spans="1:38" ht="15" customHeight="1" x14ac:dyDescent="0.2">
      <c r="A358" s="1" t="s">
        <v>19</v>
      </c>
      <c r="B358" s="5" t="s">
        <v>109</v>
      </c>
      <c r="C358" s="1" t="s">
        <v>37</v>
      </c>
      <c r="D358" s="1" t="s">
        <v>132</v>
      </c>
      <c r="E358" s="1" t="s">
        <v>35</v>
      </c>
      <c r="G358" s="1" t="s">
        <v>131</v>
      </c>
      <c r="H358" s="1" t="s">
        <v>130</v>
      </c>
      <c r="I358" s="1" t="s">
        <v>3674</v>
      </c>
      <c r="J358" s="1">
        <v>2018</v>
      </c>
      <c r="P358" s="1" t="s">
        <v>136</v>
      </c>
      <c r="Q358" s="1" t="s">
        <v>780</v>
      </c>
      <c r="R358" s="1" t="s">
        <v>941</v>
      </c>
      <c r="S358" s="1" t="s">
        <v>3339</v>
      </c>
      <c r="T358" s="1" t="s">
        <v>3338</v>
      </c>
      <c r="U358" s="1">
        <v>1</v>
      </c>
      <c r="V358" s="1" t="s">
        <v>3267</v>
      </c>
      <c r="Y358" s="3">
        <v>43461</v>
      </c>
      <c r="Z358" s="1">
        <v>2018</v>
      </c>
      <c r="AA358" s="2"/>
      <c r="AB358" s="2"/>
      <c r="AC358" s="2">
        <v>352724.26</v>
      </c>
      <c r="AG358" s="1" t="s">
        <v>21</v>
      </c>
      <c r="AI358" s="2">
        <v>352724.26</v>
      </c>
      <c r="AK358" s="1"/>
      <c r="AL358" s="1" t="s">
        <v>127</v>
      </c>
    </row>
    <row r="359" spans="1:38" ht="15" customHeight="1" x14ac:dyDescent="0.2">
      <c r="A359" s="1" t="s">
        <v>19</v>
      </c>
      <c r="B359" s="5" t="s">
        <v>109</v>
      </c>
      <c r="C359" s="1" t="s">
        <v>37</v>
      </c>
      <c r="D359" s="1" t="s">
        <v>132</v>
      </c>
      <c r="E359" s="1" t="s">
        <v>35</v>
      </c>
      <c r="G359" s="1" t="s">
        <v>131</v>
      </c>
      <c r="H359" s="1" t="s">
        <v>130</v>
      </c>
      <c r="I359" s="1" t="s">
        <v>3673</v>
      </c>
      <c r="J359" s="1">
        <v>2018</v>
      </c>
      <c r="P359" s="1" t="s">
        <v>136</v>
      </c>
      <c r="Q359" s="1" t="s">
        <v>780</v>
      </c>
      <c r="R359" s="1" t="s">
        <v>941</v>
      </c>
      <c r="S359" s="1" t="s">
        <v>3339</v>
      </c>
      <c r="T359" s="1" t="s">
        <v>3338</v>
      </c>
      <c r="U359" s="1">
        <v>1</v>
      </c>
      <c r="V359" s="1" t="s">
        <v>3267</v>
      </c>
      <c r="Y359" s="3">
        <v>43461</v>
      </c>
      <c r="Z359" s="1">
        <v>2018</v>
      </c>
      <c r="AA359" s="2"/>
      <c r="AB359" s="2"/>
      <c r="AC359" s="2">
        <v>614320.43000000005</v>
      </c>
      <c r="AG359" s="1" t="s">
        <v>21</v>
      </c>
      <c r="AI359" s="2">
        <v>614320.43000000005</v>
      </c>
      <c r="AK359" s="1"/>
      <c r="AL359" s="1" t="s">
        <v>127</v>
      </c>
    </row>
    <row r="360" spans="1:38" ht="15" customHeight="1" x14ac:dyDescent="0.2">
      <c r="A360" s="1" t="s">
        <v>19</v>
      </c>
      <c r="B360" s="5" t="s">
        <v>109</v>
      </c>
      <c r="C360" s="1" t="s">
        <v>37</v>
      </c>
      <c r="D360" s="1" t="s">
        <v>132</v>
      </c>
      <c r="E360" s="1" t="s">
        <v>35</v>
      </c>
      <c r="G360" s="1" t="s">
        <v>131</v>
      </c>
      <c r="H360" s="1" t="s">
        <v>130</v>
      </c>
      <c r="I360" s="1" t="s">
        <v>3672</v>
      </c>
      <c r="J360" s="1">
        <v>2018</v>
      </c>
      <c r="P360" s="1" t="s">
        <v>136</v>
      </c>
      <c r="Q360" s="1" t="s">
        <v>780</v>
      </c>
      <c r="R360" s="1" t="s">
        <v>941</v>
      </c>
      <c r="S360" s="1" t="s">
        <v>3339</v>
      </c>
      <c r="T360" s="1" t="s">
        <v>3338</v>
      </c>
      <c r="U360" s="1">
        <v>1</v>
      </c>
      <c r="V360" s="1" t="s">
        <v>3267</v>
      </c>
      <c r="Y360" s="3">
        <v>43461</v>
      </c>
      <c r="Z360" s="1">
        <v>2018</v>
      </c>
      <c r="AA360" s="2"/>
      <c r="AB360" s="2"/>
      <c r="AC360" s="2">
        <v>474800.50000000006</v>
      </c>
      <c r="AG360" s="1" t="s">
        <v>21</v>
      </c>
      <c r="AI360" s="2">
        <v>474800.50000000006</v>
      </c>
      <c r="AK360" s="1"/>
      <c r="AL360" s="1" t="s">
        <v>127</v>
      </c>
    </row>
    <row r="361" spans="1:38" ht="15" customHeight="1" x14ac:dyDescent="0.2">
      <c r="A361" s="1" t="s">
        <v>19</v>
      </c>
      <c r="B361" s="5" t="s">
        <v>109</v>
      </c>
      <c r="C361" s="1" t="s">
        <v>37</v>
      </c>
      <c r="D361" s="1" t="s">
        <v>132</v>
      </c>
      <c r="E361" s="1" t="s">
        <v>35</v>
      </c>
      <c r="G361" s="1" t="s">
        <v>131</v>
      </c>
      <c r="H361" s="1" t="s">
        <v>130</v>
      </c>
      <c r="I361" s="1" t="s">
        <v>3671</v>
      </c>
      <c r="J361" s="1">
        <v>2018</v>
      </c>
      <c r="P361" s="1" t="s">
        <v>136</v>
      </c>
      <c r="Q361" s="1" t="s">
        <v>780</v>
      </c>
      <c r="R361" s="1" t="s">
        <v>941</v>
      </c>
      <c r="S361" s="1" t="s">
        <v>3339</v>
      </c>
      <c r="T361" s="1" t="s">
        <v>3338</v>
      </c>
      <c r="U361" s="1">
        <v>1</v>
      </c>
      <c r="V361" s="1" t="s">
        <v>3267</v>
      </c>
      <c r="Y361" s="3">
        <v>43465</v>
      </c>
      <c r="Z361" s="1">
        <v>2018</v>
      </c>
      <c r="AA361" s="2"/>
      <c r="AB361" s="2"/>
      <c r="AC361" s="2">
        <v>384458.1</v>
      </c>
      <c r="AG361" s="1" t="s">
        <v>21</v>
      </c>
      <c r="AI361" s="2">
        <v>384458.1</v>
      </c>
      <c r="AK361" s="1"/>
      <c r="AL361" s="1" t="s">
        <v>127</v>
      </c>
    </row>
    <row r="362" spans="1:38" ht="15" customHeight="1" x14ac:dyDescent="0.2">
      <c r="A362" s="1" t="s">
        <v>19</v>
      </c>
      <c r="B362" s="5" t="s">
        <v>109</v>
      </c>
      <c r="C362" s="1" t="s">
        <v>37</v>
      </c>
      <c r="D362" s="1" t="s">
        <v>132</v>
      </c>
      <c r="E362" s="1" t="s">
        <v>35</v>
      </c>
      <c r="G362" s="1" t="s">
        <v>131</v>
      </c>
      <c r="H362" s="1" t="s">
        <v>130</v>
      </c>
      <c r="I362" s="1" t="s">
        <v>3670</v>
      </c>
      <c r="J362" s="1">
        <v>2018</v>
      </c>
      <c r="P362" s="1" t="s">
        <v>136</v>
      </c>
      <c r="Q362" s="1" t="s">
        <v>780</v>
      </c>
      <c r="R362" s="1" t="s">
        <v>941</v>
      </c>
      <c r="S362" s="1" t="s">
        <v>3339</v>
      </c>
      <c r="T362" s="1" t="s">
        <v>3338</v>
      </c>
      <c r="U362" s="1">
        <v>1</v>
      </c>
      <c r="V362" s="1" t="s">
        <v>3267</v>
      </c>
      <c r="Y362" s="3">
        <v>43461</v>
      </c>
      <c r="Z362" s="1">
        <v>2018</v>
      </c>
      <c r="AA362" s="2"/>
      <c r="AB362" s="2"/>
      <c r="AC362" s="2">
        <v>468341.02</v>
      </c>
      <c r="AG362" s="1" t="s">
        <v>21</v>
      </c>
      <c r="AI362" s="2">
        <v>468341.02</v>
      </c>
      <c r="AK362" s="1"/>
      <c r="AL362" s="1" t="s">
        <v>127</v>
      </c>
    </row>
    <row r="363" spans="1:38" ht="15" customHeight="1" x14ac:dyDescent="0.2">
      <c r="A363" s="1" t="s">
        <v>19</v>
      </c>
      <c r="B363" s="5" t="s">
        <v>109</v>
      </c>
      <c r="C363" s="1" t="s">
        <v>37</v>
      </c>
      <c r="D363" s="1" t="s">
        <v>132</v>
      </c>
      <c r="E363" s="1" t="s">
        <v>35</v>
      </c>
      <c r="G363" s="1" t="s">
        <v>131</v>
      </c>
      <c r="H363" s="1" t="s">
        <v>130</v>
      </c>
      <c r="I363" s="1" t="s">
        <v>3669</v>
      </c>
      <c r="J363" s="1">
        <v>2018</v>
      </c>
      <c r="P363" s="1" t="s">
        <v>136</v>
      </c>
      <c r="Q363" s="1" t="s">
        <v>780</v>
      </c>
      <c r="R363" s="1" t="s">
        <v>941</v>
      </c>
      <c r="S363" s="1" t="s">
        <v>3339</v>
      </c>
      <c r="T363" s="1" t="s">
        <v>3338</v>
      </c>
      <c r="U363" s="1">
        <v>1</v>
      </c>
      <c r="V363" s="1" t="s">
        <v>3267</v>
      </c>
      <c r="Y363" s="3">
        <v>43461</v>
      </c>
      <c r="Z363" s="1">
        <v>2018</v>
      </c>
      <c r="AA363" s="2"/>
      <c r="AB363" s="2"/>
      <c r="AC363" s="2">
        <v>463681.89</v>
      </c>
      <c r="AG363" s="1" t="s">
        <v>21</v>
      </c>
      <c r="AI363" s="2">
        <v>463681.89</v>
      </c>
      <c r="AK363" s="1"/>
      <c r="AL363" s="1" t="s">
        <v>127</v>
      </c>
    </row>
    <row r="364" spans="1:38" ht="15" customHeight="1" x14ac:dyDescent="0.2">
      <c r="A364" s="1" t="s">
        <v>19</v>
      </c>
      <c r="B364" s="5" t="s">
        <v>109</v>
      </c>
      <c r="C364" s="1" t="s">
        <v>37</v>
      </c>
      <c r="D364" s="1" t="s">
        <v>132</v>
      </c>
      <c r="E364" s="1" t="s">
        <v>35</v>
      </c>
      <c r="G364" s="1" t="s">
        <v>131</v>
      </c>
      <c r="H364" s="1" t="s">
        <v>130</v>
      </c>
      <c r="I364" s="1" t="s">
        <v>3668</v>
      </c>
      <c r="J364" s="1">
        <v>2018</v>
      </c>
      <c r="P364" s="1" t="s">
        <v>136</v>
      </c>
      <c r="Q364" s="1" t="s">
        <v>780</v>
      </c>
      <c r="R364" s="1" t="s">
        <v>941</v>
      </c>
      <c r="S364" s="1" t="s">
        <v>3339</v>
      </c>
      <c r="T364" s="1" t="s">
        <v>3338</v>
      </c>
      <c r="U364" s="1">
        <v>1</v>
      </c>
      <c r="V364" s="1" t="s">
        <v>3267</v>
      </c>
      <c r="Y364" s="3">
        <v>43465</v>
      </c>
      <c r="Z364" s="1">
        <v>2018</v>
      </c>
      <c r="AA364" s="2"/>
      <c r="AB364" s="2"/>
      <c r="AC364" s="2">
        <v>250747.05</v>
      </c>
      <c r="AG364" s="1" t="s">
        <v>21</v>
      </c>
      <c r="AI364" s="2">
        <v>250747.05</v>
      </c>
      <c r="AK364" s="1"/>
      <c r="AL364" s="1" t="s">
        <v>127</v>
      </c>
    </row>
    <row r="365" spans="1:38" ht="15" customHeight="1" x14ac:dyDescent="0.2">
      <c r="A365" s="1" t="s">
        <v>19</v>
      </c>
      <c r="B365" s="5" t="s">
        <v>109</v>
      </c>
      <c r="C365" s="1" t="s">
        <v>37</v>
      </c>
      <c r="D365" s="1" t="s">
        <v>132</v>
      </c>
      <c r="E365" s="1" t="s">
        <v>35</v>
      </c>
      <c r="G365" s="1" t="s">
        <v>131</v>
      </c>
      <c r="H365" s="1" t="s">
        <v>130</v>
      </c>
      <c r="I365" s="1" t="s">
        <v>3667</v>
      </c>
      <c r="J365" s="1">
        <v>2018</v>
      </c>
      <c r="P365" s="1" t="s">
        <v>136</v>
      </c>
      <c r="Q365" s="1" t="s">
        <v>780</v>
      </c>
      <c r="R365" s="1" t="s">
        <v>941</v>
      </c>
      <c r="S365" s="1" t="s">
        <v>3339</v>
      </c>
      <c r="T365" s="1" t="s">
        <v>3338</v>
      </c>
      <c r="U365" s="1">
        <v>1</v>
      </c>
      <c r="V365" s="1" t="s">
        <v>3267</v>
      </c>
      <c r="Y365" s="3">
        <v>43461</v>
      </c>
      <c r="Z365" s="1">
        <v>2018</v>
      </c>
      <c r="AA365" s="2"/>
      <c r="AB365" s="2"/>
      <c r="AC365" s="2">
        <v>546456.57999999996</v>
      </c>
      <c r="AG365" s="1" t="s">
        <v>21</v>
      </c>
      <c r="AI365" s="2">
        <v>546456.57999999996</v>
      </c>
      <c r="AK365" s="1"/>
      <c r="AL365" s="1" t="s">
        <v>127</v>
      </c>
    </row>
    <row r="366" spans="1:38" ht="15" customHeight="1" x14ac:dyDescent="0.2">
      <c r="A366" s="1" t="s">
        <v>19</v>
      </c>
      <c r="B366" s="5" t="s">
        <v>109</v>
      </c>
      <c r="C366" s="1" t="s">
        <v>37</v>
      </c>
      <c r="D366" s="1" t="s">
        <v>132</v>
      </c>
      <c r="E366" s="1" t="s">
        <v>35</v>
      </c>
      <c r="G366" s="1" t="s">
        <v>131</v>
      </c>
      <c r="H366" s="1" t="s">
        <v>130</v>
      </c>
      <c r="I366" s="1" t="s">
        <v>3666</v>
      </c>
      <c r="J366" s="1">
        <v>2018</v>
      </c>
      <c r="P366" s="1" t="s">
        <v>136</v>
      </c>
      <c r="Q366" s="1" t="s">
        <v>780</v>
      </c>
      <c r="R366" s="1" t="s">
        <v>941</v>
      </c>
      <c r="S366" s="1" t="s">
        <v>3339</v>
      </c>
      <c r="T366" s="1" t="s">
        <v>3338</v>
      </c>
      <c r="U366" s="1">
        <v>1</v>
      </c>
      <c r="V366" s="1" t="s">
        <v>3267</v>
      </c>
      <c r="Y366" s="3">
        <v>43461</v>
      </c>
      <c r="Z366" s="1">
        <v>2018</v>
      </c>
      <c r="AA366" s="2"/>
      <c r="AB366" s="2"/>
      <c r="AC366" s="2">
        <v>390511.51999999996</v>
      </c>
      <c r="AG366" s="1" t="s">
        <v>21</v>
      </c>
      <c r="AI366" s="2">
        <v>390511.51999999996</v>
      </c>
      <c r="AK366" s="1"/>
      <c r="AL366" s="1" t="s">
        <v>127</v>
      </c>
    </row>
    <row r="367" spans="1:38" ht="15" customHeight="1" x14ac:dyDescent="0.2">
      <c r="A367" s="1" t="s">
        <v>19</v>
      </c>
      <c r="B367" s="5" t="s">
        <v>109</v>
      </c>
      <c r="C367" s="1" t="s">
        <v>37</v>
      </c>
      <c r="D367" s="1" t="s">
        <v>132</v>
      </c>
      <c r="E367" s="1" t="s">
        <v>35</v>
      </c>
      <c r="G367" s="1" t="s">
        <v>131</v>
      </c>
      <c r="H367" s="1" t="s">
        <v>130</v>
      </c>
      <c r="I367" s="1" t="s">
        <v>3665</v>
      </c>
      <c r="J367" s="1">
        <v>2018</v>
      </c>
      <c r="P367" s="1" t="s">
        <v>136</v>
      </c>
      <c r="Q367" s="1" t="s">
        <v>780</v>
      </c>
      <c r="R367" s="1" t="s">
        <v>941</v>
      </c>
      <c r="S367" s="1" t="s">
        <v>3339</v>
      </c>
      <c r="T367" s="1" t="s">
        <v>3338</v>
      </c>
      <c r="U367" s="1">
        <v>1</v>
      </c>
      <c r="V367" s="1" t="s">
        <v>3267</v>
      </c>
      <c r="Y367" s="3">
        <v>43461</v>
      </c>
      <c r="Z367" s="1">
        <v>2018</v>
      </c>
      <c r="AA367" s="2"/>
      <c r="AB367" s="2"/>
      <c r="AC367" s="2">
        <v>321382.28999999998</v>
      </c>
      <c r="AG367" s="1" t="s">
        <v>21</v>
      </c>
      <c r="AI367" s="2">
        <v>321382.28999999998</v>
      </c>
      <c r="AK367" s="1"/>
      <c r="AL367" s="1" t="s">
        <v>127</v>
      </c>
    </row>
    <row r="368" spans="1:38" ht="15" customHeight="1" x14ac:dyDescent="0.2">
      <c r="A368" s="1" t="s">
        <v>19</v>
      </c>
      <c r="B368" s="5" t="s">
        <v>109</v>
      </c>
      <c r="C368" s="1" t="s">
        <v>37</v>
      </c>
      <c r="D368" s="1" t="s">
        <v>132</v>
      </c>
      <c r="E368" s="1" t="s">
        <v>35</v>
      </c>
      <c r="G368" s="1" t="s">
        <v>131</v>
      </c>
      <c r="H368" s="1" t="s">
        <v>130</v>
      </c>
      <c r="I368" s="1" t="s">
        <v>3664</v>
      </c>
      <c r="J368" s="1">
        <v>2018</v>
      </c>
      <c r="P368" s="1" t="s">
        <v>136</v>
      </c>
      <c r="Q368" s="1" t="s">
        <v>780</v>
      </c>
      <c r="R368" s="1" t="s">
        <v>941</v>
      </c>
      <c r="S368" s="1" t="s">
        <v>3339</v>
      </c>
      <c r="T368" s="1" t="s">
        <v>3338</v>
      </c>
      <c r="U368" s="1">
        <v>1</v>
      </c>
      <c r="V368" s="1" t="s">
        <v>3267</v>
      </c>
      <c r="Y368" s="3">
        <v>43461</v>
      </c>
      <c r="Z368" s="1">
        <v>2018</v>
      </c>
      <c r="AA368" s="2"/>
      <c r="AB368" s="2"/>
      <c r="AC368" s="2">
        <v>417556.15</v>
      </c>
      <c r="AG368" s="1" t="s">
        <v>21</v>
      </c>
      <c r="AI368" s="2">
        <v>417556.15</v>
      </c>
      <c r="AK368" s="1"/>
      <c r="AL368" s="1" t="s">
        <v>127</v>
      </c>
    </row>
    <row r="369" spans="1:38" ht="15" customHeight="1" x14ac:dyDescent="0.2">
      <c r="A369" s="1" t="s">
        <v>19</v>
      </c>
      <c r="B369" s="5" t="s">
        <v>109</v>
      </c>
      <c r="C369" s="1" t="s">
        <v>37</v>
      </c>
      <c r="D369" s="1" t="s">
        <v>132</v>
      </c>
      <c r="E369" s="1" t="s">
        <v>35</v>
      </c>
      <c r="G369" s="1" t="s">
        <v>131</v>
      </c>
      <c r="H369" s="1" t="s">
        <v>130</v>
      </c>
      <c r="I369" s="1" t="s">
        <v>3663</v>
      </c>
      <c r="J369" s="1">
        <v>2018</v>
      </c>
      <c r="P369" s="1" t="s">
        <v>136</v>
      </c>
      <c r="Q369" s="1" t="s">
        <v>780</v>
      </c>
      <c r="R369" s="1" t="s">
        <v>941</v>
      </c>
      <c r="S369" s="1" t="s">
        <v>3339</v>
      </c>
      <c r="T369" s="1" t="s">
        <v>3338</v>
      </c>
      <c r="U369" s="1">
        <v>1</v>
      </c>
      <c r="V369" s="1" t="s">
        <v>3267</v>
      </c>
      <c r="Y369" s="3">
        <v>43461</v>
      </c>
      <c r="Z369" s="1">
        <v>2018</v>
      </c>
      <c r="AA369" s="2"/>
      <c r="AB369" s="2"/>
      <c r="AC369" s="2">
        <v>307040.82999999996</v>
      </c>
      <c r="AG369" s="1" t="s">
        <v>21</v>
      </c>
      <c r="AI369" s="2">
        <v>307040.82999999996</v>
      </c>
      <c r="AK369" s="1"/>
      <c r="AL369" s="1" t="s">
        <v>127</v>
      </c>
    </row>
    <row r="370" spans="1:38" ht="15" customHeight="1" x14ac:dyDescent="0.2">
      <c r="A370" s="1" t="s">
        <v>19</v>
      </c>
      <c r="B370" s="5" t="s">
        <v>109</v>
      </c>
      <c r="C370" s="1" t="s">
        <v>37</v>
      </c>
      <c r="D370" s="1" t="s">
        <v>132</v>
      </c>
      <c r="E370" s="1" t="s">
        <v>35</v>
      </c>
      <c r="G370" s="1" t="s">
        <v>131</v>
      </c>
      <c r="H370" s="1" t="s">
        <v>130</v>
      </c>
      <c r="I370" s="1" t="s">
        <v>3662</v>
      </c>
      <c r="J370" s="1">
        <v>2018</v>
      </c>
      <c r="P370" s="1" t="s">
        <v>136</v>
      </c>
      <c r="Q370" s="1" t="s">
        <v>780</v>
      </c>
      <c r="R370" s="1" t="s">
        <v>941</v>
      </c>
      <c r="S370" s="1" t="s">
        <v>3339</v>
      </c>
      <c r="T370" s="1" t="s">
        <v>3338</v>
      </c>
      <c r="U370" s="1">
        <v>1</v>
      </c>
      <c r="V370" s="1" t="s">
        <v>3267</v>
      </c>
      <c r="Y370" s="3">
        <v>43461</v>
      </c>
      <c r="Z370" s="1">
        <v>2018</v>
      </c>
      <c r="AA370" s="2"/>
      <c r="AB370" s="2"/>
      <c r="AC370" s="2">
        <v>572154.88</v>
      </c>
      <c r="AG370" s="1" t="s">
        <v>21</v>
      </c>
      <c r="AI370" s="2">
        <v>572154.88</v>
      </c>
      <c r="AK370" s="1"/>
      <c r="AL370" s="1" t="s">
        <v>127</v>
      </c>
    </row>
    <row r="371" spans="1:38" ht="15" customHeight="1" x14ac:dyDescent="0.2">
      <c r="A371" s="1" t="s">
        <v>19</v>
      </c>
      <c r="B371" s="5" t="s">
        <v>109</v>
      </c>
      <c r="C371" s="1" t="s">
        <v>37</v>
      </c>
      <c r="D371" s="1" t="s">
        <v>132</v>
      </c>
      <c r="E371" s="1" t="s">
        <v>35</v>
      </c>
      <c r="G371" s="1" t="s">
        <v>131</v>
      </c>
      <c r="H371" s="1" t="s">
        <v>130</v>
      </c>
      <c r="I371" s="1" t="s">
        <v>3661</v>
      </c>
      <c r="J371" s="1">
        <v>2018</v>
      </c>
      <c r="P371" s="1" t="s">
        <v>136</v>
      </c>
      <c r="Q371" s="1" t="s">
        <v>780</v>
      </c>
      <c r="R371" s="1" t="s">
        <v>941</v>
      </c>
      <c r="S371" s="1" t="s">
        <v>3339</v>
      </c>
      <c r="T371" s="1" t="s">
        <v>3338</v>
      </c>
      <c r="U371" s="1">
        <v>1</v>
      </c>
      <c r="V371" s="1" t="s">
        <v>3267</v>
      </c>
      <c r="Y371" s="3">
        <v>43461</v>
      </c>
      <c r="Z371" s="1">
        <v>2018</v>
      </c>
      <c r="AA371" s="2"/>
      <c r="AB371" s="2"/>
      <c r="AC371" s="2">
        <v>371758.08000000007</v>
      </c>
      <c r="AG371" s="1" t="s">
        <v>21</v>
      </c>
      <c r="AI371" s="2">
        <v>371758.08000000007</v>
      </c>
      <c r="AK371" s="1"/>
      <c r="AL371" s="1" t="s">
        <v>127</v>
      </c>
    </row>
    <row r="372" spans="1:38" ht="15" customHeight="1" x14ac:dyDescent="0.2">
      <c r="A372" s="1" t="s">
        <v>19</v>
      </c>
      <c r="B372" s="5" t="s">
        <v>109</v>
      </c>
      <c r="C372" s="1" t="s">
        <v>37</v>
      </c>
      <c r="D372" s="1" t="s">
        <v>132</v>
      </c>
      <c r="E372" s="1" t="s">
        <v>35</v>
      </c>
      <c r="G372" s="1" t="s">
        <v>131</v>
      </c>
      <c r="H372" s="1" t="s">
        <v>130</v>
      </c>
      <c r="I372" s="1" t="s">
        <v>3660</v>
      </c>
      <c r="J372" s="1">
        <v>2018</v>
      </c>
      <c r="P372" s="1" t="s">
        <v>136</v>
      </c>
      <c r="Q372" s="1" t="s">
        <v>780</v>
      </c>
      <c r="R372" s="1" t="s">
        <v>941</v>
      </c>
      <c r="S372" s="1" t="s">
        <v>3339</v>
      </c>
      <c r="T372" s="1" t="s">
        <v>3338</v>
      </c>
      <c r="U372" s="1">
        <v>1</v>
      </c>
      <c r="V372" s="1" t="s">
        <v>3267</v>
      </c>
      <c r="Y372" s="3">
        <v>43461</v>
      </c>
      <c r="Z372" s="1">
        <v>2018</v>
      </c>
      <c r="AA372" s="2"/>
      <c r="AB372" s="2"/>
      <c r="AC372" s="2">
        <v>355448.54000000004</v>
      </c>
      <c r="AG372" s="1" t="s">
        <v>21</v>
      </c>
      <c r="AI372" s="2">
        <v>355448.54000000004</v>
      </c>
      <c r="AK372" s="1"/>
      <c r="AL372" s="1" t="s">
        <v>127</v>
      </c>
    </row>
    <row r="373" spans="1:38" ht="15" customHeight="1" x14ac:dyDescent="0.2">
      <c r="A373" s="1" t="s">
        <v>19</v>
      </c>
      <c r="B373" s="5" t="s">
        <v>109</v>
      </c>
      <c r="C373" s="1" t="s">
        <v>37</v>
      </c>
      <c r="D373" s="1" t="s">
        <v>132</v>
      </c>
      <c r="E373" s="1" t="s">
        <v>35</v>
      </c>
      <c r="G373" s="1" t="s">
        <v>131</v>
      </c>
      <c r="H373" s="1" t="s">
        <v>130</v>
      </c>
      <c r="I373" s="1" t="s">
        <v>3659</v>
      </c>
      <c r="J373" s="1">
        <v>2018</v>
      </c>
      <c r="P373" s="1" t="s">
        <v>136</v>
      </c>
      <c r="Q373" s="1" t="s">
        <v>780</v>
      </c>
      <c r="R373" s="1" t="s">
        <v>941</v>
      </c>
      <c r="S373" s="1" t="s">
        <v>3339</v>
      </c>
      <c r="T373" s="1" t="s">
        <v>3338</v>
      </c>
      <c r="U373" s="1">
        <v>1</v>
      </c>
      <c r="V373" s="1" t="s">
        <v>3267</v>
      </c>
      <c r="Y373" s="3">
        <v>43461</v>
      </c>
      <c r="Z373" s="1">
        <v>2018</v>
      </c>
      <c r="AA373" s="2"/>
      <c r="AB373" s="2"/>
      <c r="AC373" s="2">
        <v>413721.4499999999</v>
      </c>
      <c r="AG373" s="1" t="s">
        <v>21</v>
      </c>
      <c r="AI373" s="2">
        <v>413721.4499999999</v>
      </c>
      <c r="AK373" s="1"/>
      <c r="AL373" s="1" t="s">
        <v>127</v>
      </c>
    </row>
    <row r="374" spans="1:38" ht="15" customHeight="1" x14ac:dyDescent="0.2">
      <c r="A374" s="1" t="s">
        <v>19</v>
      </c>
      <c r="B374" s="5" t="s">
        <v>109</v>
      </c>
      <c r="C374" s="1" t="s">
        <v>37</v>
      </c>
      <c r="D374" s="1" t="s">
        <v>132</v>
      </c>
      <c r="E374" s="1" t="s">
        <v>35</v>
      </c>
      <c r="G374" s="1" t="s">
        <v>131</v>
      </c>
      <c r="H374" s="1" t="s">
        <v>130</v>
      </c>
      <c r="I374" s="1" t="s">
        <v>3658</v>
      </c>
      <c r="J374" s="1">
        <v>2018</v>
      </c>
      <c r="P374" s="1" t="s">
        <v>136</v>
      </c>
      <c r="Q374" s="1" t="s">
        <v>780</v>
      </c>
      <c r="R374" s="1" t="s">
        <v>941</v>
      </c>
      <c r="S374" s="1" t="s">
        <v>3339</v>
      </c>
      <c r="T374" s="1" t="s">
        <v>3338</v>
      </c>
      <c r="U374" s="1">
        <v>1</v>
      </c>
      <c r="V374" s="1" t="s">
        <v>3267</v>
      </c>
      <c r="Y374" s="3">
        <v>43461</v>
      </c>
      <c r="Z374" s="1">
        <v>2018</v>
      </c>
      <c r="AA374" s="2"/>
      <c r="AB374" s="2"/>
      <c r="AC374" s="2">
        <v>422320.27999999997</v>
      </c>
      <c r="AG374" s="1" t="s">
        <v>21</v>
      </c>
      <c r="AI374" s="2">
        <v>422320.27999999997</v>
      </c>
      <c r="AK374" s="1"/>
      <c r="AL374" s="1" t="s">
        <v>127</v>
      </c>
    </row>
    <row r="375" spans="1:38" ht="15" customHeight="1" x14ac:dyDescent="0.2">
      <c r="A375" s="1" t="s">
        <v>19</v>
      </c>
      <c r="B375" s="5" t="s">
        <v>109</v>
      </c>
      <c r="C375" s="1" t="s">
        <v>37</v>
      </c>
      <c r="D375" s="1" t="s">
        <v>132</v>
      </c>
      <c r="E375" s="1" t="s">
        <v>35</v>
      </c>
      <c r="G375" s="1" t="s">
        <v>131</v>
      </c>
      <c r="H375" s="1" t="s">
        <v>130</v>
      </c>
      <c r="I375" s="1" t="s">
        <v>3657</v>
      </c>
      <c r="J375" s="1">
        <v>2018</v>
      </c>
      <c r="P375" s="1" t="s">
        <v>136</v>
      </c>
      <c r="Q375" s="1" t="s">
        <v>780</v>
      </c>
      <c r="R375" s="1" t="s">
        <v>941</v>
      </c>
      <c r="S375" s="1" t="s">
        <v>3339</v>
      </c>
      <c r="T375" s="1" t="s">
        <v>3338</v>
      </c>
      <c r="U375" s="1">
        <v>1</v>
      </c>
      <c r="V375" s="1" t="s">
        <v>3267</v>
      </c>
      <c r="Y375" s="3">
        <v>43461</v>
      </c>
      <c r="Z375" s="1">
        <v>2018</v>
      </c>
      <c r="AA375" s="2"/>
      <c r="AB375" s="2"/>
      <c r="AC375" s="2">
        <v>449056.55</v>
      </c>
      <c r="AG375" s="1" t="s">
        <v>21</v>
      </c>
      <c r="AI375" s="2">
        <v>449056.55</v>
      </c>
      <c r="AK375" s="1"/>
      <c r="AL375" s="1" t="s">
        <v>127</v>
      </c>
    </row>
    <row r="376" spans="1:38" ht="15" customHeight="1" x14ac:dyDescent="0.2">
      <c r="A376" s="1" t="s">
        <v>19</v>
      </c>
      <c r="B376" s="5" t="s">
        <v>109</v>
      </c>
      <c r="C376" s="1" t="s">
        <v>37</v>
      </c>
      <c r="D376" s="1" t="s">
        <v>132</v>
      </c>
      <c r="E376" s="1" t="s">
        <v>35</v>
      </c>
      <c r="G376" s="1" t="s">
        <v>131</v>
      </c>
      <c r="H376" s="1" t="s">
        <v>130</v>
      </c>
      <c r="I376" s="1" t="s">
        <v>3656</v>
      </c>
      <c r="J376" s="1">
        <v>2018</v>
      </c>
      <c r="P376" s="1" t="s">
        <v>136</v>
      </c>
      <c r="Q376" s="1" t="s">
        <v>780</v>
      </c>
      <c r="R376" s="1" t="s">
        <v>941</v>
      </c>
      <c r="S376" s="1" t="s">
        <v>3339</v>
      </c>
      <c r="T376" s="1" t="s">
        <v>3338</v>
      </c>
      <c r="U376" s="1">
        <v>1</v>
      </c>
      <c r="V376" s="1" t="s">
        <v>3267</v>
      </c>
      <c r="Y376" s="3">
        <v>43461</v>
      </c>
      <c r="Z376" s="1">
        <v>2018</v>
      </c>
      <c r="AA376" s="2"/>
      <c r="AB376" s="2"/>
      <c r="AC376" s="2">
        <v>531165.84</v>
      </c>
      <c r="AG376" s="1" t="s">
        <v>21</v>
      </c>
      <c r="AI376" s="2">
        <v>531165.84</v>
      </c>
      <c r="AK376" s="1"/>
      <c r="AL376" s="1" t="s">
        <v>127</v>
      </c>
    </row>
    <row r="377" spans="1:38" ht="15" customHeight="1" x14ac:dyDescent="0.2">
      <c r="A377" s="1" t="s">
        <v>19</v>
      </c>
      <c r="B377" s="5" t="s">
        <v>109</v>
      </c>
      <c r="C377" s="1" t="s">
        <v>37</v>
      </c>
      <c r="D377" s="1" t="s">
        <v>132</v>
      </c>
      <c r="E377" s="1" t="s">
        <v>35</v>
      </c>
      <c r="G377" s="1" t="s">
        <v>131</v>
      </c>
      <c r="H377" s="1" t="s">
        <v>130</v>
      </c>
      <c r="I377" s="1" t="s">
        <v>3655</v>
      </c>
      <c r="J377" s="1">
        <v>2018</v>
      </c>
      <c r="P377" s="1" t="s">
        <v>136</v>
      </c>
      <c r="Q377" s="1" t="s">
        <v>780</v>
      </c>
      <c r="R377" s="1" t="s">
        <v>941</v>
      </c>
      <c r="S377" s="1" t="s">
        <v>3339</v>
      </c>
      <c r="T377" s="1" t="s">
        <v>3338</v>
      </c>
      <c r="U377" s="1">
        <v>1</v>
      </c>
      <c r="V377" s="1" t="s">
        <v>3267</v>
      </c>
      <c r="Y377" s="3">
        <v>43461</v>
      </c>
      <c r="Z377" s="1">
        <v>2018</v>
      </c>
      <c r="AA377" s="2"/>
      <c r="AB377" s="2"/>
      <c r="AC377" s="2">
        <v>420426.64999999997</v>
      </c>
      <c r="AG377" s="1" t="s">
        <v>21</v>
      </c>
      <c r="AI377" s="2">
        <v>420426.64999999997</v>
      </c>
      <c r="AK377" s="1"/>
      <c r="AL377" s="1" t="s">
        <v>127</v>
      </c>
    </row>
    <row r="378" spans="1:38" ht="15" customHeight="1" x14ac:dyDescent="0.2">
      <c r="A378" s="1" t="s">
        <v>19</v>
      </c>
      <c r="B378" s="5" t="s">
        <v>109</v>
      </c>
      <c r="C378" s="1" t="s">
        <v>37</v>
      </c>
      <c r="D378" s="1" t="s">
        <v>132</v>
      </c>
      <c r="E378" s="1" t="s">
        <v>35</v>
      </c>
      <c r="G378" s="1" t="s">
        <v>131</v>
      </c>
      <c r="H378" s="1" t="s">
        <v>130</v>
      </c>
      <c r="I378" s="1" t="s">
        <v>3654</v>
      </c>
      <c r="J378" s="1">
        <v>2018</v>
      </c>
      <c r="P378" s="1" t="s">
        <v>136</v>
      </c>
      <c r="Q378" s="1" t="s">
        <v>780</v>
      </c>
      <c r="R378" s="1" t="s">
        <v>941</v>
      </c>
      <c r="S378" s="1" t="s">
        <v>3339</v>
      </c>
      <c r="T378" s="1" t="s">
        <v>3338</v>
      </c>
      <c r="U378" s="1">
        <v>1</v>
      </c>
      <c r="V378" s="1" t="s">
        <v>3267</v>
      </c>
      <c r="Y378" s="3">
        <v>43461</v>
      </c>
      <c r="Z378" s="1">
        <v>2018</v>
      </c>
      <c r="AA378" s="2"/>
      <c r="AB378" s="2"/>
      <c r="AC378" s="2">
        <v>630059.42999999993</v>
      </c>
      <c r="AG378" s="1" t="s">
        <v>21</v>
      </c>
      <c r="AI378" s="2">
        <v>630059.42999999993</v>
      </c>
      <c r="AK378" s="1"/>
      <c r="AL378" s="1" t="s">
        <v>127</v>
      </c>
    </row>
    <row r="379" spans="1:38" ht="15" customHeight="1" x14ac:dyDescent="0.2">
      <c r="A379" s="1" t="s">
        <v>19</v>
      </c>
      <c r="B379" s="5" t="s">
        <v>109</v>
      </c>
      <c r="C379" s="1" t="s">
        <v>37</v>
      </c>
      <c r="D379" s="1" t="s">
        <v>132</v>
      </c>
      <c r="E379" s="1" t="s">
        <v>35</v>
      </c>
      <c r="G379" s="1" t="s">
        <v>131</v>
      </c>
      <c r="H379" s="1" t="s">
        <v>130</v>
      </c>
      <c r="I379" s="1" t="s">
        <v>3653</v>
      </c>
      <c r="J379" s="1">
        <v>2019</v>
      </c>
      <c r="P379" s="1" t="s">
        <v>136</v>
      </c>
      <c r="Q379" s="1" t="s">
        <v>780</v>
      </c>
      <c r="R379" s="1" t="s">
        <v>941</v>
      </c>
      <c r="S379" s="1" t="s">
        <v>3339</v>
      </c>
      <c r="T379" s="1" t="s">
        <v>3338</v>
      </c>
      <c r="U379" s="1">
        <v>1</v>
      </c>
      <c r="V379" s="1" t="s">
        <v>3267</v>
      </c>
      <c r="Y379" s="3">
        <v>43480</v>
      </c>
      <c r="Z379" s="1">
        <v>2019</v>
      </c>
      <c r="AA379" s="2"/>
      <c r="AB379" s="2"/>
      <c r="AC379" s="2">
        <v>513431.97000000009</v>
      </c>
      <c r="AG379" s="1" t="s">
        <v>21</v>
      </c>
      <c r="AI379" s="2">
        <v>513431.97000000009</v>
      </c>
      <c r="AK379" s="1"/>
      <c r="AL379" s="1" t="s">
        <v>127</v>
      </c>
    </row>
    <row r="380" spans="1:38" ht="15" customHeight="1" x14ac:dyDescent="0.2">
      <c r="A380" s="1" t="s">
        <v>19</v>
      </c>
      <c r="B380" s="5" t="s">
        <v>109</v>
      </c>
      <c r="C380" s="1" t="s">
        <v>37</v>
      </c>
      <c r="D380" s="1" t="s">
        <v>132</v>
      </c>
      <c r="E380" s="1" t="s">
        <v>35</v>
      </c>
      <c r="G380" s="1" t="s">
        <v>131</v>
      </c>
      <c r="H380" s="1" t="s">
        <v>130</v>
      </c>
      <c r="I380" s="1" t="s">
        <v>3652</v>
      </c>
      <c r="J380" s="1">
        <v>2018</v>
      </c>
      <c r="P380" s="1" t="s">
        <v>3390</v>
      </c>
      <c r="Q380" s="1" t="s">
        <v>780</v>
      </c>
      <c r="R380" s="1" t="s">
        <v>941</v>
      </c>
      <c r="S380" s="1" t="s">
        <v>3302</v>
      </c>
      <c r="T380" s="1" t="s">
        <v>3301</v>
      </c>
      <c r="U380" s="1">
        <v>1</v>
      </c>
      <c r="V380" s="1" t="s">
        <v>3267</v>
      </c>
      <c r="Y380" s="3">
        <v>43463</v>
      </c>
      <c r="Z380" s="1">
        <v>2018</v>
      </c>
      <c r="AA380" s="2"/>
      <c r="AB380" s="2"/>
      <c r="AC380" s="2">
        <v>541469.22</v>
      </c>
      <c r="AG380" s="1" t="s">
        <v>21</v>
      </c>
      <c r="AI380" s="2">
        <v>541469.22</v>
      </c>
      <c r="AK380" s="1"/>
      <c r="AL380" s="1" t="s">
        <v>127</v>
      </c>
    </row>
    <row r="381" spans="1:38" ht="15" customHeight="1" x14ac:dyDescent="0.2">
      <c r="A381" s="1" t="s">
        <v>19</v>
      </c>
      <c r="B381" s="5" t="s">
        <v>109</v>
      </c>
      <c r="C381" s="1" t="s">
        <v>37</v>
      </c>
      <c r="D381" s="1" t="s">
        <v>132</v>
      </c>
      <c r="E381" s="1" t="s">
        <v>35</v>
      </c>
      <c r="G381" s="1" t="s">
        <v>131</v>
      </c>
      <c r="H381" s="1" t="s">
        <v>130</v>
      </c>
      <c r="I381" s="1" t="s">
        <v>3651</v>
      </c>
      <c r="J381" s="1">
        <v>2019</v>
      </c>
      <c r="P381" s="1" t="s">
        <v>136</v>
      </c>
      <c r="Q381" s="1" t="s">
        <v>780</v>
      </c>
      <c r="R381" s="1" t="s">
        <v>941</v>
      </c>
      <c r="S381" s="1" t="s">
        <v>3339</v>
      </c>
      <c r="T381" s="1" t="s">
        <v>3338</v>
      </c>
      <c r="U381" s="1">
        <v>1</v>
      </c>
      <c r="V381" s="1" t="s">
        <v>3267</v>
      </c>
      <c r="Y381" s="3">
        <v>43466</v>
      </c>
      <c r="Z381" s="1">
        <v>2019</v>
      </c>
      <c r="AA381" s="2"/>
      <c r="AB381" s="2"/>
      <c r="AC381" s="2">
        <v>693215.48</v>
      </c>
      <c r="AG381" s="1" t="s">
        <v>21</v>
      </c>
      <c r="AI381" s="2">
        <v>693215.48</v>
      </c>
      <c r="AK381" s="1"/>
      <c r="AL381" s="1" t="s">
        <v>127</v>
      </c>
    </row>
    <row r="382" spans="1:38" ht="15" customHeight="1" x14ac:dyDescent="0.2">
      <c r="A382" s="1" t="s">
        <v>19</v>
      </c>
      <c r="B382" s="5" t="s">
        <v>109</v>
      </c>
      <c r="C382" s="1" t="s">
        <v>37</v>
      </c>
      <c r="D382" s="1" t="s">
        <v>132</v>
      </c>
      <c r="E382" s="1" t="s">
        <v>35</v>
      </c>
      <c r="G382" s="1" t="s">
        <v>131</v>
      </c>
      <c r="H382" s="1" t="s">
        <v>130</v>
      </c>
      <c r="I382" s="1" t="s">
        <v>3650</v>
      </c>
      <c r="J382" s="1">
        <v>2018</v>
      </c>
      <c r="P382" s="1" t="s">
        <v>136</v>
      </c>
      <c r="Q382" s="1" t="s">
        <v>780</v>
      </c>
      <c r="R382" s="1" t="s">
        <v>941</v>
      </c>
      <c r="S382" s="1" t="s">
        <v>3339</v>
      </c>
      <c r="T382" s="1" t="s">
        <v>3338</v>
      </c>
      <c r="U382" s="1">
        <v>1</v>
      </c>
      <c r="V382" s="1" t="s">
        <v>3267</v>
      </c>
      <c r="Y382" s="3">
        <v>43461</v>
      </c>
      <c r="Z382" s="1">
        <v>2018</v>
      </c>
      <c r="AA382" s="2"/>
      <c r="AB382" s="2"/>
      <c r="AC382" s="2">
        <v>446499.02</v>
      </c>
      <c r="AG382" s="1" t="s">
        <v>21</v>
      </c>
      <c r="AI382" s="2">
        <v>446499.02</v>
      </c>
      <c r="AK382" s="1"/>
      <c r="AL382" s="1" t="s">
        <v>127</v>
      </c>
    </row>
    <row r="383" spans="1:38" ht="15" customHeight="1" x14ac:dyDescent="0.2">
      <c r="A383" s="1" t="s">
        <v>19</v>
      </c>
      <c r="B383" s="5" t="s">
        <v>109</v>
      </c>
      <c r="C383" s="1" t="s">
        <v>37</v>
      </c>
      <c r="D383" s="1" t="s">
        <v>132</v>
      </c>
      <c r="E383" s="1" t="s">
        <v>35</v>
      </c>
      <c r="G383" s="1" t="s">
        <v>131</v>
      </c>
      <c r="H383" s="1" t="s">
        <v>130</v>
      </c>
      <c r="I383" s="1" t="s">
        <v>3649</v>
      </c>
      <c r="J383" s="1">
        <v>2018</v>
      </c>
      <c r="P383" s="1" t="s">
        <v>136</v>
      </c>
      <c r="Q383" s="1" t="s">
        <v>780</v>
      </c>
      <c r="R383" s="1" t="s">
        <v>941</v>
      </c>
      <c r="S383" s="1" t="s">
        <v>3339</v>
      </c>
      <c r="T383" s="1" t="s">
        <v>3338</v>
      </c>
      <c r="U383" s="1">
        <v>1</v>
      </c>
      <c r="V383" s="1" t="s">
        <v>3267</v>
      </c>
      <c r="Y383" s="3">
        <v>43461</v>
      </c>
      <c r="Z383" s="1">
        <v>2018</v>
      </c>
      <c r="AA383" s="2"/>
      <c r="AB383" s="2"/>
      <c r="AC383" s="2">
        <v>497264.32</v>
      </c>
      <c r="AG383" s="1" t="s">
        <v>21</v>
      </c>
      <c r="AI383" s="2">
        <v>497264.32</v>
      </c>
      <c r="AK383" s="1"/>
      <c r="AL383" s="1" t="s">
        <v>127</v>
      </c>
    </row>
    <row r="384" spans="1:38" ht="15" customHeight="1" x14ac:dyDescent="0.2">
      <c r="A384" s="1" t="s">
        <v>19</v>
      </c>
      <c r="B384" s="5" t="s">
        <v>109</v>
      </c>
      <c r="C384" s="1" t="s">
        <v>37</v>
      </c>
      <c r="D384" s="1" t="s">
        <v>132</v>
      </c>
      <c r="E384" s="1" t="s">
        <v>35</v>
      </c>
      <c r="G384" s="1" t="s">
        <v>131</v>
      </c>
      <c r="H384" s="1" t="s">
        <v>130</v>
      </c>
      <c r="I384" s="1" t="s">
        <v>3648</v>
      </c>
      <c r="J384" s="1">
        <v>2018</v>
      </c>
      <c r="P384" s="1" t="s">
        <v>136</v>
      </c>
      <c r="Q384" s="1" t="s">
        <v>780</v>
      </c>
      <c r="R384" s="1" t="s">
        <v>941</v>
      </c>
      <c r="S384" s="1" t="s">
        <v>3339</v>
      </c>
      <c r="T384" s="1" t="s">
        <v>3338</v>
      </c>
      <c r="U384" s="1">
        <v>1</v>
      </c>
      <c r="V384" s="1" t="s">
        <v>3267</v>
      </c>
      <c r="Y384" s="3">
        <v>43461</v>
      </c>
      <c r="Z384" s="1">
        <v>2018</v>
      </c>
      <c r="AA384" s="2"/>
      <c r="AB384" s="2"/>
      <c r="AC384" s="2">
        <v>484623.72</v>
      </c>
      <c r="AG384" s="1" t="s">
        <v>21</v>
      </c>
      <c r="AI384" s="2">
        <v>484623.72</v>
      </c>
      <c r="AK384" s="1"/>
      <c r="AL384" s="1" t="s">
        <v>127</v>
      </c>
    </row>
    <row r="385" spans="1:38" ht="15" customHeight="1" x14ac:dyDescent="0.2">
      <c r="A385" s="1" t="s">
        <v>19</v>
      </c>
      <c r="B385" s="5" t="s">
        <v>109</v>
      </c>
      <c r="C385" s="1" t="s">
        <v>37</v>
      </c>
      <c r="D385" s="1" t="s">
        <v>132</v>
      </c>
      <c r="E385" s="1" t="s">
        <v>35</v>
      </c>
      <c r="G385" s="1" t="s">
        <v>131</v>
      </c>
      <c r="H385" s="1" t="s">
        <v>130</v>
      </c>
      <c r="I385" s="1" t="s">
        <v>3647</v>
      </c>
      <c r="J385" s="1">
        <v>2018</v>
      </c>
      <c r="P385" s="1" t="s">
        <v>136</v>
      </c>
      <c r="Q385" s="1" t="s">
        <v>780</v>
      </c>
      <c r="R385" s="1" t="s">
        <v>941</v>
      </c>
      <c r="S385" s="1" t="s">
        <v>3339</v>
      </c>
      <c r="T385" s="1" t="s">
        <v>3338</v>
      </c>
      <c r="U385" s="1">
        <v>1</v>
      </c>
      <c r="V385" s="1" t="s">
        <v>3267</v>
      </c>
      <c r="Y385" s="3">
        <v>43461</v>
      </c>
      <c r="Z385" s="1">
        <v>2018</v>
      </c>
      <c r="AA385" s="2"/>
      <c r="AB385" s="2"/>
      <c r="AC385" s="2">
        <v>508675.73</v>
      </c>
      <c r="AG385" s="1" t="s">
        <v>21</v>
      </c>
      <c r="AI385" s="2">
        <v>508675.73</v>
      </c>
      <c r="AK385" s="1"/>
      <c r="AL385" s="1" t="s">
        <v>127</v>
      </c>
    </row>
    <row r="386" spans="1:38" ht="15" customHeight="1" x14ac:dyDescent="0.2">
      <c r="A386" s="1" t="s">
        <v>19</v>
      </c>
      <c r="B386" s="5" t="s">
        <v>18</v>
      </c>
      <c r="C386" s="1" t="s">
        <v>37</v>
      </c>
      <c r="D386" s="1" t="s">
        <v>211</v>
      </c>
      <c r="E386" s="1" t="s">
        <v>35</v>
      </c>
      <c r="F386" s="1" t="s">
        <v>637</v>
      </c>
      <c r="G386" s="1" t="s">
        <v>636</v>
      </c>
      <c r="H386" s="1" t="s">
        <v>130</v>
      </c>
      <c r="I386" s="1" t="s">
        <v>3646</v>
      </c>
      <c r="J386" s="1">
        <v>2016</v>
      </c>
      <c r="K386" s="1" t="s">
        <v>3642</v>
      </c>
      <c r="L386" s="1" t="s">
        <v>3645</v>
      </c>
      <c r="M386" s="1" t="s">
        <v>3644</v>
      </c>
      <c r="P386" s="1" t="s">
        <v>3643</v>
      </c>
      <c r="Q386" s="1" t="s">
        <v>780</v>
      </c>
      <c r="R386" s="1" t="s">
        <v>941</v>
      </c>
      <c r="S386" s="1" t="s">
        <v>3325</v>
      </c>
      <c r="T386" s="1" t="s">
        <v>3324</v>
      </c>
      <c r="U386" s="1">
        <v>1</v>
      </c>
      <c r="V386" s="1" t="s">
        <v>3267</v>
      </c>
      <c r="W386" s="1" t="s">
        <v>3642</v>
      </c>
      <c r="Y386" s="3">
        <v>44255</v>
      </c>
      <c r="Z386" s="1">
        <v>2021</v>
      </c>
      <c r="AA386" s="2">
        <v>3267135.94</v>
      </c>
      <c r="AB386" s="2"/>
      <c r="AC386" s="2">
        <v>300000</v>
      </c>
      <c r="AD386" s="1">
        <v>3</v>
      </c>
      <c r="AG386" s="1" t="s">
        <v>21</v>
      </c>
      <c r="AI386" s="2">
        <v>300000</v>
      </c>
      <c r="AK386" s="1"/>
    </row>
    <row r="387" spans="1:38" ht="15" customHeight="1" x14ac:dyDescent="0.2">
      <c r="A387" s="1" t="s">
        <v>19</v>
      </c>
      <c r="B387" s="5" t="s">
        <v>109</v>
      </c>
      <c r="C387" s="1" t="s">
        <v>37</v>
      </c>
      <c r="D387" s="1" t="s">
        <v>211</v>
      </c>
      <c r="E387" s="1" t="s">
        <v>35</v>
      </c>
      <c r="F387" s="1" t="s">
        <v>637</v>
      </c>
      <c r="G387" s="1" t="s">
        <v>636</v>
      </c>
      <c r="H387" s="1" t="s">
        <v>130</v>
      </c>
      <c r="I387" s="1" t="s">
        <v>3641</v>
      </c>
      <c r="J387" s="1" t="s">
        <v>316</v>
      </c>
      <c r="K387" s="1" t="s">
        <v>3639</v>
      </c>
      <c r="P387" s="1" t="s">
        <v>3640</v>
      </c>
      <c r="Q387" s="1" t="s">
        <v>780</v>
      </c>
      <c r="R387" s="1" t="s">
        <v>941</v>
      </c>
      <c r="S387" s="1" t="s">
        <v>3339</v>
      </c>
      <c r="T387" s="1" t="s">
        <v>3338</v>
      </c>
      <c r="U387" s="1">
        <v>1</v>
      </c>
      <c r="V387" s="1" t="s">
        <v>3267</v>
      </c>
      <c r="W387" s="1" t="s">
        <v>3639</v>
      </c>
      <c r="X387" s="1" t="s">
        <v>52</v>
      </c>
      <c r="Y387" s="3">
        <v>44827</v>
      </c>
      <c r="Z387" s="1">
        <v>2022</v>
      </c>
      <c r="AA387" s="2">
        <v>582836.76</v>
      </c>
      <c r="AB387" s="2"/>
      <c r="AC387" s="2">
        <v>174851.03</v>
      </c>
      <c r="AD387" s="1">
        <v>9</v>
      </c>
      <c r="AE387" s="1">
        <v>2</v>
      </c>
      <c r="AG387" s="1" t="s">
        <v>106</v>
      </c>
      <c r="AH387" s="1" t="s">
        <v>1018</v>
      </c>
      <c r="AI387" s="2">
        <v>0</v>
      </c>
      <c r="AK387" s="1"/>
    </row>
    <row r="388" spans="1:38" ht="15" customHeight="1" x14ac:dyDescent="0.2">
      <c r="A388" s="1" t="s">
        <v>19</v>
      </c>
      <c r="B388" s="5" t="s">
        <v>109</v>
      </c>
      <c r="C388" s="1" t="s">
        <v>37</v>
      </c>
      <c r="D388" s="1" t="s">
        <v>211</v>
      </c>
      <c r="E388" s="1" t="s">
        <v>35</v>
      </c>
      <c r="F388" s="1" t="s">
        <v>637</v>
      </c>
      <c r="G388" s="1" t="s">
        <v>636</v>
      </c>
      <c r="H388" s="1" t="s">
        <v>130</v>
      </c>
      <c r="I388" s="1" t="s">
        <v>3638</v>
      </c>
      <c r="J388" s="1" t="s">
        <v>316</v>
      </c>
      <c r="K388" s="1" t="s">
        <v>3636</v>
      </c>
      <c r="P388" s="1" t="s">
        <v>3637</v>
      </c>
      <c r="Q388" s="1" t="s">
        <v>780</v>
      </c>
      <c r="R388" s="1" t="s">
        <v>941</v>
      </c>
      <c r="S388" s="1" t="s">
        <v>3325</v>
      </c>
      <c r="T388" s="1" t="s">
        <v>3324</v>
      </c>
      <c r="U388" s="1">
        <v>1</v>
      </c>
      <c r="V388" s="1" t="s">
        <v>3267</v>
      </c>
      <c r="W388" s="1" t="s">
        <v>3636</v>
      </c>
      <c r="X388" s="1" t="s">
        <v>319</v>
      </c>
      <c r="Y388" s="3">
        <v>44315</v>
      </c>
      <c r="Z388" s="1">
        <v>2021</v>
      </c>
      <c r="AA388" s="2">
        <v>2550990</v>
      </c>
      <c r="AB388" s="2"/>
      <c r="AC388" s="2">
        <v>630000</v>
      </c>
      <c r="AD388" s="1">
        <v>18</v>
      </c>
      <c r="AE388" s="1">
        <v>10</v>
      </c>
      <c r="AG388" s="1" t="s">
        <v>106</v>
      </c>
      <c r="AH388" s="1" t="s">
        <v>105</v>
      </c>
      <c r="AI388" s="2">
        <v>0</v>
      </c>
      <c r="AK388" s="1" t="s">
        <v>1393</v>
      </c>
    </row>
    <row r="389" spans="1:38" ht="15" customHeight="1" x14ac:dyDescent="0.2">
      <c r="A389" s="1" t="s">
        <v>19</v>
      </c>
      <c r="B389" s="5" t="s">
        <v>109</v>
      </c>
      <c r="C389" s="1" t="s">
        <v>37</v>
      </c>
      <c r="D389" s="1" t="s">
        <v>211</v>
      </c>
      <c r="E389" s="1" t="s">
        <v>35</v>
      </c>
      <c r="F389" s="1" t="s">
        <v>637</v>
      </c>
      <c r="G389" s="1" t="s">
        <v>636</v>
      </c>
      <c r="H389" s="1" t="s">
        <v>130</v>
      </c>
      <c r="I389" s="1" t="s">
        <v>3635</v>
      </c>
      <c r="J389" s="1" t="s">
        <v>316</v>
      </c>
      <c r="K389" s="1" t="s">
        <v>3633</v>
      </c>
      <c r="P389" s="1" t="s">
        <v>3634</v>
      </c>
      <c r="Q389" s="1" t="s">
        <v>780</v>
      </c>
      <c r="R389" s="1" t="s">
        <v>941</v>
      </c>
      <c r="S389" s="1" t="s">
        <v>3424</v>
      </c>
      <c r="T389" s="1" t="s">
        <v>3423</v>
      </c>
      <c r="U389" s="1">
        <v>2</v>
      </c>
      <c r="V389" s="1" t="s">
        <v>3267</v>
      </c>
      <c r="W389" s="1" t="s">
        <v>3633</v>
      </c>
      <c r="X389" s="1" t="s">
        <v>319</v>
      </c>
      <c r="Y389" s="3">
        <v>45007</v>
      </c>
      <c r="Z389" s="1">
        <v>2023</v>
      </c>
      <c r="AA389" s="2">
        <v>6244101.1600000001</v>
      </c>
      <c r="AB389" s="2"/>
      <c r="AC389" s="2">
        <v>624410.12</v>
      </c>
      <c r="AD389" s="1">
        <v>90</v>
      </c>
      <c r="AE389" s="1">
        <v>4</v>
      </c>
      <c r="AG389" s="1" t="s">
        <v>106</v>
      </c>
      <c r="AH389" s="1" t="s">
        <v>105</v>
      </c>
      <c r="AI389" s="2">
        <v>0</v>
      </c>
      <c r="AK389" s="1"/>
    </row>
    <row r="390" spans="1:38" ht="15" customHeight="1" x14ac:dyDescent="0.25">
      <c r="A390" s="1" t="s">
        <v>19</v>
      </c>
      <c r="B390" s="5" t="s">
        <v>109</v>
      </c>
      <c r="C390" s="1" t="s">
        <v>37</v>
      </c>
      <c r="D390" s="1" t="s">
        <v>211</v>
      </c>
      <c r="E390" s="1" t="s">
        <v>35</v>
      </c>
      <c r="F390" s="1" t="s">
        <v>637</v>
      </c>
      <c r="G390" s="1" t="s">
        <v>636</v>
      </c>
      <c r="H390" s="1" t="s">
        <v>130</v>
      </c>
      <c r="I390" s="1" t="s">
        <v>3632</v>
      </c>
      <c r="J390" s="1" t="s">
        <v>316</v>
      </c>
      <c r="K390" s="1" t="s">
        <v>3630</v>
      </c>
      <c r="P390" s="1" t="s">
        <v>3631</v>
      </c>
      <c r="Q390" s="1" t="s">
        <v>780</v>
      </c>
      <c r="R390" s="1" t="s">
        <v>941</v>
      </c>
      <c r="S390" s="10" t="s">
        <v>3431</v>
      </c>
      <c r="T390" s="1" t="s">
        <v>3430</v>
      </c>
      <c r="U390" s="1">
        <v>2</v>
      </c>
      <c r="V390" s="1" t="s">
        <v>3267</v>
      </c>
      <c r="W390" s="1" t="s">
        <v>3630</v>
      </c>
      <c r="X390" s="1" t="s">
        <v>319</v>
      </c>
      <c r="Y390" s="3">
        <v>44827</v>
      </c>
      <c r="Z390" s="1">
        <v>2022</v>
      </c>
      <c r="AA390" s="2">
        <v>992376.6</v>
      </c>
      <c r="AB390" s="2"/>
      <c r="AC390" s="2">
        <v>56000</v>
      </c>
      <c r="AD390" s="1">
        <v>4</v>
      </c>
      <c r="AG390" s="1" t="s">
        <v>106</v>
      </c>
      <c r="AH390" s="1" t="s">
        <v>1018</v>
      </c>
      <c r="AI390" s="2">
        <v>0</v>
      </c>
      <c r="AK390" s="1"/>
    </row>
    <row r="391" spans="1:38" ht="15" customHeight="1" x14ac:dyDescent="0.2">
      <c r="A391" s="1" t="s">
        <v>19</v>
      </c>
      <c r="B391" s="5" t="s">
        <v>18</v>
      </c>
      <c r="C391" s="1" t="s">
        <v>37</v>
      </c>
      <c r="D391" s="1" t="s">
        <v>211</v>
      </c>
      <c r="E391" s="1" t="s">
        <v>35</v>
      </c>
      <c r="F391" s="1" t="s">
        <v>260</v>
      </c>
      <c r="G391" s="1" t="s">
        <v>259</v>
      </c>
      <c r="H391" s="1" t="s">
        <v>130</v>
      </c>
      <c r="I391" s="1" t="s">
        <v>3629</v>
      </c>
      <c r="J391" s="1" t="s">
        <v>316</v>
      </c>
      <c r="K391" s="1" t="s">
        <v>3625</v>
      </c>
      <c r="L391" s="1" t="s">
        <v>3628</v>
      </c>
      <c r="M391" s="1" t="s">
        <v>3627</v>
      </c>
      <c r="P391" s="1" t="s">
        <v>3626</v>
      </c>
      <c r="Q391" s="1" t="s">
        <v>780</v>
      </c>
      <c r="R391" s="1" t="s">
        <v>941</v>
      </c>
      <c r="S391" s="1" t="s">
        <v>3325</v>
      </c>
      <c r="T391" s="1" t="s">
        <v>3324</v>
      </c>
      <c r="U391" s="1">
        <v>1</v>
      </c>
      <c r="V391" s="1" t="s">
        <v>3267</v>
      </c>
      <c r="W391" s="1" t="s">
        <v>3625</v>
      </c>
      <c r="X391" s="1" t="s">
        <v>667</v>
      </c>
      <c r="Y391" s="3">
        <v>44127</v>
      </c>
      <c r="Z391" s="1">
        <v>2020</v>
      </c>
      <c r="AA391" s="2">
        <v>39355.1</v>
      </c>
      <c r="AB391" s="2"/>
      <c r="AC391" s="2">
        <v>11806.53</v>
      </c>
      <c r="AD391" s="1">
        <v>2</v>
      </c>
      <c r="AG391" s="1" t="s">
        <v>21</v>
      </c>
      <c r="AI391" s="2">
        <v>11806.53</v>
      </c>
      <c r="AK391" s="1" t="s">
        <v>1408</v>
      </c>
    </row>
    <row r="392" spans="1:38" ht="15" customHeight="1" x14ac:dyDescent="0.2">
      <c r="A392" s="1" t="s">
        <v>19</v>
      </c>
      <c r="B392" s="5" t="s">
        <v>109</v>
      </c>
      <c r="C392" s="1" t="s">
        <v>37</v>
      </c>
      <c r="D392" s="1" t="s">
        <v>211</v>
      </c>
      <c r="E392" s="1" t="s">
        <v>35</v>
      </c>
      <c r="F392" s="1" t="s">
        <v>260</v>
      </c>
      <c r="G392" s="1" t="s">
        <v>259</v>
      </c>
      <c r="H392" s="1" t="s">
        <v>130</v>
      </c>
      <c r="I392" s="1" t="s">
        <v>3624</v>
      </c>
      <c r="J392" s="1" t="s">
        <v>316</v>
      </c>
      <c r="K392" s="1" t="s">
        <v>3622</v>
      </c>
      <c r="P392" s="1" t="s">
        <v>3623</v>
      </c>
      <c r="Q392" s="1" t="s">
        <v>780</v>
      </c>
      <c r="R392" s="1" t="s">
        <v>941</v>
      </c>
      <c r="S392" s="1" t="s">
        <v>3302</v>
      </c>
      <c r="T392" s="1" t="s">
        <v>3301</v>
      </c>
      <c r="U392" s="1">
        <v>1</v>
      </c>
      <c r="V392" s="1" t="s">
        <v>3267</v>
      </c>
      <c r="W392" s="1" t="s">
        <v>3622</v>
      </c>
      <c r="X392" s="1" t="s">
        <v>319</v>
      </c>
      <c r="Y392" s="3">
        <v>45069</v>
      </c>
      <c r="Z392" s="1">
        <v>2023</v>
      </c>
      <c r="AA392" s="2">
        <v>207222.76</v>
      </c>
      <c r="AB392" s="2"/>
      <c r="AC392" s="2">
        <v>62166.83</v>
      </c>
      <c r="AD392" s="1">
        <v>6</v>
      </c>
      <c r="AG392" s="1" t="s">
        <v>106</v>
      </c>
      <c r="AH392" s="1" t="s">
        <v>1325</v>
      </c>
      <c r="AI392" s="2">
        <v>0</v>
      </c>
      <c r="AK392" s="1"/>
    </row>
    <row r="393" spans="1:38" ht="15" customHeight="1" x14ac:dyDescent="0.2">
      <c r="A393" s="1" t="s">
        <v>19</v>
      </c>
      <c r="B393" s="5" t="s">
        <v>109</v>
      </c>
      <c r="C393" s="1" t="s">
        <v>37</v>
      </c>
      <c r="D393" s="1" t="s">
        <v>211</v>
      </c>
      <c r="E393" s="1" t="s">
        <v>35</v>
      </c>
      <c r="F393" s="1" t="s">
        <v>260</v>
      </c>
      <c r="G393" s="1" t="s">
        <v>259</v>
      </c>
      <c r="H393" s="1" t="s">
        <v>130</v>
      </c>
      <c r="I393" s="1" t="s">
        <v>3621</v>
      </c>
      <c r="J393" s="1" t="s">
        <v>316</v>
      </c>
      <c r="K393" s="1" t="s">
        <v>3619</v>
      </c>
      <c r="P393" s="1" t="s">
        <v>3620</v>
      </c>
      <c r="Q393" s="1" t="s">
        <v>780</v>
      </c>
      <c r="R393" s="1" t="s">
        <v>941</v>
      </c>
      <c r="S393" s="1" t="s">
        <v>3342</v>
      </c>
      <c r="T393" s="1" t="s">
        <v>3341</v>
      </c>
      <c r="U393" s="1">
        <v>1</v>
      </c>
      <c r="V393" s="1" t="s">
        <v>3267</v>
      </c>
      <c r="W393" s="1" t="s">
        <v>3619</v>
      </c>
      <c r="X393" s="1" t="s">
        <v>319</v>
      </c>
      <c r="Y393" s="3">
        <v>45069</v>
      </c>
      <c r="Z393" s="1">
        <v>2023</v>
      </c>
      <c r="AA393" s="2">
        <v>92823.5</v>
      </c>
      <c r="AB393" s="2"/>
      <c r="AC393" s="2">
        <v>34847.050000000003</v>
      </c>
      <c r="AD393" s="1">
        <v>1</v>
      </c>
      <c r="AG393" s="1" t="s">
        <v>106</v>
      </c>
      <c r="AH393" s="1" t="s">
        <v>1325</v>
      </c>
      <c r="AI393" s="2">
        <v>0</v>
      </c>
      <c r="AK393" s="1"/>
    </row>
    <row r="394" spans="1:38" ht="15" customHeight="1" x14ac:dyDescent="0.25">
      <c r="A394" s="1" t="s">
        <v>19</v>
      </c>
      <c r="B394" s="5" t="s">
        <v>109</v>
      </c>
      <c r="C394" s="1" t="s">
        <v>37</v>
      </c>
      <c r="D394" s="1" t="s">
        <v>211</v>
      </c>
      <c r="E394" s="1" t="s">
        <v>35</v>
      </c>
      <c r="F394" s="1" t="s">
        <v>260</v>
      </c>
      <c r="G394" s="1" t="s">
        <v>259</v>
      </c>
      <c r="H394" s="1" t="s">
        <v>130</v>
      </c>
      <c r="I394" s="1" t="s">
        <v>3618</v>
      </c>
      <c r="J394" s="1" t="s">
        <v>316</v>
      </c>
      <c r="K394" s="1" t="s">
        <v>3616</v>
      </c>
      <c r="P394" s="1" t="s">
        <v>3617</v>
      </c>
      <c r="Q394" s="1" t="s">
        <v>780</v>
      </c>
      <c r="R394" s="1" t="s">
        <v>941</v>
      </c>
      <c r="S394" s="10" t="s">
        <v>3431</v>
      </c>
      <c r="T394" s="1" t="s">
        <v>3430</v>
      </c>
      <c r="U394" s="1">
        <v>2</v>
      </c>
      <c r="V394" s="1" t="s">
        <v>3267</v>
      </c>
      <c r="W394" s="1" t="s">
        <v>3616</v>
      </c>
      <c r="X394" s="1" t="s">
        <v>319</v>
      </c>
      <c r="Y394" s="3">
        <v>45098</v>
      </c>
      <c r="Z394" s="1">
        <v>2023</v>
      </c>
      <c r="AA394" s="2">
        <v>154000</v>
      </c>
      <c r="AB394" s="2"/>
      <c r="AC394" s="2">
        <v>23100</v>
      </c>
      <c r="AD394" s="1">
        <v>4</v>
      </c>
      <c r="AG394" s="1" t="s">
        <v>106</v>
      </c>
      <c r="AH394" s="1" t="s">
        <v>1325</v>
      </c>
      <c r="AI394" s="2">
        <v>0</v>
      </c>
      <c r="AK394" s="1"/>
      <c r="AL394" s="1" t="s">
        <v>3615</v>
      </c>
    </row>
    <row r="395" spans="1:38" ht="15" customHeight="1" x14ac:dyDescent="0.2">
      <c r="A395" s="1" t="s">
        <v>19</v>
      </c>
      <c r="B395" s="5" t="s">
        <v>109</v>
      </c>
      <c r="C395" s="1" t="s">
        <v>37</v>
      </c>
      <c r="D395" s="1" t="s">
        <v>211</v>
      </c>
      <c r="E395" s="1" t="s">
        <v>35</v>
      </c>
      <c r="F395" s="1" t="s">
        <v>260</v>
      </c>
      <c r="G395" s="1" t="s">
        <v>259</v>
      </c>
      <c r="H395" s="1" t="s">
        <v>130</v>
      </c>
      <c r="I395" s="1" t="s">
        <v>3614</v>
      </c>
      <c r="J395" s="1" t="s">
        <v>316</v>
      </c>
      <c r="K395" s="1" t="s">
        <v>3612</v>
      </c>
      <c r="P395" s="1" t="s">
        <v>3613</v>
      </c>
      <c r="Q395" s="1" t="s">
        <v>780</v>
      </c>
      <c r="R395" s="1" t="s">
        <v>941</v>
      </c>
      <c r="S395" s="1" t="s">
        <v>3424</v>
      </c>
      <c r="T395" s="1" t="s">
        <v>3423</v>
      </c>
      <c r="U395" s="1">
        <v>2</v>
      </c>
      <c r="V395" s="1" t="s">
        <v>3267</v>
      </c>
      <c r="W395" s="1" t="s">
        <v>3612</v>
      </c>
      <c r="X395" s="1" t="s">
        <v>667</v>
      </c>
      <c r="Y395" s="3">
        <v>45132</v>
      </c>
      <c r="Z395" s="1">
        <v>2023</v>
      </c>
      <c r="AA395" s="2">
        <v>467400.03</v>
      </c>
      <c r="AB395" s="2"/>
      <c r="AC395" s="2">
        <v>84110</v>
      </c>
      <c r="AD395" s="1">
        <v>6</v>
      </c>
      <c r="AE395" s="1">
        <v>1</v>
      </c>
      <c r="AG395" s="1" t="s">
        <v>106</v>
      </c>
      <c r="AH395" s="1" t="s">
        <v>105</v>
      </c>
      <c r="AI395" s="2">
        <v>0</v>
      </c>
      <c r="AK395" s="1"/>
      <c r="AL395" s="1" t="s">
        <v>3611</v>
      </c>
    </row>
    <row r="396" spans="1:38" ht="15" customHeight="1" x14ac:dyDescent="0.2">
      <c r="A396" s="1" t="s">
        <v>19</v>
      </c>
      <c r="B396" s="5" t="s">
        <v>109</v>
      </c>
      <c r="C396" s="1" t="s">
        <v>37</v>
      </c>
      <c r="D396" s="1" t="s">
        <v>211</v>
      </c>
      <c r="E396" s="1" t="s">
        <v>35</v>
      </c>
      <c r="F396" s="1" t="s">
        <v>260</v>
      </c>
      <c r="G396" s="1" t="s">
        <v>259</v>
      </c>
      <c r="H396" s="1" t="s">
        <v>130</v>
      </c>
      <c r="I396" s="1" t="s">
        <v>3610</v>
      </c>
      <c r="J396" s="1" t="s">
        <v>316</v>
      </c>
      <c r="K396" s="1" t="s">
        <v>3608</v>
      </c>
      <c r="P396" s="1" t="s">
        <v>3609</v>
      </c>
      <c r="Q396" s="1" t="s">
        <v>780</v>
      </c>
      <c r="R396" s="1" t="s">
        <v>941</v>
      </c>
      <c r="S396" s="1" t="s">
        <v>3325</v>
      </c>
      <c r="T396" s="1" t="s">
        <v>3324</v>
      </c>
      <c r="U396" s="1">
        <v>1</v>
      </c>
      <c r="V396" s="1" t="s">
        <v>3267</v>
      </c>
      <c r="W396" s="1" t="s">
        <v>3608</v>
      </c>
      <c r="X396" s="1" t="s">
        <v>327</v>
      </c>
      <c r="Y396" s="3">
        <v>45162</v>
      </c>
      <c r="Z396" s="1">
        <v>2023</v>
      </c>
      <c r="AA396" s="2">
        <v>277207.64</v>
      </c>
      <c r="AB396" s="2"/>
      <c r="AC396" s="2">
        <v>97162.29</v>
      </c>
      <c r="AD396" s="1">
        <v>3</v>
      </c>
      <c r="AE396" s="1">
        <v>2</v>
      </c>
      <c r="AG396" s="1" t="s">
        <v>106</v>
      </c>
      <c r="AH396" s="1" t="s">
        <v>1325</v>
      </c>
      <c r="AI396" s="2">
        <v>0</v>
      </c>
      <c r="AK396" s="1"/>
      <c r="AL396" s="7" t="s">
        <v>3607</v>
      </c>
    </row>
    <row r="397" spans="1:38" ht="15" customHeight="1" x14ac:dyDescent="0.2">
      <c r="A397" s="1" t="s">
        <v>19</v>
      </c>
      <c r="B397" s="5" t="s">
        <v>109</v>
      </c>
      <c r="C397" s="1" t="s">
        <v>37</v>
      </c>
      <c r="D397" s="1" t="s">
        <v>211</v>
      </c>
      <c r="E397" s="1" t="s">
        <v>35</v>
      </c>
      <c r="F397" s="1" t="s">
        <v>260</v>
      </c>
      <c r="G397" s="1" t="s">
        <v>259</v>
      </c>
      <c r="H397" s="1" t="s">
        <v>130</v>
      </c>
      <c r="I397" s="1" t="s">
        <v>3606</v>
      </c>
      <c r="J397" s="1" t="s">
        <v>316</v>
      </c>
      <c r="K397" s="1" t="s">
        <v>3604</v>
      </c>
      <c r="P397" s="1" t="s">
        <v>3605</v>
      </c>
      <c r="Q397" s="1" t="s">
        <v>780</v>
      </c>
      <c r="R397" s="1" t="s">
        <v>941</v>
      </c>
      <c r="S397" s="1" t="s">
        <v>3269</v>
      </c>
      <c r="T397" s="1" t="s">
        <v>3268</v>
      </c>
      <c r="U397" s="1">
        <v>1</v>
      </c>
      <c r="V397" s="1" t="s">
        <v>3267</v>
      </c>
      <c r="W397" s="1" t="s">
        <v>3604</v>
      </c>
      <c r="X397" s="1" t="s">
        <v>304</v>
      </c>
      <c r="Y397" s="3">
        <v>45069</v>
      </c>
      <c r="Z397" s="1">
        <v>2023</v>
      </c>
      <c r="AA397" s="2">
        <v>54108.77</v>
      </c>
      <c r="AB397" s="2"/>
      <c r="AC397" s="2">
        <v>16232.63</v>
      </c>
      <c r="AD397" s="1">
        <v>1</v>
      </c>
      <c r="AG397" s="1" t="s">
        <v>106</v>
      </c>
      <c r="AH397" s="1" t="s">
        <v>1325</v>
      </c>
      <c r="AI397" s="2">
        <v>0</v>
      </c>
      <c r="AK397" s="1"/>
    </row>
    <row r="398" spans="1:38" ht="15" customHeight="1" x14ac:dyDescent="0.2">
      <c r="A398" s="1" t="s">
        <v>19</v>
      </c>
      <c r="B398" s="5" t="s">
        <v>18</v>
      </c>
      <c r="C398" s="1" t="s">
        <v>37</v>
      </c>
      <c r="D398" s="1" t="s">
        <v>211</v>
      </c>
      <c r="E398" s="1" t="s">
        <v>35</v>
      </c>
      <c r="F398" s="1" t="s">
        <v>260</v>
      </c>
      <c r="G398" s="1" t="s">
        <v>259</v>
      </c>
      <c r="H398" s="1" t="s">
        <v>130</v>
      </c>
      <c r="I398" s="1" t="s">
        <v>3603</v>
      </c>
      <c r="J398" s="1" t="s">
        <v>316</v>
      </c>
      <c r="K398" s="1" t="s">
        <v>3600</v>
      </c>
      <c r="L398" s="1" t="s">
        <v>3602</v>
      </c>
      <c r="M398" s="1" t="s">
        <v>3572</v>
      </c>
      <c r="P398" s="1" t="s">
        <v>3601</v>
      </c>
      <c r="Q398" s="1" t="s">
        <v>780</v>
      </c>
      <c r="R398" s="1" t="s">
        <v>941</v>
      </c>
      <c r="S398" s="1" t="s">
        <v>3424</v>
      </c>
      <c r="T398" s="1" t="s">
        <v>3423</v>
      </c>
      <c r="U398" s="1">
        <v>2</v>
      </c>
      <c r="V398" s="1" t="s">
        <v>3267</v>
      </c>
      <c r="W398" s="1" t="s">
        <v>3600</v>
      </c>
      <c r="X398" s="1" t="s">
        <v>327</v>
      </c>
      <c r="Y398" s="3">
        <v>43825</v>
      </c>
      <c r="Z398" s="1">
        <v>2019</v>
      </c>
      <c r="AA398" s="2">
        <v>51392.2</v>
      </c>
      <c r="AB398" s="2"/>
      <c r="AC398" s="2">
        <v>7708.83</v>
      </c>
      <c r="AD398" s="1">
        <v>1</v>
      </c>
      <c r="AG398" s="1" t="s">
        <v>21</v>
      </c>
      <c r="AI398" s="2">
        <v>7708.83</v>
      </c>
      <c r="AK398" s="1"/>
      <c r="AL398" s="1" t="s">
        <v>3599</v>
      </c>
    </row>
    <row r="399" spans="1:38" ht="15" customHeight="1" x14ac:dyDescent="0.2">
      <c r="A399" s="1" t="s">
        <v>19</v>
      </c>
      <c r="B399" s="5" t="s">
        <v>109</v>
      </c>
      <c r="C399" s="1" t="s">
        <v>37</v>
      </c>
      <c r="D399" s="1" t="s">
        <v>211</v>
      </c>
      <c r="E399" s="1" t="s">
        <v>35</v>
      </c>
      <c r="F399" s="1" t="s">
        <v>260</v>
      </c>
      <c r="G399" s="1" t="s">
        <v>259</v>
      </c>
      <c r="H399" s="1" t="s">
        <v>130</v>
      </c>
      <c r="I399" s="1" t="s">
        <v>3598</v>
      </c>
      <c r="J399" s="1" t="s">
        <v>316</v>
      </c>
      <c r="K399" s="1" t="s">
        <v>3596</v>
      </c>
      <c r="P399" s="1" t="s">
        <v>3597</v>
      </c>
      <c r="Q399" s="1" t="s">
        <v>780</v>
      </c>
      <c r="R399" s="1" t="s">
        <v>941</v>
      </c>
      <c r="S399" s="1" t="s">
        <v>3342</v>
      </c>
      <c r="T399" s="1" t="s">
        <v>3341</v>
      </c>
      <c r="U399" s="1">
        <v>1</v>
      </c>
      <c r="V399" s="1" t="s">
        <v>3267</v>
      </c>
      <c r="W399" s="1" t="s">
        <v>3596</v>
      </c>
      <c r="X399" s="1" t="s">
        <v>319</v>
      </c>
      <c r="Y399" s="3">
        <v>45069</v>
      </c>
      <c r="Z399" s="1">
        <v>2023</v>
      </c>
      <c r="AA399" s="2">
        <v>231123</v>
      </c>
      <c r="AB399" s="2"/>
      <c r="AC399" s="2">
        <v>69336.899999999994</v>
      </c>
      <c r="AD399" s="1">
        <v>2</v>
      </c>
      <c r="AG399" s="1" t="s">
        <v>106</v>
      </c>
      <c r="AH399" s="1" t="s">
        <v>1325</v>
      </c>
      <c r="AI399" s="2">
        <v>0</v>
      </c>
      <c r="AK399" s="1"/>
      <c r="AL399" s="1" t="s">
        <v>3595</v>
      </c>
    </row>
    <row r="400" spans="1:38" ht="15" customHeight="1" x14ac:dyDescent="0.2">
      <c r="A400" s="1" t="s">
        <v>19</v>
      </c>
      <c r="B400" s="5" t="s">
        <v>109</v>
      </c>
      <c r="C400" s="1" t="s">
        <v>37</v>
      </c>
      <c r="D400" s="1" t="s">
        <v>211</v>
      </c>
      <c r="E400" s="1" t="s">
        <v>35</v>
      </c>
      <c r="F400" s="1" t="s">
        <v>260</v>
      </c>
      <c r="G400" s="1" t="s">
        <v>259</v>
      </c>
      <c r="H400" s="1" t="s">
        <v>130</v>
      </c>
      <c r="I400" s="1" t="s">
        <v>3594</v>
      </c>
      <c r="J400" s="1" t="s">
        <v>316</v>
      </c>
      <c r="K400" s="1" t="s">
        <v>3592</v>
      </c>
      <c r="P400" s="1" t="s">
        <v>3593</v>
      </c>
      <c r="Q400" s="1" t="s">
        <v>780</v>
      </c>
      <c r="R400" s="1" t="s">
        <v>941</v>
      </c>
      <c r="S400" s="1" t="s">
        <v>3302</v>
      </c>
      <c r="T400" s="1" t="s">
        <v>3301</v>
      </c>
      <c r="U400" s="1">
        <v>1</v>
      </c>
      <c r="V400" s="1" t="s">
        <v>3267</v>
      </c>
      <c r="W400" s="1" t="s">
        <v>3592</v>
      </c>
      <c r="X400" s="1" t="s">
        <v>319</v>
      </c>
      <c r="Y400" s="3">
        <v>43825</v>
      </c>
      <c r="Z400" s="1">
        <v>2019</v>
      </c>
      <c r="AA400" s="2">
        <v>138145.70000000001</v>
      </c>
      <c r="AB400" s="2"/>
      <c r="AC400" s="2">
        <v>55443.71</v>
      </c>
      <c r="AD400" s="1">
        <v>2</v>
      </c>
      <c r="AE400" s="1">
        <v>1</v>
      </c>
      <c r="AG400" s="1" t="s">
        <v>106</v>
      </c>
      <c r="AH400" s="1" t="s">
        <v>1325</v>
      </c>
      <c r="AI400" s="2">
        <v>0</v>
      </c>
      <c r="AK400" s="1"/>
    </row>
    <row r="401" spans="1:37" ht="15" customHeight="1" x14ac:dyDescent="0.2">
      <c r="A401" s="1" t="s">
        <v>19</v>
      </c>
      <c r="B401" s="5" t="s">
        <v>109</v>
      </c>
      <c r="C401" s="1" t="s">
        <v>37</v>
      </c>
      <c r="D401" s="1" t="s">
        <v>211</v>
      </c>
      <c r="E401" s="1" t="s">
        <v>35</v>
      </c>
      <c r="F401" s="1" t="s">
        <v>260</v>
      </c>
      <c r="G401" s="1" t="s">
        <v>259</v>
      </c>
      <c r="H401" s="1" t="s">
        <v>130</v>
      </c>
      <c r="I401" s="1" t="s">
        <v>3591</v>
      </c>
      <c r="J401" s="1" t="s">
        <v>316</v>
      </c>
      <c r="K401" s="1" t="s">
        <v>3590</v>
      </c>
      <c r="P401" s="1" t="s">
        <v>3588</v>
      </c>
      <c r="Q401" s="1" t="s">
        <v>780</v>
      </c>
      <c r="R401" s="1" t="s">
        <v>941</v>
      </c>
      <c r="S401" s="1" t="s">
        <v>3351</v>
      </c>
      <c r="T401" s="1" t="s">
        <v>3350</v>
      </c>
      <c r="U401" s="1">
        <v>1</v>
      </c>
      <c r="V401" s="1" t="s">
        <v>3267</v>
      </c>
      <c r="W401" s="1" t="s">
        <v>3590</v>
      </c>
      <c r="X401" s="1" t="s">
        <v>319</v>
      </c>
      <c r="Y401" s="3">
        <v>45098</v>
      </c>
      <c r="Z401" s="1">
        <v>2023</v>
      </c>
      <c r="AA401" s="2">
        <v>265742.32</v>
      </c>
      <c r="AB401" s="2"/>
      <c r="AC401" s="2">
        <v>65000</v>
      </c>
      <c r="AD401" s="1">
        <v>1</v>
      </c>
      <c r="AE401" s="1">
        <v>0.5</v>
      </c>
      <c r="AG401" s="1" t="s">
        <v>106</v>
      </c>
      <c r="AH401" s="1" t="s">
        <v>1325</v>
      </c>
      <c r="AI401" s="2">
        <v>0</v>
      </c>
      <c r="AK401" s="1" t="s">
        <v>1335</v>
      </c>
    </row>
    <row r="402" spans="1:37" ht="15" customHeight="1" x14ac:dyDescent="0.2">
      <c r="A402" s="1" t="s">
        <v>19</v>
      </c>
      <c r="B402" s="5" t="s">
        <v>109</v>
      </c>
      <c r="C402" s="1" t="s">
        <v>37</v>
      </c>
      <c r="D402" s="1" t="s">
        <v>211</v>
      </c>
      <c r="E402" s="1" t="s">
        <v>35</v>
      </c>
      <c r="F402" s="1" t="s">
        <v>260</v>
      </c>
      <c r="G402" s="1" t="s">
        <v>259</v>
      </c>
      <c r="H402" s="1" t="s">
        <v>130</v>
      </c>
      <c r="I402" s="1" t="s">
        <v>3589</v>
      </c>
      <c r="J402" s="1" t="s">
        <v>316</v>
      </c>
      <c r="K402" s="1" t="s">
        <v>3587</v>
      </c>
      <c r="P402" s="1" t="s">
        <v>3588</v>
      </c>
      <c r="Q402" s="1" t="s">
        <v>780</v>
      </c>
      <c r="R402" s="1" t="s">
        <v>941</v>
      </c>
      <c r="S402" s="1" t="s">
        <v>3351</v>
      </c>
      <c r="T402" s="1" t="s">
        <v>3350</v>
      </c>
      <c r="U402" s="1">
        <v>1</v>
      </c>
      <c r="V402" s="1" t="s">
        <v>3267</v>
      </c>
      <c r="W402" s="1" t="s">
        <v>3587</v>
      </c>
      <c r="X402" s="1" t="s">
        <v>304</v>
      </c>
      <c r="Y402" s="3">
        <v>45069</v>
      </c>
      <c r="Z402" s="1">
        <v>2023</v>
      </c>
      <c r="AA402" s="2">
        <v>157344.67000000001</v>
      </c>
      <c r="AB402" s="2"/>
      <c r="AC402" s="2">
        <v>54203.4</v>
      </c>
      <c r="AD402" s="1">
        <v>1</v>
      </c>
      <c r="AE402" s="1">
        <v>1</v>
      </c>
      <c r="AG402" s="1" t="s">
        <v>106</v>
      </c>
      <c r="AH402" s="1" t="s">
        <v>1325</v>
      </c>
      <c r="AI402" s="2">
        <v>0</v>
      </c>
      <c r="AK402" s="1"/>
    </row>
    <row r="403" spans="1:37" ht="15" customHeight="1" x14ac:dyDescent="0.25">
      <c r="A403" s="1" t="s">
        <v>19</v>
      </c>
      <c r="B403" s="5" t="s">
        <v>18</v>
      </c>
      <c r="C403" s="1" t="s">
        <v>37</v>
      </c>
      <c r="D403" s="1" t="s">
        <v>211</v>
      </c>
      <c r="E403" s="1" t="s">
        <v>35</v>
      </c>
      <c r="F403" s="1" t="s">
        <v>637</v>
      </c>
      <c r="G403" s="1" t="s">
        <v>636</v>
      </c>
      <c r="H403" s="1" t="s">
        <v>130</v>
      </c>
      <c r="I403" s="1" t="s">
        <v>3586</v>
      </c>
      <c r="J403" s="1">
        <v>2021</v>
      </c>
      <c r="K403" s="1" t="s">
        <v>3585</v>
      </c>
      <c r="L403" s="1" t="s">
        <v>3584</v>
      </c>
      <c r="M403" s="1" t="s">
        <v>3583</v>
      </c>
      <c r="P403" s="1" t="s">
        <v>3582</v>
      </c>
      <c r="Q403" s="1" t="s">
        <v>780</v>
      </c>
      <c r="R403" s="1" t="s">
        <v>941</v>
      </c>
      <c r="S403" s="10" t="s">
        <v>3431</v>
      </c>
      <c r="T403" s="1" t="s">
        <v>3430</v>
      </c>
      <c r="U403" s="1">
        <v>2</v>
      </c>
      <c r="V403" s="1" t="s">
        <v>3267</v>
      </c>
      <c r="W403" s="1" t="s">
        <v>3581</v>
      </c>
      <c r="X403" s="1" t="s">
        <v>667</v>
      </c>
      <c r="Y403" s="3">
        <v>44557</v>
      </c>
      <c r="Z403" s="1">
        <v>2021</v>
      </c>
      <c r="AA403" s="2">
        <v>4303486.62</v>
      </c>
      <c r="AB403" s="2"/>
      <c r="AC403" s="2">
        <v>645522.99300000013</v>
      </c>
      <c r="AD403" s="1">
        <v>30</v>
      </c>
      <c r="AE403" s="1">
        <v>30</v>
      </c>
      <c r="AG403" s="1" t="s">
        <v>21</v>
      </c>
      <c r="AI403" s="2">
        <v>227985</v>
      </c>
      <c r="AK403" s="1"/>
    </row>
    <row r="404" spans="1:37" ht="15" customHeight="1" x14ac:dyDescent="0.2">
      <c r="A404" s="1" t="s">
        <v>19</v>
      </c>
      <c r="B404" s="5" t="s">
        <v>109</v>
      </c>
      <c r="C404" s="1" t="s">
        <v>37</v>
      </c>
      <c r="D404" s="1" t="s">
        <v>211</v>
      </c>
      <c r="E404" s="1" t="s">
        <v>35</v>
      </c>
      <c r="F404" s="1" t="s">
        <v>637</v>
      </c>
      <c r="G404" s="1" t="s">
        <v>636</v>
      </c>
      <c r="H404" s="1" t="s">
        <v>130</v>
      </c>
      <c r="I404" s="1" t="s">
        <v>3580</v>
      </c>
      <c r="J404" s="1">
        <v>2021</v>
      </c>
      <c r="K404" s="1" t="s">
        <v>3578</v>
      </c>
      <c r="P404" s="1" t="s">
        <v>3579</v>
      </c>
      <c r="Q404" s="1" t="s">
        <v>780</v>
      </c>
      <c r="R404" s="1" t="s">
        <v>941</v>
      </c>
      <c r="S404" s="1" t="s">
        <v>3269</v>
      </c>
      <c r="T404" s="1" t="s">
        <v>3268</v>
      </c>
      <c r="U404" s="1">
        <v>1</v>
      </c>
      <c r="V404" s="1" t="s">
        <v>3267</v>
      </c>
      <c r="W404" s="1" t="s">
        <v>3578</v>
      </c>
      <c r="X404" s="1" t="s">
        <v>667</v>
      </c>
      <c r="Y404" s="3">
        <v>44893</v>
      </c>
      <c r="Z404" s="1">
        <v>2022</v>
      </c>
      <c r="AA404" s="2">
        <v>2359778.8150000004</v>
      </c>
      <c r="AB404" s="2"/>
      <c r="AC404" s="2">
        <v>471955.76300000009</v>
      </c>
      <c r="AD404" s="1">
        <v>20</v>
      </c>
      <c r="AE404" s="1">
        <v>20</v>
      </c>
      <c r="AG404" s="1" t="s">
        <v>106</v>
      </c>
      <c r="AH404" s="1" t="s">
        <v>105</v>
      </c>
      <c r="AI404" s="2">
        <v>0</v>
      </c>
      <c r="AK404" s="1"/>
    </row>
    <row r="405" spans="1:37" ht="15" customHeight="1" x14ac:dyDescent="0.2">
      <c r="A405" s="1" t="s">
        <v>19</v>
      </c>
      <c r="B405" s="5" t="s">
        <v>109</v>
      </c>
      <c r="C405" s="1" t="s">
        <v>37</v>
      </c>
      <c r="D405" s="1" t="s">
        <v>211</v>
      </c>
      <c r="E405" s="1" t="s">
        <v>35</v>
      </c>
      <c r="F405" s="1" t="s">
        <v>637</v>
      </c>
      <c r="G405" s="1" t="s">
        <v>636</v>
      </c>
      <c r="H405" s="1" t="s">
        <v>130</v>
      </c>
      <c r="I405" s="1" t="s">
        <v>3577</v>
      </c>
      <c r="J405" s="1">
        <v>2021</v>
      </c>
      <c r="K405" s="1" t="s">
        <v>3575</v>
      </c>
      <c r="P405" s="1" t="s">
        <v>3576</v>
      </c>
      <c r="Q405" s="1" t="s">
        <v>780</v>
      </c>
      <c r="R405" s="1" t="s">
        <v>941</v>
      </c>
      <c r="S405" s="1" t="s">
        <v>3325</v>
      </c>
      <c r="T405" s="1" t="s">
        <v>3324</v>
      </c>
      <c r="U405" s="1">
        <v>1</v>
      </c>
      <c r="V405" s="1" t="s">
        <v>3267</v>
      </c>
      <c r="W405" s="1" t="s">
        <v>3575</v>
      </c>
      <c r="X405" s="1" t="s">
        <v>693</v>
      </c>
      <c r="Y405" s="3">
        <v>44557</v>
      </c>
      <c r="Z405" s="1">
        <v>2021</v>
      </c>
      <c r="AA405" s="2">
        <v>738325.31</v>
      </c>
      <c r="AB405" s="2"/>
      <c r="AC405" s="2">
        <v>221497.59300000005</v>
      </c>
      <c r="AD405" s="1">
        <v>16</v>
      </c>
      <c r="AE405" s="1">
        <v>4</v>
      </c>
      <c r="AG405" s="1" t="s">
        <v>106</v>
      </c>
      <c r="AH405" s="1" t="s">
        <v>1018</v>
      </c>
      <c r="AI405" s="2">
        <v>0</v>
      </c>
      <c r="AK405" s="1"/>
    </row>
    <row r="406" spans="1:37" ht="15" customHeight="1" x14ac:dyDescent="0.2">
      <c r="A406" s="1" t="s">
        <v>19</v>
      </c>
      <c r="B406" s="5" t="s">
        <v>18</v>
      </c>
      <c r="C406" s="1" t="s">
        <v>37</v>
      </c>
      <c r="D406" s="1" t="s">
        <v>211</v>
      </c>
      <c r="E406" s="1" t="s">
        <v>35</v>
      </c>
      <c r="F406" s="1" t="s">
        <v>260</v>
      </c>
      <c r="G406" s="1" t="s">
        <v>259</v>
      </c>
      <c r="H406" s="1" t="s">
        <v>130</v>
      </c>
      <c r="I406" s="1" t="s">
        <v>3574</v>
      </c>
      <c r="J406" s="1">
        <v>2021</v>
      </c>
      <c r="K406" s="1" t="s">
        <v>3570</v>
      </c>
      <c r="L406" s="1" t="s">
        <v>3573</v>
      </c>
      <c r="M406" s="1" t="s">
        <v>3572</v>
      </c>
      <c r="P406" s="1" t="s">
        <v>3571</v>
      </c>
      <c r="Q406" s="1" t="s">
        <v>780</v>
      </c>
      <c r="R406" s="1" t="s">
        <v>941</v>
      </c>
      <c r="S406" s="1" t="s">
        <v>3424</v>
      </c>
      <c r="T406" s="1" t="s">
        <v>3423</v>
      </c>
      <c r="U406" s="1">
        <v>2</v>
      </c>
      <c r="V406" s="1" t="s">
        <v>3267</v>
      </c>
      <c r="W406" s="1" t="s">
        <v>3570</v>
      </c>
      <c r="X406" s="1" t="s">
        <v>529</v>
      </c>
      <c r="Y406" s="3">
        <v>44557</v>
      </c>
      <c r="Z406" s="1">
        <v>2021</v>
      </c>
      <c r="AA406" s="2">
        <v>76372.070000000007</v>
      </c>
      <c r="AB406" s="2"/>
      <c r="AC406" s="2">
        <v>11455.81</v>
      </c>
      <c r="AD406" s="1">
        <v>3</v>
      </c>
      <c r="AG406" s="1" t="s">
        <v>21</v>
      </c>
      <c r="AI406" s="2">
        <v>11455.81</v>
      </c>
      <c r="AK406" s="1"/>
    </row>
    <row r="407" spans="1:37" ht="15" customHeight="1" x14ac:dyDescent="0.2">
      <c r="A407" s="1" t="s">
        <v>19</v>
      </c>
      <c r="B407" s="5" t="s">
        <v>18</v>
      </c>
      <c r="C407" s="1" t="s">
        <v>37</v>
      </c>
      <c r="D407" s="1" t="s">
        <v>211</v>
      </c>
      <c r="E407" s="1" t="s">
        <v>35</v>
      </c>
      <c r="F407" s="1" t="s">
        <v>260</v>
      </c>
      <c r="G407" s="1" t="s">
        <v>259</v>
      </c>
      <c r="H407" s="1" t="s">
        <v>130</v>
      </c>
      <c r="I407" s="1" t="s">
        <v>3569</v>
      </c>
      <c r="J407" s="1">
        <v>2021</v>
      </c>
      <c r="K407" s="1" t="s">
        <v>3568</v>
      </c>
      <c r="L407" s="1" t="s">
        <v>3567</v>
      </c>
      <c r="M407" s="1" t="s">
        <v>3566</v>
      </c>
      <c r="P407" s="1" t="s">
        <v>3565</v>
      </c>
      <c r="Q407" s="1" t="s">
        <v>780</v>
      </c>
      <c r="R407" s="1" t="s">
        <v>941</v>
      </c>
      <c r="S407" s="1" t="s">
        <v>3424</v>
      </c>
      <c r="T407" s="1" t="s">
        <v>3423</v>
      </c>
      <c r="U407" s="1">
        <v>2</v>
      </c>
      <c r="V407" s="1" t="s">
        <v>3267</v>
      </c>
      <c r="W407" s="1" t="s">
        <v>3564</v>
      </c>
      <c r="X407" s="1" t="s">
        <v>667</v>
      </c>
      <c r="Y407" s="3">
        <v>44557</v>
      </c>
      <c r="Z407" s="1">
        <v>2021</v>
      </c>
      <c r="AA407" s="2">
        <v>98193.75</v>
      </c>
      <c r="AB407" s="2"/>
      <c r="AC407" s="2">
        <v>14729.06</v>
      </c>
      <c r="AD407" s="1">
        <v>2</v>
      </c>
      <c r="AE407" s="1">
        <v>2</v>
      </c>
      <c r="AG407" s="1" t="s">
        <v>21</v>
      </c>
      <c r="AI407" s="2">
        <v>14729.06</v>
      </c>
      <c r="AK407" s="1"/>
    </row>
    <row r="408" spans="1:37" ht="15" customHeight="1" x14ac:dyDescent="0.2">
      <c r="A408" s="1" t="s">
        <v>19</v>
      </c>
      <c r="B408" s="5" t="s">
        <v>18</v>
      </c>
      <c r="C408" s="1" t="s">
        <v>37</v>
      </c>
      <c r="D408" s="1" t="s">
        <v>211</v>
      </c>
      <c r="E408" s="1" t="s">
        <v>35</v>
      </c>
      <c r="F408" s="1" t="s">
        <v>260</v>
      </c>
      <c r="G408" s="1" t="s">
        <v>259</v>
      </c>
      <c r="H408" s="1" t="s">
        <v>130</v>
      </c>
      <c r="I408" s="1" t="s">
        <v>3563</v>
      </c>
      <c r="J408" s="1">
        <v>2021</v>
      </c>
      <c r="K408" s="1" t="s">
        <v>3560</v>
      </c>
      <c r="L408" s="1" t="s">
        <v>3562</v>
      </c>
      <c r="P408" s="1" t="s">
        <v>3561</v>
      </c>
      <c r="Q408" s="1" t="s">
        <v>780</v>
      </c>
      <c r="R408" s="1" t="s">
        <v>941</v>
      </c>
      <c r="S408" s="1" t="s">
        <v>3424</v>
      </c>
      <c r="T408" s="1" t="s">
        <v>3423</v>
      </c>
      <c r="U408" s="1">
        <v>2</v>
      </c>
      <c r="V408" s="1" t="s">
        <v>3267</v>
      </c>
      <c r="W408" s="1" t="s">
        <v>3560</v>
      </c>
      <c r="X408" s="1" t="s">
        <v>298</v>
      </c>
      <c r="Y408" s="3">
        <v>44557</v>
      </c>
      <c r="Z408" s="1">
        <v>2021</v>
      </c>
      <c r="AA408" s="2">
        <v>377232.84</v>
      </c>
      <c r="AB408" s="2"/>
      <c r="AC408" s="2">
        <v>37723.279999999999</v>
      </c>
      <c r="AD408" s="1">
        <v>5</v>
      </c>
      <c r="AE408" s="1">
        <v>3</v>
      </c>
      <c r="AG408" s="1" t="s">
        <v>21</v>
      </c>
      <c r="AI408" s="2">
        <v>37723.279999999999</v>
      </c>
      <c r="AK408" s="1"/>
    </row>
    <row r="409" spans="1:37" ht="15" customHeight="1" x14ac:dyDescent="0.2">
      <c r="A409" s="1" t="s">
        <v>19</v>
      </c>
      <c r="B409" s="5" t="s">
        <v>18</v>
      </c>
      <c r="C409" s="1" t="s">
        <v>37</v>
      </c>
      <c r="D409" s="1" t="s">
        <v>211</v>
      </c>
      <c r="E409" s="1" t="s">
        <v>35</v>
      </c>
      <c r="F409" s="1" t="s">
        <v>260</v>
      </c>
      <c r="G409" s="1" t="s">
        <v>259</v>
      </c>
      <c r="H409" s="1" t="s">
        <v>130</v>
      </c>
      <c r="I409" s="1" t="s">
        <v>3559</v>
      </c>
      <c r="J409" s="1">
        <v>2021</v>
      </c>
      <c r="K409" s="1" t="s">
        <v>3556</v>
      </c>
      <c r="L409" s="1" t="s">
        <v>3558</v>
      </c>
      <c r="P409" s="1" t="s">
        <v>3557</v>
      </c>
      <c r="Q409" s="1" t="s">
        <v>780</v>
      </c>
      <c r="R409" s="1" t="s">
        <v>941</v>
      </c>
      <c r="S409" s="1" t="s">
        <v>3302</v>
      </c>
      <c r="T409" s="1" t="s">
        <v>3301</v>
      </c>
      <c r="U409" s="1">
        <v>1</v>
      </c>
      <c r="V409" s="1" t="s">
        <v>3267</v>
      </c>
      <c r="W409" s="1" t="s">
        <v>3556</v>
      </c>
      <c r="X409" s="1" t="s">
        <v>298</v>
      </c>
      <c r="Y409" s="3">
        <v>44557</v>
      </c>
      <c r="Z409" s="1">
        <v>2021</v>
      </c>
      <c r="AA409" s="2">
        <v>267475.23</v>
      </c>
      <c r="AB409" s="2"/>
      <c r="AC409" s="2">
        <v>80242.570000000007</v>
      </c>
      <c r="AD409" s="1">
        <v>2</v>
      </c>
      <c r="AE409" s="1">
        <v>2</v>
      </c>
      <c r="AG409" s="1" t="s">
        <v>21</v>
      </c>
      <c r="AI409" s="2">
        <v>80242.570000000007</v>
      </c>
      <c r="AK409" s="1"/>
    </row>
    <row r="410" spans="1:37" ht="15" customHeight="1" x14ac:dyDescent="0.2">
      <c r="A410" s="1" t="s">
        <v>19</v>
      </c>
      <c r="B410" s="5" t="s">
        <v>18</v>
      </c>
      <c r="C410" s="1" t="s">
        <v>37</v>
      </c>
      <c r="D410" s="1" t="s">
        <v>63</v>
      </c>
      <c r="E410" s="1" t="s">
        <v>35</v>
      </c>
      <c r="G410" s="1" t="s">
        <v>288</v>
      </c>
      <c r="H410" s="1" t="s">
        <v>32</v>
      </c>
      <c r="I410" s="1" t="s">
        <v>3555</v>
      </c>
      <c r="J410" s="1">
        <v>2022</v>
      </c>
      <c r="K410" s="1" t="s">
        <v>3554</v>
      </c>
      <c r="L410" s="1" t="s">
        <v>3553</v>
      </c>
      <c r="M410" s="1" t="s">
        <v>3552</v>
      </c>
      <c r="P410" s="1" t="s">
        <v>3298</v>
      </c>
      <c r="Q410" s="1" t="s">
        <v>780</v>
      </c>
      <c r="R410" s="1" t="s">
        <v>941</v>
      </c>
      <c r="S410" s="1" t="s">
        <v>3297</v>
      </c>
      <c r="T410" s="1" t="s">
        <v>3296</v>
      </c>
      <c r="U410" s="1">
        <v>1</v>
      </c>
      <c r="V410" s="1" t="s">
        <v>3267</v>
      </c>
      <c r="W410" s="1" t="s">
        <v>3551</v>
      </c>
      <c r="Y410" s="3">
        <v>45112</v>
      </c>
      <c r="Z410" s="1">
        <v>2023</v>
      </c>
      <c r="AA410" s="2">
        <v>1496396.21</v>
      </c>
      <c r="AB410" s="2"/>
      <c r="AC410" s="2">
        <v>1496396.21</v>
      </c>
      <c r="AG410" s="1" t="s">
        <v>21</v>
      </c>
      <c r="AI410" s="2">
        <v>1496396.21</v>
      </c>
      <c r="AK410" s="1"/>
    </row>
    <row r="411" spans="1:37" ht="15" customHeight="1" x14ac:dyDescent="0.2">
      <c r="A411" s="1" t="s">
        <v>19</v>
      </c>
      <c r="B411" s="5" t="s">
        <v>18</v>
      </c>
      <c r="C411" s="1" t="s">
        <v>37</v>
      </c>
      <c r="D411" s="1" t="s">
        <v>63</v>
      </c>
      <c r="E411" s="1" t="s">
        <v>35</v>
      </c>
      <c r="G411" s="1" t="s">
        <v>288</v>
      </c>
      <c r="H411" s="1" t="s">
        <v>32</v>
      </c>
      <c r="I411" s="1" t="s">
        <v>3550</v>
      </c>
      <c r="J411" s="1">
        <v>2022</v>
      </c>
      <c r="K411" s="1" t="s">
        <v>3549</v>
      </c>
      <c r="L411" s="1" t="s">
        <v>3548</v>
      </c>
      <c r="M411" s="1" t="s">
        <v>3547</v>
      </c>
      <c r="P411" s="1" t="s">
        <v>3541</v>
      </c>
      <c r="Q411" s="1" t="s">
        <v>780</v>
      </c>
      <c r="R411" s="1" t="s">
        <v>941</v>
      </c>
      <c r="S411" s="1" t="s">
        <v>3269</v>
      </c>
      <c r="T411" s="1" t="s">
        <v>3268</v>
      </c>
      <c r="U411" s="1">
        <v>1</v>
      </c>
      <c r="V411" s="1" t="s">
        <v>3267</v>
      </c>
      <c r="W411" s="1" t="s">
        <v>3546</v>
      </c>
      <c r="Y411" s="3">
        <v>45112</v>
      </c>
      <c r="Z411" s="1">
        <v>2023</v>
      </c>
      <c r="AA411" s="2">
        <v>274534.84000000003</v>
      </c>
      <c r="AB411" s="2"/>
      <c r="AC411" s="2">
        <v>274534.84000000003</v>
      </c>
      <c r="AG411" s="1" t="s">
        <v>21</v>
      </c>
      <c r="AI411" s="2">
        <v>274534.84000000003</v>
      </c>
      <c r="AK411" s="1"/>
    </row>
    <row r="412" spans="1:37" ht="15" customHeight="1" x14ac:dyDescent="0.2">
      <c r="A412" s="1" t="s">
        <v>19</v>
      </c>
      <c r="B412" s="5" t="s">
        <v>18</v>
      </c>
      <c r="C412" s="1" t="s">
        <v>37</v>
      </c>
      <c r="D412" s="1" t="s">
        <v>63</v>
      </c>
      <c r="E412" s="1" t="s">
        <v>35</v>
      </c>
      <c r="G412" s="1" t="s">
        <v>288</v>
      </c>
      <c r="H412" s="1" t="s">
        <v>32</v>
      </c>
      <c r="I412" s="1" t="s">
        <v>3545</v>
      </c>
      <c r="J412" s="1">
        <v>2022</v>
      </c>
      <c r="K412" s="1" t="s">
        <v>3544</v>
      </c>
      <c r="L412" s="1" t="s">
        <v>3543</v>
      </c>
      <c r="M412" s="1" t="s">
        <v>3542</v>
      </c>
      <c r="P412" s="1" t="s">
        <v>3541</v>
      </c>
      <c r="Q412" s="1" t="s">
        <v>780</v>
      </c>
      <c r="R412" s="1" t="s">
        <v>941</v>
      </c>
      <c r="S412" s="1" t="s">
        <v>3269</v>
      </c>
      <c r="T412" s="1" t="s">
        <v>3268</v>
      </c>
      <c r="U412" s="1">
        <v>1</v>
      </c>
      <c r="V412" s="1" t="s">
        <v>3267</v>
      </c>
      <c r="W412" s="1" t="s">
        <v>3540</v>
      </c>
      <c r="Y412" s="3">
        <v>45112</v>
      </c>
      <c r="Z412" s="1">
        <v>2023</v>
      </c>
      <c r="AA412" s="2">
        <v>1497865.16</v>
      </c>
      <c r="AB412" s="2"/>
      <c r="AC412" s="2">
        <v>1497865.16</v>
      </c>
      <c r="AG412" s="1" t="s">
        <v>21</v>
      </c>
      <c r="AI412" s="2">
        <v>1497865.16</v>
      </c>
      <c r="AK412" s="1"/>
    </row>
    <row r="413" spans="1:37" ht="15" customHeight="1" x14ac:dyDescent="0.2">
      <c r="A413" s="1" t="s">
        <v>19</v>
      </c>
      <c r="B413" s="5" t="s">
        <v>18</v>
      </c>
      <c r="C413" s="1" t="s">
        <v>37</v>
      </c>
      <c r="D413" s="1" t="s">
        <v>63</v>
      </c>
      <c r="E413" s="1" t="s">
        <v>35</v>
      </c>
      <c r="G413" s="1" t="s">
        <v>288</v>
      </c>
      <c r="H413" s="1" t="s">
        <v>32</v>
      </c>
      <c r="I413" s="1" t="s">
        <v>3539</v>
      </c>
      <c r="J413" s="1">
        <v>2022</v>
      </c>
      <c r="K413" s="1" t="s">
        <v>3538</v>
      </c>
      <c r="L413" s="1" t="s">
        <v>3537</v>
      </c>
      <c r="M413" s="1" t="s">
        <v>3536</v>
      </c>
      <c r="N413" s="1" t="s">
        <v>3535</v>
      </c>
      <c r="P413" s="1" t="s">
        <v>3534</v>
      </c>
      <c r="Q413" s="1" t="s">
        <v>780</v>
      </c>
      <c r="R413" s="1" t="s">
        <v>941</v>
      </c>
      <c r="S413" s="1" t="s">
        <v>3302</v>
      </c>
      <c r="T413" s="1" t="s">
        <v>3301</v>
      </c>
      <c r="U413" s="1">
        <v>1</v>
      </c>
      <c r="V413" s="1" t="s">
        <v>3267</v>
      </c>
      <c r="W413" s="1" t="s">
        <v>3533</v>
      </c>
      <c r="Y413" s="3">
        <v>45112</v>
      </c>
      <c r="Z413" s="1">
        <v>2023</v>
      </c>
      <c r="AA413" s="2">
        <v>3999189.06</v>
      </c>
      <c r="AB413" s="2"/>
      <c r="AC413" s="2">
        <v>3999189.06</v>
      </c>
      <c r="AG413" s="1" t="s">
        <v>21</v>
      </c>
      <c r="AI413" s="2">
        <v>3999189.06</v>
      </c>
      <c r="AK413" s="1"/>
    </row>
    <row r="414" spans="1:37" ht="15" customHeight="1" x14ac:dyDescent="0.2">
      <c r="A414" s="1" t="s">
        <v>19</v>
      </c>
      <c r="B414" s="5" t="s">
        <v>18</v>
      </c>
      <c r="C414" s="1" t="s">
        <v>37</v>
      </c>
      <c r="D414" s="1" t="s">
        <v>63</v>
      </c>
      <c r="E414" s="1" t="s">
        <v>35</v>
      </c>
      <c r="G414" s="1" t="s">
        <v>288</v>
      </c>
      <c r="H414" s="1" t="s">
        <v>32</v>
      </c>
      <c r="I414" s="1" t="s">
        <v>3532</v>
      </c>
      <c r="J414" s="1">
        <v>2022</v>
      </c>
      <c r="K414" s="1" t="s">
        <v>3531</v>
      </c>
      <c r="L414" s="1" t="s">
        <v>3530</v>
      </c>
      <c r="N414" s="1" t="s">
        <v>3529</v>
      </c>
      <c r="P414" s="1" t="s">
        <v>3528</v>
      </c>
      <c r="Q414" s="1" t="s">
        <v>780</v>
      </c>
      <c r="R414" s="1" t="s">
        <v>941</v>
      </c>
      <c r="S414" s="1" t="s">
        <v>3510</v>
      </c>
      <c r="T414" s="1" t="s">
        <v>3509</v>
      </c>
      <c r="U414" s="1">
        <v>1</v>
      </c>
      <c r="V414" s="1" t="s">
        <v>3267</v>
      </c>
      <c r="W414" s="1" t="s">
        <v>3527</v>
      </c>
      <c r="Y414" s="3">
        <v>45112</v>
      </c>
      <c r="Z414" s="1">
        <v>2023</v>
      </c>
      <c r="AA414" s="2">
        <v>439040.99</v>
      </c>
      <c r="AB414" s="2"/>
      <c r="AC414" s="2">
        <v>439040.99</v>
      </c>
      <c r="AG414" s="1" t="s">
        <v>21</v>
      </c>
      <c r="AI414" s="2">
        <v>439040.99</v>
      </c>
      <c r="AK414" s="1"/>
    </row>
    <row r="415" spans="1:37" ht="15" customHeight="1" x14ac:dyDescent="0.2">
      <c r="A415" s="1" t="s">
        <v>19</v>
      </c>
      <c r="B415" s="5" t="s">
        <v>18</v>
      </c>
      <c r="C415" s="1" t="s">
        <v>37</v>
      </c>
      <c r="D415" s="1" t="s">
        <v>63</v>
      </c>
      <c r="E415" s="1" t="s">
        <v>35</v>
      </c>
      <c r="G415" s="1" t="s">
        <v>288</v>
      </c>
      <c r="H415" s="1" t="s">
        <v>32</v>
      </c>
      <c r="I415" s="1" t="s">
        <v>3526</v>
      </c>
      <c r="J415" s="1">
        <v>2022</v>
      </c>
      <c r="K415" s="1" t="s">
        <v>3525</v>
      </c>
      <c r="L415" s="1" t="s">
        <v>3524</v>
      </c>
      <c r="M415" s="1" t="s">
        <v>3523</v>
      </c>
      <c r="P415" s="1" t="s">
        <v>3303</v>
      </c>
      <c r="Q415" s="1" t="s">
        <v>780</v>
      </c>
      <c r="R415" s="1" t="s">
        <v>941</v>
      </c>
      <c r="S415" s="1" t="s">
        <v>3302</v>
      </c>
      <c r="T415" s="1" t="s">
        <v>3301</v>
      </c>
      <c r="U415" s="1">
        <v>1</v>
      </c>
      <c r="V415" s="1" t="s">
        <v>3267</v>
      </c>
      <c r="W415" s="1" t="s">
        <v>3522</v>
      </c>
      <c r="Y415" s="3">
        <v>45112</v>
      </c>
      <c r="Z415" s="1">
        <v>2023</v>
      </c>
      <c r="AA415" s="2">
        <v>1451133.34</v>
      </c>
      <c r="AB415" s="2"/>
      <c r="AC415" s="2">
        <v>1451133.34</v>
      </c>
      <c r="AG415" s="1" t="s">
        <v>21</v>
      </c>
      <c r="AI415" s="2">
        <v>1451133.34</v>
      </c>
      <c r="AK415" s="1"/>
    </row>
    <row r="416" spans="1:37" ht="15" customHeight="1" x14ac:dyDescent="0.2">
      <c r="A416" s="1" t="s">
        <v>19</v>
      </c>
      <c r="B416" s="5" t="s">
        <v>18</v>
      </c>
      <c r="C416" s="1" t="s">
        <v>37</v>
      </c>
      <c r="D416" s="1" t="s">
        <v>63</v>
      </c>
      <c r="E416" s="1" t="s">
        <v>35</v>
      </c>
      <c r="G416" s="1" t="s">
        <v>288</v>
      </c>
      <c r="H416" s="1" t="s">
        <v>32</v>
      </c>
      <c r="I416" s="1" t="s">
        <v>3521</v>
      </c>
      <c r="J416" s="1">
        <v>2022</v>
      </c>
      <c r="K416" s="1" t="s">
        <v>3520</v>
      </c>
      <c r="L416" s="1" t="s">
        <v>3519</v>
      </c>
      <c r="M416" s="1" t="s">
        <v>3518</v>
      </c>
      <c r="P416" s="1" t="s">
        <v>3517</v>
      </c>
      <c r="Q416" s="1" t="s">
        <v>780</v>
      </c>
      <c r="R416" s="1" t="s">
        <v>941</v>
      </c>
      <c r="S416" s="1" t="s">
        <v>3310</v>
      </c>
      <c r="T416" s="1" t="s">
        <v>3309</v>
      </c>
      <c r="U416" s="1">
        <v>1</v>
      </c>
      <c r="V416" s="1" t="s">
        <v>3267</v>
      </c>
      <c r="W416" s="1" t="s">
        <v>3516</v>
      </c>
      <c r="Y416" s="3">
        <v>45112</v>
      </c>
      <c r="Z416" s="1">
        <v>2023</v>
      </c>
      <c r="AA416" s="2">
        <v>533925.14</v>
      </c>
      <c r="AB416" s="2"/>
      <c r="AC416" s="2">
        <v>533925.14</v>
      </c>
      <c r="AG416" s="1" t="s">
        <v>21</v>
      </c>
      <c r="AI416" s="2">
        <v>533925.14</v>
      </c>
      <c r="AK416" s="1"/>
    </row>
    <row r="417" spans="1:35" s="1" customFormat="1" ht="15" customHeight="1" x14ac:dyDescent="0.2">
      <c r="A417" s="1" t="s">
        <v>19</v>
      </c>
      <c r="B417" s="5" t="s">
        <v>18</v>
      </c>
      <c r="C417" s="1" t="s">
        <v>37</v>
      </c>
      <c r="D417" s="1" t="s">
        <v>63</v>
      </c>
      <c r="E417" s="1" t="s">
        <v>35</v>
      </c>
      <c r="G417" s="1" t="s">
        <v>288</v>
      </c>
      <c r="H417" s="1" t="s">
        <v>32</v>
      </c>
      <c r="I417" s="1" t="s">
        <v>3515</v>
      </c>
      <c r="J417" s="1">
        <v>2022</v>
      </c>
      <c r="K417" s="1" t="s">
        <v>3514</v>
      </c>
      <c r="L417" s="1" t="s">
        <v>3513</v>
      </c>
      <c r="M417" s="1" t="s">
        <v>3512</v>
      </c>
      <c r="P417" s="1" t="s">
        <v>3511</v>
      </c>
      <c r="Q417" s="1" t="s">
        <v>780</v>
      </c>
      <c r="R417" s="1" t="s">
        <v>941</v>
      </c>
      <c r="S417" s="1" t="s">
        <v>3510</v>
      </c>
      <c r="T417" s="1" t="s">
        <v>3509</v>
      </c>
      <c r="U417" s="1">
        <v>1</v>
      </c>
      <c r="V417" s="1" t="s">
        <v>3267</v>
      </c>
      <c r="W417" s="1" t="s">
        <v>3508</v>
      </c>
      <c r="Y417" s="3">
        <v>45112</v>
      </c>
      <c r="Z417" s="1">
        <v>2023</v>
      </c>
      <c r="AA417" s="2">
        <v>3246023.59</v>
      </c>
      <c r="AB417" s="2"/>
      <c r="AC417" s="2">
        <v>3246023.59</v>
      </c>
      <c r="AG417" s="1" t="s">
        <v>21</v>
      </c>
      <c r="AI417" s="2">
        <v>3246023.59</v>
      </c>
    </row>
    <row r="418" spans="1:35" s="1" customFormat="1" ht="15" customHeight="1" x14ac:dyDescent="0.25">
      <c r="A418" s="1" t="s">
        <v>19</v>
      </c>
      <c r="B418" s="5" t="s">
        <v>18</v>
      </c>
      <c r="C418" s="1" t="s">
        <v>37</v>
      </c>
      <c r="D418" s="1" t="s">
        <v>63</v>
      </c>
      <c r="E418" s="1" t="s">
        <v>35</v>
      </c>
      <c r="G418" s="1" t="s">
        <v>288</v>
      </c>
      <c r="H418" s="1" t="s">
        <v>32</v>
      </c>
      <c r="I418" s="1" t="s">
        <v>3507</v>
      </c>
      <c r="J418" s="1">
        <v>2022</v>
      </c>
      <c r="K418" s="1" t="s">
        <v>1946</v>
      </c>
      <c r="L418" s="1" t="s">
        <v>3506</v>
      </c>
      <c r="M418" s="1" t="s">
        <v>3505</v>
      </c>
      <c r="P418" s="1" t="s">
        <v>3291</v>
      </c>
      <c r="Q418" s="1" t="s">
        <v>780</v>
      </c>
      <c r="R418" s="1" t="s">
        <v>941</v>
      </c>
      <c r="S418" s="10" t="s">
        <v>3290</v>
      </c>
      <c r="T418" s="1" t="s">
        <v>3289</v>
      </c>
      <c r="U418" s="1">
        <v>1</v>
      </c>
      <c r="V418" s="1" t="s">
        <v>3267</v>
      </c>
      <c r="W418" s="1" t="s">
        <v>3504</v>
      </c>
      <c r="Y418" s="3">
        <v>45112</v>
      </c>
      <c r="Z418" s="1">
        <v>2023</v>
      </c>
      <c r="AA418" s="2">
        <v>621708.07999999996</v>
      </c>
      <c r="AB418" s="2"/>
      <c r="AC418" s="2">
        <v>621708.07999999996</v>
      </c>
      <c r="AG418" s="1" t="s">
        <v>21</v>
      </c>
      <c r="AI418" s="2">
        <v>621708.07999999996</v>
      </c>
    </row>
    <row r="419" spans="1:35" s="1" customFormat="1" ht="15" customHeight="1" x14ac:dyDescent="0.2">
      <c r="A419" s="1" t="s">
        <v>19</v>
      </c>
      <c r="B419" s="5" t="s">
        <v>18</v>
      </c>
      <c r="C419" s="1" t="s">
        <v>37</v>
      </c>
      <c r="D419" s="1" t="s">
        <v>63</v>
      </c>
      <c r="E419" s="1" t="s">
        <v>35</v>
      </c>
      <c r="G419" s="1" t="s">
        <v>288</v>
      </c>
      <c r="H419" s="1" t="s">
        <v>32</v>
      </c>
      <c r="I419" s="1" t="s">
        <v>3503</v>
      </c>
      <c r="J419" s="1">
        <v>2022</v>
      </c>
      <c r="K419" s="1" t="s">
        <v>3502</v>
      </c>
      <c r="L419" s="1" t="s">
        <v>3501</v>
      </c>
      <c r="M419" s="1" t="s">
        <v>3500</v>
      </c>
      <c r="P419" s="1" t="s">
        <v>3499</v>
      </c>
      <c r="Q419" s="1" t="s">
        <v>780</v>
      </c>
      <c r="R419" s="1" t="s">
        <v>941</v>
      </c>
      <c r="S419" s="1" t="s">
        <v>3348</v>
      </c>
      <c r="T419" s="1" t="s">
        <v>3347</v>
      </c>
      <c r="U419" s="1">
        <v>1</v>
      </c>
      <c r="V419" s="1" t="s">
        <v>3267</v>
      </c>
      <c r="W419" s="1" t="s">
        <v>3498</v>
      </c>
      <c r="Y419" s="3">
        <v>45112</v>
      </c>
      <c r="Z419" s="1">
        <v>2023</v>
      </c>
      <c r="AA419" s="2">
        <v>100000</v>
      </c>
      <c r="AB419" s="2"/>
      <c r="AC419" s="2">
        <v>100000</v>
      </c>
      <c r="AG419" s="1" t="s">
        <v>21</v>
      </c>
      <c r="AI419" s="2">
        <v>100000</v>
      </c>
    </row>
    <row r="420" spans="1:35" s="1" customFormat="1" ht="15" customHeight="1" x14ac:dyDescent="0.25">
      <c r="A420" s="1" t="s">
        <v>19</v>
      </c>
      <c r="B420" s="5" t="s">
        <v>18</v>
      </c>
      <c r="C420" s="1" t="s">
        <v>37</v>
      </c>
      <c r="D420" s="1" t="s">
        <v>63</v>
      </c>
      <c r="E420" s="1" t="s">
        <v>35</v>
      </c>
      <c r="G420" s="1" t="s">
        <v>288</v>
      </c>
      <c r="H420" s="1" t="s">
        <v>32</v>
      </c>
      <c r="I420" s="1" t="s">
        <v>3497</v>
      </c>
      <c r="J420" s="1">
        <v>2022</v>
      </c>
      <c r="K420" s="1" t="s">
        <v>3496</v>
      </c>
      <c r="L420" s="1" t="s">
        <v>3495</v>
      </c>
      <c r="M420" s="1" t="s">
        <v>3494</v>
      </c>
      <c r="P420" s="1" t="s">
        <v>3493</v>
      </c>
      <c r="Q420" s="1" t="s">
        <v>780</v>
      </c>
      <c r="R420" s="1" t="s">
        <v>941</v>
      </c>
      <c r="S420" s="10" t="s">
        <v>3431</v>
      </c>
      <c r="T420" s="1" t="s">
        <v>3430</v>
      </c>
      <c r="U420" s="1">
        <v>2</v>
      </c>
      <c r="V420" s="1" t="s">
        <v>3267</v>
      </c>
      <c r="W420" s="1" t="s">
        <v>3492</v>
      </c>
      <c r="Y420" s="3">
        <v>45112</v>
      </c>
      <c r="Z420" s="1">
        <v>2023</v>
      </c>
      <c r="AA420" s="2">
        <v>622711.23</v>
      </c>
      <c r="AB420" s="2"/>
      <c r="AC420" s="2">
        <v>622711.23</v>
      </c>
      <c r="AG420" s="1" t="s">
        <v>21</v>
      </c>
      <c r="AI420" s="2">
        <v>622711.23</v>
      </c>
    </row>
    <row r="421" spans="1:35" s="1" customFormat="1" ht="15" customHeight="1" x14ac:dyDescent="0.2">
      <c r="A421" s="1" t="s">
        <v>19</v>
      </c>
      <c r="B421" s="5" t="s">
        <v>18</v>
      </c>
      <c r="C421" s="1" t="s">
        <v>37</v>
      </c>
      <c r="D421" s="1" t="s">
        <v>63</v>
      </c>
      <c r="E421" s="1" t="s">
        <v>35</v>
      </c>
      <c r="G421" s="1" t="s">
        <v>288</v>
      </c>
      <c r="H421" s="1" t="s">
        <v>32</v>
      </c>
      <c r="I421" s="1" t="s">
        <v>3491</v>
      </c>
      <c r="J421" s="1">
        <v>2022</v>
      </c>
      <c r="K421" s="1" t="s">
        <v>3490</v>
      </c>
      <c r="L421" s="1" t="s">
        <v>3489</v>
      </c>
      <c r="N421" s="1" t="s">
        <v>3488</v>
      </c>
      <c r="P421" s="1" t="s">
        <v>3487</v>
      </c>
      <c r="Q421" s="1" t="s">
        <v>780</v>
      </c>
      <c r="R421" s="1" t="s">
        <v>941</v>
      </c>
      <c r="S421" s="1" t="s">
        <v>3345</v>
      </c>
      <c r="T421" s="1" t="s">
        <v>3344</v>
      </c>
      <c r="U421" s="1">
        <v>1</v>
      </c>
      <c r="V421" s="1" t="s">
        <v>3267</v>
      </c>
      <c r="W421" s="1" t="s">
        <v>3486</v>
      </c>
      <c r="Y421" s="3">
        <v>45112</v>
      </c>
      <c r="Z421" s="1">
        <v>2023</v>
      </c>
      <c r="AA421" s="2">
        <v>427263</v>
      </c>
      <c r="AB421" s="2"/>
      <c r="AC421" s="2">
        <v>427263</v>
      </c>
      <c r="AG421" s="1" t="s">
        <v>21</v>
      </c>
      <c r="AI421" s="2">
        <v>427263</v>
      </c>
    </row>
    <row r="422" spans="1:35" s="1" customFormat="1" ht="15" customHeight="1" x14ac:dyDescent="0.2">
      <c r="A422" s="1" t="s">
        <v>19</v>
      </c>
      <c r="B422" s="5" t="s">
        <v>18</v>
      </c>
      <c r="C422" s="1" t="s">
        <v>37</v>
      </c>
      <c r="D422" s="1" t="s">
        <v>211</v>
      </c>
      <c r="E422" s="1" t="s">
        <v>35</v>
      </c>
      <c r="F422" s="1" t="s">
        <v>267</v>
      </c>
      <c r="G422" s="1" t="s">
        <v>266</v>
      </c>
      <c r="H422" s="1" t="s">
        <v>130</v>
      </c>
      <c r="I422" s="1" t="s">
        <v>3485</v>
      </c>
      <c r="J422" s="1">
        <v>2023</v>
      </c>
      <c r="K422" s="1" t="s">
        <v>3481</v>
      </c>
      <c r="L422" s="1" t="s">
        <v>3484</v>
      </c>
      <c r="M422" s="1" t="s">
        <v>3483</v>
      </c>
      <c r="P422" s="1" t="s">
        <v>3482</v>
      </c>
      <c r="Q422" s="1" t="s">
        <v>780</v>
      </c>
      <c r="R422" s="1" t="s">
        <v>941</v>
      </c>
      <c r="S422" s="1" t="s">
        <v>3424</v>
      </c>
      <c r="T422" s="1" t="s">
        <v>3423</v>
      </c>
      <c r="U422" s="1">
        <v>2</v>
      </c>
      <c r="V422" s="1" t="s">
        <v>3267</v>
      </c>
      <c r="W422" s="1" t="s">
        <v>3481</v>
      </c>
      <c r="Y422" s="3">
        <v>45462</v>
      </c>
      <c r="Z422" s="1">
        <v>2024</v>
      </c>
      <c r="AA422" s="2">
        <v>13081353</v>
      </c>
      <c r="AB422" s="2"/>
      <c r="AC422" s="2">
        <v>1176101.48</v>
      </c>
      <c r="AD422" s="1">
        <v>15</v>
      </c>
      <c r="AE422" s="1">
        <v>3</v>
      </c>
      <c r="AG422" s="1" t="s">
        <v>21</v>
      </c>
      <c r="AI422" s="2">
        <v>1176101.48</v>
      </c>
    </row>
    <row r="423" spans="1:35" s="1" customFormat="1" ht="15" customHeight="1" x14ac:dyDescent="0.2">
      <c r="A423" s="1" t="s">
        <v>19</v>
      </c>
      <c r="B423" s="5" t="s">
        <v>18</v>
      </c>
      <c r="C423" s="1" t="s">
        <v>37</v>
      </c>
      <c r="D423" s="1" t="s">
        <v>211</v>
      </c>
      <c r="E423" s="1" t="s">
        <v>35</v>
      </c>
      <c r="F423" s="1" t="s">
        <v>260</v>
      </c>
      <c r="G423" s="1" t="s">
        <v>259</v>
      </c>
      <c r="H423" s="1" t="s">
        <v>258</v>
      </c>
      <c r="I423" s="1" t="s">
        <v>3480</v>
      </c>
      <c r="J423" s="1">
        <v>2023</v>
      </c>
      <c r="K423" s="1" t="s">
        <v>3479</v>
      </c>
      <c r="L423" s="1" t="s">
        <v>3478</v>
      </c>
      <c r="M423" s="1" t="s">
        <v>943</v>
      </c>
      <c r="P423" s="1" t="s">
        <v>3477</v>
      </c>
      <c r="Q423" s="1" t="s">
        <v>780</v>
      </c>
      <c r="R423" s="1" t="s">
        <v>941</v>
      </c>
      <c r="S423" s="1" t="s">
        <v>3325</v>
      </c>
      <c r="T423" s="2" t="s">
        <v>3324</v>
      </c>
      <c r="U423" s="1">
        <v>1</v>
      </c>
      <c r="V423" s="1" t="s">
        <v>3267</v>
      </c>
      <c r="W423" s="1" t="s">
        <v>3476</v>
      </c>
      <c r="Y423" s="3">
        <v>45802</v>
      </c>
      <c r="Z423" s="1">
        <v>2025</v>
      </c>
      <c r="AA423" s="22">
        <v>438800</v>
      </c>
      <c r="AB423" s="2"/>
      <c r="AC423" s="22">
        <v>153580</v>
      </c>
      <c r="AD423" s="1">
        <v>2</v>
      </c>
      <c r="AE423" s="1">
        <v>1.5</v>
      </c>
      <c r="AG423" s="1" t="s">
        <v>21</v>
      </c>
      <c r="AI423" s="21">
        <v>153580</v>
      </c>
    </row>
    <row r="424" spans="1:35" s="1" customFormat="1" ht="15" customHeight="1" x14ac:dyDescent="0.2">
      <c r="A424" s="1" t="s">
        <v>19</v>
      </c>
      <c r="B424" s="5" t="s">
        <v>18</v>
      </c>
      <c r="C424" s="1" t="s">
        <v>37</v>
      </c>
      <c r="D424" s="1" t="s">
        <v>211</v>
      </c>
      <c r="E424" s="1" t="s">
        <v>35</v>
      </c>
      <c r="F424" s="1" t="s">
        <v>260</v>
      </c>
      <c r="G424" s="1" t="s">
        <v>259</v>
      </c>
      <c r="H424" s="1" t="s">
        <v>258</v>
      </c>
      <c r="I424" s="1" t="s">
        <v>3475</v>
      </c>
      <c r="J424" s="1">
        <v>2023</v>
      </c>
      <c r="K424" s="1" t="s">
        <v>3474</v>
      </c>
      <c r="L424" s="1" t="s">
        <v>3473</v>
      </c>
      <c r="M424" s="1" t="s">
        <v>943</v>
      </c>
      <c r="P424" s="1" t="s">
        <v>3472</v>
      </c>
      <c r="Q424" s="1" t="s">
        <v>780</v>
      </c>
      <c r="R424" s="1" t="s">
        <v>941</v>
      </c>
      <c r="S424" s="1" t="s">
        <v>3302</v>
      </c>
      <c r="T424" s="2" t="s">
        <v>3301</v>
      </c>
      <c r="U424" s="1">
        <v>1</v>
      </c>
      <c r="V424" s="1" t="s">
        <v>3267</v>
      </c>
      <c r="W424" s="1" t="s">
        <v>3471</v>
      </c>
      <c r="Y424" s="3">
        <v>45802</v>
      </c>
      <c r="Z424" s="1">
        <v>2025</v>
      </c>
      <c r="AA424" s="16">
        <v>392796</v>
      </c>
      <c r="AB424" s="2"/>
      <c r="AC424" s="16">
        <v>137478.6</v>
      </c>
      <c r="AD424" s="1">
        <v>3.5</v>
      </c>
      <c r="AE424" s="1">
        <v>1</v>
      </c>
      <c r="AG424" s="1" t="s">
        <v>21</v>
      </c>
      <c r="AI424" s="15">
        <v>137478.6</v>
      </c>
    </row>
    <row r="425" spans="1:35" s="1" customFormat="1" ht="15" customHeight="1" x14ac:dyDescent="0.2">
      <c r="A425" s="1" t="s">
        <v>19</v>
      </c>
      <c r="B425" s="5" t="s">
        <v>18</v>
      </c>
      <c r="C425" s="1" t="s">
        <v>37</v>
      </c>
      <c r="D425" s="1" t="s">
        <v>211</v>
      </c>
      <c r="E425" s="1" t="s">
        <v>35</v>
      </c>
      <c r="F425" s="1" t="s">
        <v>260</v>
      </c>
      <c r="G425" s="1" t="s">
        <v>259</v>
      </c>
      <c r="H425" s="1" t="s">
        <v>258</v>
      </c>
      <c r="I425" s="1" t="s">
        <v>3470</v>
      </c>
      <c r="J425" s="1">
        <v>2023</v>
      </c>
      <c r="K425" s="1" t="s">
        <v>3469</v>
      </c>
      <c r="L425" s="1" t="s">
        <v>3468</v>
      </c>
      <c r="M425" s="1" t="s">
        <v>943</v>
      </c>
      <c r="P425" s="1" t="s">
        <v>3467</v>
      </c>
      <c r="Q425" s="1" t="s">
        <v>780</v>
      </c>
      <c r="R425" s="1" t="s">
        <v>941</v>
      </c>
      <c r="S425" s="1" t="s">
        <v>3431</v>
      </c>
      <c r="T425" s="2" t="s">
        <v>3430</v>
      </c>
      <c r="U425" s="1">
        <v>2</v>
      </c>
      <c r="V425" s="1" t="s">
        <v>3267</v>
      </c>
      <c r="W425" s="1" t="s">
        <v>3466</v>
      </c>
      <c r="Y425" s="3">
        <v>45802</v>
      </c>
      <c r="Z425" s="1">
        <v>2025</v>
      </c>
      <c r="AA425" s="16">
        <v>179381.74</v>
      </c>
      <c r="AB425" s="2"/>
      <c r="AC425" s="16">
        <v>31391.8</v>
      </c>
      <c r="AD425" s="1">
        <v>1</v>
      </c>
      <c r="AE425" s="1">
        <v>0.5</v>
      </c>
      <c r="AG425" s="1" t="s">
        <v>21</v>
      </c>
      <c r="AI425" s="15">
        <v>31391.8</v>
      </c>
    </row>
    <row r="426" spans="1:35" s="1" customFormat="1" ht="15" customHeight="1" x14ac:dyDescent="0.2">
      <c r="A426" s="1" t="s">
        <v>19</v>
      </c>
      <c r="B426" s="5" t="s">
        <v>18</v>
      </c>
      <c r="C426" s="1" t="s">
        <v>37</v>
      </c>
      <c r="D426" s="1" t="s">
        <v>211</v>
      </c>
      <c r="E426" s="1" t="s">
        <v>35</v>
      </c>
      <c r="F426" s="1" t="s">
        <v>260</v>
      </c>
      <c r="G426" s="1" t="s">
        <v>259</v>
      </c>
      <c r="H426" s="1" t="s">
        <v>258</v>
      </c>
      <c r="I426" s="1" t="s">
        <v>3465</v>
      </c>
      <c r="J426" s="1">
        <v>2023</v>
      </c>
      <c r="K426" s="1" t="s">
        <v>3464</v>
      </c>
      <c r="L426" s="1" t="s">
        <v>3463</v>
      </c>
      <c r="M426" s="1" t="s">
        <v>943</v>
      </c>
      <c r="P426" s="1" t="s">
        <v>3462</v>
      </c>
      <c r="Q426" s="1" t="s">
        <v>780</v>
      </c>
      <c r="R426" s="1" t="s">
        <v>941</v>
      </c>
      <c r="S426" s="1" t="s">
        <v>3297</v>
      </c>
      <c r="T426" s="2" t="s">
        <v>3296</v>
      </c>
      <c r="U426" s="1">
        <v>1</v>
      </c>
      <c r="V426" s="1" t="s">
        <v>3267</v>
      </c>
      <c r="W426" s="1" t="s">
        <v>3461</v>
      </c>
      <c r="Y426" s="3">
        <v>45802</v>
      </c>
      <c r="Z426" s="1">
        <v>2025</v>
      </c>
      <c r="AA426" s="16">
        <v>43643.66</v>
      </c>
      <c r="AB426" s="2"/>
      <c r="AC426" s="16">
        <v>15275.28</v>
      </c>
      <c r="AD426" s="1">
        <v>1</v>
      </c>
      <c r="AE426" s="1">
        <v>0</v>
      </c>
      <c r="AG426" s="1" t="s">
        <v>21</v>
      </c>
      <c r="AI426" s="15">
        <v>15275.28</v>
      </c>
    </row>
    <row r="427" spans="1:35" s="1" customFormat="1" ht="15" customHeight="1" x14ac:dyDescent="0.2">
      <c r="A427" s="1" t="s">
        <v>19</v>
      </c>
      <c r="B427" s="5" t="s">
        <v>18</v>
      </c>
      <c r="C427" s="1" t="s">
        <v>37</v>
      </c>
      <c r="D427" s="1" t="s">
        <v>211</v>
      </c>
      <c r="E427" s="1" t="s">
        <v>35</v>
      </c>
      <c r="F427" s="1" t="s">
        <v>260</v>
      </c>
      <c r="G427" s="1" t="s">
        <v>259</v>
      </c>
      <c r="H427" s="1" t="s">
        <v>258</v>
      </c>
      <c r="I427" s="1" t="s">
        <v>3460</v>
      </c>
      <c r="J427" s="1">
        <v>2023</v>
      </c>
      <c r="K427" s="1" t="s">
        <v>3459</v>
      </c>
      <c r="L427" s="1" t="s">
        <v>3458</v>
      </c>
      <c r="M427" s="1" t="s">
        <v>3457</v>
      </c>
      <c r="P427" s="1" t="s">
        <v>3456</v>
      </c>
      <c r="Q427" s="1" t="s">
        <v>780</v>
      </c>
      <c r="R427" s="1" t="s">
        <v>941</v>
      </c>
      <c r="S427" s="1" t="s">
        <v>3424</v>
      </c>
      <c r="T427" s="2" t="s">
        <v>3423</v>
      </c>
      <c r="U427" s="1">
        <v>2</v>
      </c>
      <c r="V427" s="1" t="s">
        <v>3267</v>
      </c>
      <c r="W427" s="1" t="s">
        <v>3455</v>
      </c>
      <c r="Y427" s="3">
        <v>45802</v>
      </c>
      <c r="Z427" s="1">
        <v>2025</v>
      </c>
      <c r="AA427" s="16">
        <v>81608.2</v>
      </c>
      <c r="AB427" s="2"/>
      <c r="AC427" s="16">
        <v>14281.44</v>
      </c>
      <c r="AD427" s="1">
        <v>1</v>
      </c>
      <c r="AE427" s="1">
        <v>1</v>
      </c>
      <c r="AG427" s="1" t="s">
        <v>21</v>
      </c>
      <c r="AI427" s="15">
        <v>14281.44</v>
      </c>
    </row>
    <row r="428" spans="1:35" s="1" customFormat="1" ht="15" customHeight="1" x14ac:dyDescent="0.2">
      <c r="A428" s="1" t="s">
        <v>19</v>
      </c>
      <c r="B428" s="5" t="s">
        <v>18</v>
      </c>
      <c r="C428" s="1" t="s">
        <v>37</v>
      </c>
      <c r="D428" s="1" t="s">
        <v>211</v>
      </c>
      <c r="E428" s="1" t="s">
        <v>35</v>
      </c>
      <c r="F428" s="1" t="s">
        <v>260</v>
      </c>
      <c r="G428" s="1" t="s">
        <v>259</v>
      </c>
      <c r="H428" s="1" t="s">
        <v>258</v>
      </c>
      <c r="I428" s="1" t="s">
        <v>3454</v>
      </c>
      <c r="J428" s="1">
        <v>2023</v>
      </c>
      <c r="K428" s="1" t="s">
        <v>3453</v>
      </c>
      <c r="L428" s="1" t="s">
        <v>3452</v>
      </c>
      <c r="M428" s="1" t="s">
        <v>3451</v>
      </c>
      <c r="P428" s="1" t="s">
        <v>3450</v>
      </c>
      <c r="Q428" s="1" t="s">
        <v>780</v>
      </c>
      <c r="R428" s="1" t="s">
        <v>941</v>
      </c>
      <c r="S428" s="1" t="s">
        <v>3342</v>
      </c>
      <c r="T428" s="2" t="s">
        <v>3341</v>
      </c>
      <c r="U428" s="1">
        <v>1</v>
      </c>
      <c r="V428" s="1" t="s">
        <v>3267</v>
      </c>
      <c r="W428" s="1" t="s">
        <v>3449</v>
      </c>
      <c r="Y428" s="3">
        <v>45802</v>
      </c>
      <c r="Z428" s="1">
        <v>2025</v>
      </c>
      <c r="AA428" s="16">
        <v>52996.44</v>
      </c>
      <c r="AB428" s="2"/>
      <c r="AC428" s="16">
        <v>18548.75</v>
      </c>
      <c r="AD428" s="1">
        <v>1</v>
      </c>
      <c r="AE428" s="1">
        <v>1</v>
      </c>
      <c r="AG428" s="1" t="s">
        <v>21</v>
      </c>
      <c r="AI428" s="15">
        <v>18548.75</v>
      </c>
    </row>
    <row r="429" spans="1:35" s="1" customFormat="1" ht="15" customHeight="1" x14ac:dyDescent="0.2">
      <c r="A429" s="1" t="s">
        <v>19</v>
      </c>
      <c r="B429" s="5" t="s">
        <v>18</v>
      </c>
      <c r="C429" s="1" t="s">
        <v>37</v>
      </c>
      <c r="D429" s="1" t="s">
        <v>211</v>
      </c>
      <c r="E429" s="1" t="s">
        <v>35</v>
      </c>
      <c r="F429" s="1" t="s">
        <v>260</v>
      </c>
      <c r="G429" s="1" t="s">
        <v>259</v>
      </c>
      <c r="H429" s="1" t="s">
        <v>258</v>
      </c>
      <c r="I429" s="1" t="s">
        <v>3448</v>
      </c>
      <c r="J429" s="1">
        <v>2023</v>
      </c>
      <c r="K429" s="1" t="s">
        <v>3447</v>
      </c>
      <c r="L429" s="1" t="s">
        <v>3446</v>
      </c>
      <c r="M429" s="1" t="s">
        <v>943</v>
      </c>
      <c r="P429" s="1" t="s">
        <v>3445</v>
      </c>
      <c r="Q429" s="1" t="s">
        <v>780</v>
      </c>
      <c r="R429" s="1" t="s">
        <v>941</v>
      </c>
      <c r="S429" s="1" t="s">
        <v>3297</v>
      </c>
      <c r="T429" s="2" t="s">
        <v>3296</v>
      </c>
      <c r="U429" s="1">
        <v>1</v>
      </c>
      <c r="V429" s="1" t="s">
        <v>3267</v>
      </c>
      <c r="W429" s="1" t="s">
        <v>3444</v>
      </c>
      <c r="Y429" s="3">
        <v>45802</v>
      </c>
      <c r="Z429" s="1">
        <v>2025</v>
      </c>
      <c r="AA429" s="16">
        <v>64243.73</v>
      </c>
      <c r="AB429" s="2"/>
      <c r="AC429" s="16">
        <v>22485.31</v>
      </c>
      <c r="AD429" s="1">
        <v>1</v>
      </c>
      <c r="AE429" s="1">
        <v>0</v>
      </c>
      <c r="AG429" s="1" t="s">
        <v>21</v>
      </c>
      <c r="AI429" s="15">
        <v>22485.31</v>
      </c>
    </row>
    <row r="430" spans="1:35" s="1" customFormat="1" ht="15" customHeight="1" x14ac:dyDescent="0.2">
      <c r="A430" s="1" t="s">
        <v>19</v>
      </c>
      <c r="B430" s="5" t="s">
        <v>18</v>
      </c>
      <c r="C430" s="1" t="s">
        <v>37</v>
      </c>
      <c r="D430" s="1" t="s">
        <v>211</v>
      </c>
      <c r="E430" s="1" t="s">
        <v>35</v>
      </c>
      <c r="F430" s="1" t="s">
        <v>210</v>
      </c>
      <c r="G430" s="1" t="s">
        <v>209</v>
      </c>
      <c r="H430" s="1" t="s">
        <v>208</v>
      </c>
      <c r="I430" s="1" t="s">
        <v>3443</v>
      </c>
      <c r="J430" s="1">
        <v>2023</v>
      </c>
      <c r="K430" s="1" t="s">
        <v>3439</v>
      </c>
      <c r="L430" s="1" t="s">
        <v>3442</v>
      </c>
      <c r="M430" s="1" t="s">
        <v>3441</v>
      </c>
      <c r="P430" s="1" t="s">
        <v>3440</v>
      </c>
      <c r="Q430" s="1" t="s">
        <v>780</v>
      </c>
      <c r="R430" s="1" t="s">
        <v>941</v>
      </c>
      <c r="S430" s="1" t="s">
        <v>3424</v>
      </c>
      <c r="T430" s="1" t="s">
        <v>3423</v>
      </c>
      <c r="U430" s="1">
        <v>2</v>
      </c>
      <c r="V430" s="1" t="s">
        <v>3267</v>
      </c>
      <c r="W430" s="1" t="s">
        <v>3439</v>
      </c>
      <c r="Y430" s="3">
        <v>45478</v>
      </c>
      <c r="Z430" s="1">
        <v>2024</v>
      </c>
      <c r="AA430" s="2">
        <v>228878.99</v>
      </c>
      <c r="AB430" s="2"/>
      <c r="AC430" s="2">
        <v>87219.75</v>
      </c>
      <c r="AD430" s="1">
        <v>1</v>
      </c>
      <c r="AG430" s="1" t="s">
        <v>21</v>
      </c>
      <c r="AI430" s="2">
        <v>87219.75</v>
      </c>
    </row>
    <row r="431" spans="1:35" s="1" customFormat="1" ht="15" customHeight="1" x14ac:dyDescent="0.2">
      <c r="A431" s="1" t="s">
        <v>19</v>
      </c>
      <c r="B431" s="5" t="s">
        <v>18</v>
      </c>
      <c r="C431" s="1" t="s">
        <v>37</v>
      </c>
      <c r="D431" s="1" t="s">
        <v>211</v>
      </c>
      <c r="E431" s="1" t="s">
        <v>35</v>
      </c>
      <c r="F431" s="1" t="s">
        <v>210</v>
      </c>
      <c r="G431" s="1" t="s">
        <v>209</v>
      </c>
      <c r="H431" s="1" t="s">
        <v>208</v>
      </c>
      <c r="I431" s="1" t="s">
        <v>3438</v>
      </c>
      <c r="J431" s="1">
        <v>2023</v>
      </c>
      <c r="K431" s="1" t="s">
        <v>3435</v>
      </c>
      <c r="L431" s="1" t="s">
        <v>3437</v>
      </c>
      <c r="P431" s="1" t="s">
        <v>3436</v>
      </c>
      <c r="Q431" s="1" t="s">
        <v>780</v>
      </c>
      <c r="R431" s="1" t="s">
        <v>941</v>
      </c>
      <c r="S431" s="1" t="s">
        <v>3325</v>
      </c>
      <c r="T431" s="1" t="s">
        <v>3324</v>
      </c>
      <c r="U431" s="1">
        <v>1</v>
      </c>
      <c r="V431" s="1" t="s">
        <v>3267</v>
      </c>
      <c r="W431" s="1" t="s">
        <v>3435</v>
      </c>
      <c r="Y431" s="3">
        <v>45478</v>
      </c>
      <c r="Z431" s="1">
        <v>2024</v>
      </c>
      <c r="AA431" s="2">
        <v>490000</v>
      </c>
      <c r="AB431" s="2"/>
      <c r="AC431" s="2">
        <v>130000</v>
      </c>
      <c r="AD431" s="1">
        <v>1</v>
      </c>
      <c r="AG431" s="1" t="s">
        <v>21</v>
      </c>
      <c r="AI431" s="2">
        <v>130000</v>
      </c>
    </row>
    <row r="432" spans="1:35" s="1" customFormat="1" ht="15" customHeight="1" x14ac:dyDescent="0.25">
      <c r="A432" s="1" t="s">
        <v>19</v>
      </c>
      <c r="B432" s="5" t="s">
        <v>18</v>
      </c>
      <c r="C432" s="1" t="s">
        <v>37</v>
      </c>
      <c r="D432" s="1" t="s">
        <v>211</v>
      </c>
      <c r="E432" s="1" t="s">
        <v>35</v>
      </c>
      <c r="F432" s="1" t="s">
        <v>210</v>
      </c>
      <c r="G432" s="1" t="s">
        <v>209</v>
      </c>
      <c r="H432" s="1" t="s">
        <v>208</v>
      </c>
      <c r="I432" s="1" t="s">
        <v>3434</v>
      </c>
      <c r="J432" s="1">
        <v>2023</v>
      </c>
      <c r="K432" s="1" t="s">
        <v>3429</v>
      </c>
      <c r="L432" s="1" t="s">
        <v>3433</v>
      </c>
      <c r="P432" s="1" t="s">
        <v>3432</v>
      </c>
      <c r="Q432" s="1" t="s">
        <v>780</v>
      </c>
      <c r="R432" s="1" t="s">
        <v>941</v>
      </c>
      <c r="S432" s="10" t="s">
        <v>3431</v>
      </c>
      <c r="T432" s="1" t="s">
        <v>3430</v>
      </c>
      <c r="U432" s="1">
        <v>2</v>
      </c>
      <c r="V432" s="1" t="s">
        <v>3267</v>
      </c>
      <c r="W432" s="1" t="s">
        <v>3429</v>
      </c>
      <c r="Y432" s="3">
        <v>45478</v>
      </c>
      <c r="Z432" s="1">
        <v>2024</v>
      </c>
      <c r="AA432" s="2">
        <v>465272</v>
      </c>
      <c r="AB432" s="2"/>
      <c r="AC432" s="2">
        <v>100000</v>
      </c>
      <c r="AD432" s="1">
        <v>0</v>
      </c>
      <c r="AG432" s="1" t="s">
        <v>21</v>
      </c>
      <c r="AI432" s="2">
        <v>100000</v>
      </c>
    </row>
    <row r="433" spans="1:38" ht="15" customHeight="1" x14ac:dyDescent="0.25">
      <c r="A433" s="1" t="s">
        <v>19</v>
      </c>
      <c r="B433" s="14" t="s">
        <v>18</v>
      </c>
      <c r="C433" s="12" t="s">
        <v>37</v>
      </c>
      <c r="D433" s="1" t="s">
        <v>63</v>
      </c>
      <c r="E433" s="1" t="s">
        <v>35</v>
      </c>
      <c r="G433" s="1" t="s">
        <v>202</v>
      </c>
      <c r="H433" s="1" t="s">
        <v>32</v>
      </c>
      <c r="I433" s="12" t="s">
        <v>3428</v>
      </c>
      <c r="J433" s="1">
        <v>2023</v>
      </c>
      <c r="K433" s="1" t="s">
        <v>3427</v>
      </c>
      <c r="L433" s="1" t="s">
        <v>3422</v>
      </c>
      <c r="M433" s="1" t="s">
        <v>3426</v>
      </c>
      <c r="N433" s="12"/>
      <c r="P433" s="1" t="s">
        <v>3425</v>
      </c>
      <c r="Q433" s="1" t="s">
        <v>780</v>
      </c>
      <c r="R433" s="1" t="s">
        <v>941</v>
      </c>
      <c r="S433" s="12" t="s">
        <v>3424</v>
      </c>
      <c r="T433" s="12" t="s">
        <v>3423</v>
      </c>
      <c r="U433" s="17">
        <v>2</v>
      </c>
      <c r="V433" s="12" t="s">
        <v>3267</v>
      </c>
      <c r="W433" s="12" t="s">
        <v>3422</v>
      </c>
      <c r="X433" s="12" t="s">
        <v>2256</v>
      </c>
      <c r="Y433" s="13">
        <v>45799</v>
      </c>
      <c r="Z433" s="12">
        <v>2025</v>
      </c>
      <c r="AA433" s="11">
        <v>3282087.09</v>
      </c>
      <c r="AB433" s="11"/>
      <c r="AC433" s="11">
        <v>3282087.09</v>
      </c>
      <c r="AD433" s="2"/>
      <c r="AG433" s="1" t="s">
        <v>21</v>
      </c>
      <c r="AI433" s="11">
        <v>3282087.09</v>
      </c>
      <c r="AK433" s="1"/>
    </row>
    <row r="434" spans="1:38" ht="15" customHeight="1" x14ac:dyDescent="0.25">
      <c r="A434" s="1" t="s">
        <v>19</v>
      </c>
      <c r="B434" s="14" t="s">
        <v>18</v>
      </c>
      <c r="C434" s="12" t="s">
        <v>37</v>
      </c>
      <c r="D434" s="1" t="s">
        <v>63</v>
      </c>
      <c r="E434" s="1" t="s">
        <v>35</v>
      </c>
      <c r="G434" s="1" t="s">
        <v>202</v>
      </c>
      <c r="H434" s="1" t="s">
        <v>32</v>
      </c>
      <c r="I434" s="12" t="s">
        <v>3421</v>
      </c>
      <c r="J434" s="1">
        <v>2023</v>
      </c>
      <c r="K434" s="1" t="s">
        <v>3420</v>
      </c>
      <c r="L434" s="1" t="s">
        <v>3417</v>
      </c>
      <c r="M434" s="1" t="s">
        <v>3419</v>
      </c>
      <c r="P434" s="1" t="s">
        <v>3418</v>
      </c>
      <c r="Q434" s="1" t="s">
        <v>780</v>
      </c>
      <c r="R434" s="1" t="s">
        <v>941</v>
      </c>
      <c r="S434" s="12" t="s">
        <v>3325</v>
      </c>
      <c r="T434" s="12" t="s">
        <v>3324</v>
      </c>
      <c r="U434" s="17">
        <v>1</v>
      </c>
      <c r="V434" s="12" t="s">
        <v>3267</v>
      </c>
      <c r="W434" s="12" t="s">
        <v>3417</v>
      </c>
      <c r="X434" s="12" t="s">
        <v>319</v>
      </c>
      <c r="Y434" s="13">
        <v>45799</v>
      </c>
      <c r="Z434" s="12">
        <v>2025</v>
      </c>
      <c r="AA434" s="11">
        <v>3654731.64</v>
      </c>
      <c r="AB434" s="11"/>
      <c r="AC434" s="11">
        <v>3654731.64</v>
      </c>
      <c r="AD434" s="2"/>
      <c r="AG434" s="1" t="s">
        <v>21</v>
      </c>
      <c r="AI434" s="11">
        <v>3654731.64</v>
      </c>
      <c r="AK434" s="1"/>
    </row>
    <row r="435" spans="1:38" ht="15" customHeight="1" x14ac:dyDescent="0.25">
      <c r="A435" s="1" t="s">
        <v>19</v>
      </c>
      <c r="B435" s="14" t="s">
        <v>18</v>
      </c>
      <c r="C435" s="12" t="s">
        <v>37</v>
      </c>
      <c r="D435" s="1" t="s">
        <v>63</v>
      </c>
      <c r="E435" s="1" t="s">
        <v>35</v>
      </c>
      <c r="G435" s="1" t="s">
        <v>202</v>
      </c>
      <c r="H435" s="1" t="s">
        <v>32</v>
      </c>
      <c r="I435" s="12" t="s">
        <v>3416</v>
      </c>
      <c r="J435" s="1">
        <v>2023</v>
      </c>
      <c r="K435" s="1" t="s">
        <v>3415</v>
      </c>
      <c r="L435" s="1" t="s">
        <v>3414</v>
      </c>
      <c r="M435" s="1" t="s">
        <v>3413</v>
      </c>
      <c r="N435" s="12"/>
      <c r="P435" s="1" t="s">
        <v>3340</v>
      </c>
      <c r="Q435" s="1" t="s">
        <v>780</v>
      </c>
      <c r="R435" s="1" t="s">
        <v>941</v>
      </c>
      <c r="S435" s="12" t="s">
        <v>3339</v>
      </c>
      <c r="T435" s="12" t="s">
        <v>3338</v>
      </c>
      <c r="U435" s="17">
        <v>1</v>
      </c>
      <c r="V435" s="12" t="s">
        <v>3267</v>
      </c>
      <c r="W435" s="12" t="s">
        <v>3412</v>
      </c>
      <c r="X435" s="12" t="s">
        <v>2159</v>
      </c>
      <c r="Y435" s="13">
        <v>45799</v>
      </c>
      <c r="Z435" s="12">
        <v>2025</v>
      </c>
      <c r="AA435" s="11">
        <v>808769.52</v>
      </c>
      <c r="AB435" s="11"/>
      <c r="AC435" s="11">
        <v>808769.52</v>
      </c>
      <c r="AD435" s="2"/>
      <c r="AG435" s="1" t="s">
        <v>21</v>
      </c>
      <c r="AI435" s="11">
        <v>808769.52</v>
      </c>
      <c r="AK435" s="1"/>
    </row>
    <row r="436" spans="1:38" ht="15" customHeight="1" x14ac:dyDescent="0.2">
      <c r="A436" s="1" t="s">
        <v>19</v>
      </c>
      <c r="B436" s="5" t="s">
        <v>109</v>
      </c>
      <c r="C436" s="1" t="s">
        <v>37</v>
      </c>
      <c r="D436" s="1" t="s">
        <v>132</v>
      </c>
      <c r="E436" s="1" t="s">
        <v>35</v>
      </c>
      <c r="G436" s="1" t="s">
        <v>131</v>
      </c>
      <c r="H436" s="1" t="s">
        <v>130</v>
      </c>
      <c r="I436" s="1" t="s">
        <v>3411</v>
      </c>
      <c r="J436" s="1">
        <v>2018</v>
      </c>
      <c r="P436" s="1" t="s">
        <v>136</v>
      </c>
      <c r="Q436" s="1" t="s">
        <v>780</v>
      </c>
      <c r="R436" s="1" t="s">
        <v>941</v>
      </c>
      <c r="S436" s="1" t="s">
        <v>3339</v>
      </c>
      <c r="T436" s="1" t="s">
        <v>3338</v>
      </c>
      <c r="U436" s="1">
        <v>1</v>
      </c>
      <c r="V436" s="1" t="s">
        <v>3267</v>
      </c>
      <c r="Y436" s="3">
        <v>43461</v>
      </c>
      <c r="Z436" s="1">
        <v>2018</v>
      </c>
      <c r="AA436" s="2"/>
      <c r="AB436" s="2"/>
      <c r="AC436" s="2">
        <v>446969.76999999996</v>
      </c>
      <c r="AG436" s="1" t="s">
        <v>21</v>
      </c>
      <c r="AI436" s="2">
        <v>446969.76999999996</v>
      </c>
      <c r="AK436" s="1"/>
      <c r="AL436" s="1" t="s">
        <v>127</v>
      </c>
    </row>
    <row r="437" spans="1:38" ht="15" customHeight="1" x14ac:dyDescent="0.2">
      <c r="A437" s="1" t="s">
        <v>19</v>
      </c>
      <c r="B437" s="5" t="s">
        <v>109</v>
      </c>
      <c r="C437" s="1" t="s">
        <v>37</v>
      </c>
      <c r="D437" s="1" t="s">
        <v>132</v>
      </c>
      <c r="E437" s="1" t="s">
        <v>35</v>
      </c>
      <c r="G437" s="1" t="s">
        <v>131</v>
      </c>
      <c r="H437" s="1" t="s">
        <v>130</v>
      </c>
      <c r="I437" s="1" t="s">
        <v>3410</v>
      </c>
      <c r="J437" s="1">
        <v>2018</v>
      </c>
      <c r="P437" s="1" t="s">
        <v>136</v>
      </c>
      <c r="Q437" s="1" t="s">
        <v>780</v>
      </c>
      <c r="R437" s="1" t="s">
        <v>941</v>
      </c>
      <c r="S437" s="1" t="s">
        <v>3339</v>
      </c>
      <c r="T437" s="1" t="s">
        <v>3338</v>
      </c>
      <c r="U437" s="1">
        <v>1</v>
      </c>
      <c r="V437" s="1" t="s">
        <v>3267</v>
      </c>
      <c r="Y437" s="3">
        <v>43461</v>
      </c>
      <c r="Z437" s="1">
        <v>2018</v>
      </c>
      <c r="AA437" s="2"/>
      <c r="AB437" s="2"/>
      <c r="AC437" s="2">
        <v>472204.85</v>
      </c>
      <c r="AG437" s="1" t="s">
        <v>21</v>
      </c>
      <c r="AI437" s="2">
        <v>472204.85</v>
      </c>
      <c r="AK437" s="1"/>
      <c r="AL437" s="1" t="s">
        <v>127</v>
      </c>
    </row>
    <row r="438" spans="1:38" ht="15" customHeight="1" x14ac:dyDescent="0.2">
      <c r="A438" s="1" t="s">
        <v>19</v>
      </c>
      <c r="B438" s="5" t="s">
        <v>109</v>
      </c>
      <c r="C438" s="1" t="s">
        <v>37</v>
      </c>
      <c r="D438" s="1" t="s">
        <v>132</v>
      </c>
      <c r="E438" s="1" t="s">
        <v>35</v>
      </c>
      <c r="G438" s="1" t="s">
        <v>131</v>
      </c>
      <c r="H438" s="1" t="s">
        <v>130</v>
      </c>
      <c r="I438" s="1" t="s">
        <v>3409</v>
      </c>
      <c r="J438" s="1">
        <v>2018</v>
      </c>
      <c r="P438" s="1" t="s">
        <v>136</v>
      </c>
      <c r="Q438" s="1" t="s">
        <v>780</v>
      </c>
      <c r="R438" s="1" t="s">
        <v>941</v>
      </c>
      <c r="S438" s="1" t="s">
        <v>3339</v>
      </c>
      <c r="T438" s="1" t="s">
        <v>3338</v>
      </c>
      <c r="U438" s="1">
        <v>1</v>
      </c>
      <c r="V438" s="1" t="s">
        <v>3267</v>
      </c>
      <c r="Y438" s="3">
        <v>43461</v>
      </c>
      <c r="Z438" s="1">
        <v>2018</v>
      </c>
      <c r="AA438" s="2"/>
      <c r="AB438" s="2"/>
      <c r="AC438" s="2">
        <v>582608.22</v>
      </c>
      <c r="AG438" s="1" t="s">
        <v>21</v>
      </c>
      <c r="AI438" s="2">
        <v>582608.22</v>
      </c>
      <c r="AK438" s="1"/>
      <c r="AL438" s="1" t="s">
        <v>127</v>
      </c>
    </row>
    <row r="439" spans="1:38" ht="15" customHeight="1" x14ac:dyDescent="0.2">
      <c r="A439" s="1" t="s">
        <v>19</v>
      </c>
      <c r="B439" s="5" t="s">
        <v>109</v>
      </c>
      <c r="C439" s="1" t="s">
        <v>37</v>
      </c>
      <c r="D439" s="1" t="s">
        <v>132</v>
      </c>
      <c r="E439" s="1" t="s">
        <v>35</v>
      </c>
      <c r="G439" s="1" t="s">
        <v>131</v>
      </c>
      <c r="H439" s="1" t="s">
        <v>130</v>
      </c>
      <c r="I439" s="1" t="s">
        <v>3408</v>
      </c>
      <c r="J439" s="1">
        <v>2019</v>
      </c>
      <c r="P439" s="1" t="s">
        <v>136</v>
      </c>
      <c r="Q439" s="1" t="s">
        <v>780</v>
      </c>
      <c r="R439" s="1" t="s">
        <v>941</v>
      </c>
      <c r="S439" s="1" t="s">
        <v>3339</v>
      </c>
      <c r="T439" s="1" t="s">
        <v>3338</v>
      </c>
      <c r="U439" s="1">
        <v>1</v>
      </c>
      <c r="V439" s="1" t="s">
        <v>3267</v>
      </c>
      <c r="Y439" s="3">
        <v>43486</v>
      </c>
      <c r="Z439" s="1">
        <v>2019</v>
      </c>
      <c r="AA439" s="2"/>
      <c r="AB439" s="2"/>
      <c r="AC439" s="2">
        <v>539200.03</v>
      </c>
      <c r="AG439" s="1" t="s">
        <v>21</v>
      </c>
      <c r="AI439" s="2">
        <v>539200.03</v>
      </c>
      <c r="AK439" s="1"/>
      <c r="AL439" s="1" t="s">
        <v>127</v>
      </c>
    </row>
    <row r="440" spans="1:38" ht="15" customHeight="1" x14ac:dyDescent="0.2">
      <c r="A440" s="1" t="s">
        <v>19</v>
      </c>
      <c r="B440" s="5" t="s">
        <v>109</v>
      </c>
      <c r="C440" s="1" t="s">
        <v>37</v>
      </c>
      <c r="D440" s="1" t="s">
        <v>132</v>
      </c>
      <c r="E440" s="1" t="s">
        <v>35</v>
      </c>
      <c r="G440" s="1" t="s">
        <v>131</v>
      </c>
      <c r="H440" s="1" t="s">
        <v>130</v>
      </c>
      <c r="I440" s="1" t="s">
        <v>3407</v>
      </c>
      <c r="J440" s="1">
        <v>2018</v>
      </c>
      <c r="P440" s="1" t="s">
        <v>136</v>
      </c>
      <c r="Q440" s="1" t="s">
        <v>780</v>
      </c>
      <c r="R440" s="1" t="s">
        <v>941</v>
      </c>
      <c r="S440" s="1" t="s">
        <v>3339</v>
      </c>
      <c r="T440" s="1" t="s">
        <v>3338</v>
      </c>
      <c r="U440" s="1">
        <v>1</v>
      </c>
      <c r="V440" s="1" t="s">
        <v>3267</v>
      </c>
      <c r="Y440" s="3">
        <v>43461</v>
      </c>
      <c r="Z440" s="1">
        <v>2018</v>
      </c>
      <c r="AA440" s="2"/>
      <c r="AB440" s="2"/>
      <c r="AC440" s="2">
        <v>650496.32000000007</v>
      </c>
      <c r="AG440" s="1" t="s">
        <v>21</v>
      </c>
      <c r="AI440" s="2">
        <v>650496.32000000007</v>
      </c>
      <c r="AK440" s="1"/>
      <c r="AL440" s="1" t="s">
        <v>127</v>
      </c>
    </row>
    <row r="441" spans="1:38" ht="15" customHeight="1" x14ac:dyDescent="0.2">
      <c r="A441" s="1" t="s">
        <v>19</v>
      </c>
      <c r="B441" s="5" t="s">
        <v>109</v>
      </c>
      <c r="C441" s="1" t="s">
        <v>37</v>
      </c>
      <c r="D441" s="1" t="s">
        <v>132</v>
      </c>
      <c r="E441" s="1" t="s">
        <v>35</v>
      </c>
      <c r="G441" s="1" t="s">
        <v>131</v>
      </c>
      <c r="H441" s="1" t="s">
        <v>130</v>
      </c>
      <c r="I441" s="1" t="s">
        <v>3406</v>
      </c>
      <c r="J441" s="1">
        <v>2018</v>
      </c>
      <c r="P441" s="1" t="s">
        <v>136</v>
      </c>
      <c r="Q441" s="1" t="s">
        <v>780</v>
      </c>
      <c r="R441" s="1" t="s">
        <v>941</v>
      </c>
      <c r="S441" s="1" t="s">
        <v>3339</v>
      </c>
      <c r="T441" s="1" t="s">
        <v>3338</v>
      </c>
      <c r="U441" s="1">
        <v>1</v>
      </c>
      <c r="V441" s="1" t="s">
        <v>3267</v>
      </c>
      <c r="Y441" s="3">
        <v>43461</v>
      </c>
      <c r="Z441" s="1">
        <v>2018</v>
      </c>
      <c r="AA441" s="2"/>
      <c r="AB441" s="2"/>
      <c r="AC441" s="2">
        <v>444586.17000000004</v>
      </c>
      <c r="AG441" s="1" t="s">
        <v>21</v>
      </c>
      <c r="AI441" s="2">
        <v>444586.17000000004</v>
      </c>
      <c r="AK441" s="1"/>
      <c r="AL441" s="1" t="s">
        <v>127</v>
      </c>
    </row>
    <row r="442" spans="1:38" ht="15" customHeight="1" x14ac:dyDescent="0.2">
      <c r="A442" s="1" t="s">
        <v>19</v>
      </c>
      <c r="B442" s="5" t="s">
        <v>109</v>
      </c>
      <c r="C442" s="1" t="s">
        <v>37</v>
      </c>
      <c r="D442" s="1" t="s">
        <v>132</v>
      </c>
      <c r="E442" s="1" t="s">
        <v>35</v>
      </c>
      <c r="G442" s="1" t="s">
        <v>131</v>
      </c>
      <c r="H442" s="1" t="s">
        <v>130</v>
      </c>
      <c r="I442" s="1" t="s">
        <v>3405</v>
      </c>
      <c r="J442" s="1">
        <v>2019</v>
      </c>
      <c r="P442" s="1" t="s">
        <v>136</v>
      </c>
      <c r="Q442" s="1" t="s">
        <v>780</v>
      </c>
      <c r="R442" s="1" t="s">
        <v>941</v>
      </c>
      <c r="S442" s="1" t="s">
        <v>3339</v>
      </c>
      <c r="T442" s="1" t="s">
        <v>3338</v>
      </c>
      <c r="U442" s="1">
        <v>1</v>
      </c>
      <c r="V442" s="1" t="s">
        <v>3267</v>
      </c>
      <c r="Y442" s="3">
        <v>43486</v>
      </c>
      <c r="Z442" s="1">
        <v>2019</v>
      </c>
      <c r="AA442" s="2"/>
      <c r="AB442" s="2"/>
      <c r="AC442" s="2">
        <v>352291.83</v>
      </c>
      <c r="AG442" s="1" t="s">
        <v>21</v>
      </c>
      <c r="AI442" s="2">
        <v>352291.83</v>
      </c>
      <c r="AK442" s="1"/>
      <c r="AL442" s="1" t="s">
        <v>127</v>
      </c>
    </row>
    <row r="443" spans="1:38" ht="15" customHeight="1" x14ac:dyDescent="0.2">
      <c r="A443" s="1" t="s">
        <v>19</v>
      </c>
      <c r="B443" s="5" t="s">
        <v>109</v>
      </c>
      <c r="C443" s="1" t="s">
        <v>37</v>
      </c>
      <c r="D443" s="1" t="s">
        <v>132</v>
      </c>
      <c r="E443" s="1" t="s">
        <v>35</v>
      </c>
      <c r="G443" s="1" t="s">
        <v>131</v>
      </c>
      <c r="H443" s="1" t="s">
        <v>130</v>
      </c>
      <c r="I443" s="1" t="s">
        <v>3404</v>
      </c>
      <c r="J443" s="1">
        <v>2018</v>
      </c>
      <c r="P443" s="1" t="s">
        <v>136</v>
      </c>
      <c r="Q443" s="1" t="s">
        <v>780</v>
      </c>
      <c r="R443" s="1" t="s">
        <v>941</v>
      </c>
      <c r="S443" s="1" t="s">
        <v>3339</v>
      </c>
      <c r="T443" s="1" t="s">
        <v>3338</v>
      </c>
      <c r="U443" s="1">
        <v>1</v>
      </c>
      <c r="V443" s="1" t="s">
        <v>3267</v>
      </c>
      <c r="Y443" s="3">
        <v>43461</v>
      </c>
      <c r="Z443" s="1">
        <v>2018</v>
      </c>
      <c r="AA443" s="2"/>
      <c r="AB443" s="2"/>
      <c r="AC443" s="2">
        <v>658280.07999999996</v>
      </c>
      <c r="AG443" s="1" t="s">
        <v>21</v>
      </c>
      <c r="AI443" s="2">
        <v>658280.07999999996</v>
      </c>
      <c r="AK443" s="1"/>
      <c r="AL443" s="1" t="s">
        <v>127</v>
      </c>
    </row>
    <row r="444" spans="1:38" ht="15" customHeight="1" x14ac:dyDescent="0.2">
      <c r="A444" s="1" t="s">
        <v>19</v>
      </c>
      <c r="B444" s="5" t="s">
        <v>109</v>
      </c>
      <c r="C444" s="1" t="s">
        <v>37</v>
      </c>
      <c r="D444" s="1" t="s">
        <v>132</v>
      </c>
      <c r="E444" s="1" t="s">
        <v>35</v>
      </c>
      <c r="G444" s="1" t="s">
        <v>131</v>
      </c>
      <c r="H444" s="1" t="s">
        <v>130</v>
      </c>
      <c r="I444" s="1" t="s">
        <v>3403</v>
      </c>
      <c r="J444" s="1">
        <v>2018</v>
      </c>
      <c r="P444" s="1" t="s">
        <v>136</v>
      </c>
      <c r="Q444" s="1" t="s">
        <v>780</v>
      </c>
      <c r="R444" s="1" t="s">
        <v>941</v>
      </c>
      <c r="S444" s="1" t="s">
        <v>3339</v>
      </c>
      <c r="T444" s="1" t="s">
        <v>3338</v>
      </c>
      <c r="U444" s="1">
        <v>1</v>
      </c>
      <c r="V444" s="1" t="s">
        <v>3267</v>
      </c>
      <c r="Y444" s="3">
        <v>43459</v>
      </c>
      <c r="Z444" s="1">
        <v>2018</v>
      </c>
      <c r="AA444" s="2"/>
      <c r="AB444" s="2"/>
      <c r="AC444" s="2">
        <v>539555.32000000007</v>
      </c>
      <c r="AG444" s="1" t="s">
        <v>21</v>
      </c>
      <c r="AI444" s="2">
        <v>539555.32000000007</v>
      </c>
      <c r="AK444" s="1"/>
      <c r="AL444" s="1" t="s">
        <v>127</v>
      </c>
    </row>
    <row r="445" spans="1:38" ht="15" customHeight="1" x14ac:dyDescent="0.2">
      <c r="A445" s="1" t="s">
        <v>19</v>
      </c>
      <c r="B445" s="5" t="s">
        <v>109</v>
      </c>
      <c r="C445" s="1" t="s">
        <v>37</v>
      </c>
      <c r="D445" s="1" t="s">
        <v>132</v>
      </c>
      <c r="E445" s="1" t="s">
        <v>35</v>
      </c>
      <c r="G445" s="1" t="s">
        <v>131</v>
      </c>
      <c r="H445" s="1" t="s">
        <v>130</v>
      </c>
      <c r="I445" s="1" t="s">
        <v>3402</v>
      </c>
      <c r="J445" s="1">
        <v>2018</v>
      </c>
      <c r="P445" s="1" t="s">
        <v>136</v>
      </c>
      <c r="Q445" s="1" t="s">
        <v>780</v>
      </c>
      <c r="R445" s="1" t="s">
        <v>941</v>
      </c>
      <c r="S445" s="1" t="s">
        <v>3339</v>
      </c>
      <c r="T445" s="1" t="s">
        <v>3338</v>
      </c>
      <c r="U445" s="1">
        <v>1</v>
      </c>
      <c r="V445" s="1" t="s">
        <v>3267</v>
      </c>
      <c r="Y445" s="3">
        <v>43461</v>
      </c>
      <c r="Z445" s="1">
        <v>2018</v>
      </c>
      <c r="AA445" s="2"/>
      <c r="AB445" s="2"/>
      <c r="AC445" s="2">
        <v>364456.16000000003</v>
      </c>
      <c r="AG445" s="1" t="s">
        <v>21</v>
      </c>
      <c r="AI445" s="2">
        <v>364456.16000000003</v>
      </c>
      <c r="AK445" s="1"/>
      <c r="AL445" s="1" t="s">
        <v>127</v>
      </c>
    </row>
    <row r="446" spans="1:38" ht="15" customHeight="1" x14ac:dyDescent="0.2">
      <c r="A446" s="1" t="s">
        <v>19</v>
      </c>
      <c r="B446" s="5" t="s">
        <v>109</v>
      </c>
      <c r="C446" s="1" t="s">
        <v>37</v>
      </c>
      <c r="D446" s="1" t="s">
        <v>132</v>
      </c>
      <c r="E446" s="1" t="s">
        <v>35</v>
      </c>
      <c r="G446" s="1" t="s">
        <v>131</v>
      </c>
      <c r="H446" s="1" t="s">
        <v>130</v>
      </c>
      <c r="I446" s="1" t="s">
        <v>3401</v>
      </c>
      <c r="J446" s="1">
        <v>2018</v>
      </c>
      <c r="P446" s="1" t="s">
        <v>136</v>
      </c>
      <c r="Q446" s="1" t="s">
        <v>780</v>
      </c>
      <c r="R446" s="1" t="s">
        <v>941</v>
      </c>
      <c r="S446" s="1" t="s">
        <v>3339</v>
      </c>
      <c r="T446" s="1" t="s">
        <v>3338</v>
      </c>
      <c r="U446" s="1">
        <v>1</v>
      </c>
      <c r="V446" s="1" t="s">
        <v>3267</v>
      </c>
      <c r="Y446" s="3">
        <v>43461</v>
      </c>
      <c r="Z446" s="1">
        <v>2018</v>
      </c>
      <c r="AA446" s="2"/>
      <c r="AB446" s="2"/>
      <c r="AC446" s="2">
        <v>185516.29</v>
      </c>
      <c r="AG446" s="1" t="s">
        <v>21</v>
      </c>
      <c r="AI446" s="2">
        <v>185516.29</v>
      </c>
      <c r="AK446" s="1"/>
      <c r="AL446" s="1" t="s">
        <v>127</v>
      </c>
    </row>
    <row r="447" spans="1:38" ht="15" customHeight="1" x14ac:dyDescent="0.2">
      <c r="A447" s="1" t="s">
        <v>19</v>
      </c>
      <c r="B447" s="5" t="s">
        <v>18</v>
      </c>
      <c r="C447" s="1" t="s">
        <v>37</v>
      </c>
      <c r="D447" s="1" t="s">
        <v>36</v>
      </c>
      <c r="E447" s="1" t="s">
        <v>35</v>
      </c>
      <c r="G447" s="1" t="s">
        <v>3400</v>
      </c>
      <c r="H447" s="1" t="s">
        <v>130</v>
      </c>
      <c r="I447" s="1" t="s">
        <v>3399</v>
      </c>
      <c r="J447" s="1">
        <v>2020</v>
      </c>
      <c r="K447" s="1" t="s">
        <v>3398</v>
      </c>
      <c r="L447" s="1" t="s">
        <v>3396</v>
      </c>
      <c r="P447" s="1" t="s">
        <v>3397</v>
      </c>
      <c r="Q447" s="1" t="s">
        <v>780</v>
      </c>
      <c r="R447" s="1" t="s">
        <v>941</v>
      </c>
      <c r="S447" s="1" t="s">
        <v>3302</v>
      </c>
      <c r="T447" s="1" t="s">
        <v>3301</v>
      </c>
      <c r="U447" s="1">
        <v>1</v>
      </c>
      <c r="V447" s="1" t="s">
        <v>3267</v>
      </c>
      <c r="W447" s="1" t="s">
        <v>3396</v>
      </c>
      <c r="X447" s="1" t="s">
        <v>52</v>
      </c>
      <c r="Y447" s="3">
        <v>44333</v>
      </c>
      <c r="Z447" s="1">
        <v>2021</v>
      </c>
      <c r="AA447" s="2">
        <v>2089935.68</v>
      </c>
      <c r="AB447" s="2"/>
      <c r="AC447" s="2">
        <v>2070066.67</v>
      </c>
      <c r="AF447" s="1">
        <v>18</v>
      </c>
      <c r="AG447" s="1" t="s">
        <v>21</v>
      </c>
      <c r="AI447" s="2">
        <v>2070066.67</v>
      </c>
      <c r="AJ447" s="1">
        <v>7.54</v>
      </c>
      <c r="AK447" s="1"/>
      <c r="AL447" s="7" t="s">
        <v>3395</v>
      </c>
    </row>
    <row r="448" spans="1:38" ht="15" customHeight="1" x14ac:dyDescent="0.2">
      <c r="A448" s="1" t="s">
        <v>19</v>
      </c>
      <c r="B448" s="5" t="s">
        <v>109</v>
      </c>
      <c r="C448" s="1" t="s">
        <v>37</v>
      </c>
      <c r="D448" s="1" t="s">
        <v>132</v>
      </c>
      <c r="E448" s="1" t="s">
        <v>35</v>
      </c>
      <c r="G448" s="1" t="s">
        <v>131</v>
      </c>
      <c r="H448" s="1" t="s">
        <v>130</v>
      </c>
      <c r="I448" s="1" t="s">
        <v>3394</v>
      </c>
      <c r="J448" s="1">
        <v>2018</v>
      </c>
      <c r="P448" s="1" t="s">
        <v>136</v>
      </c>
      <c r="Q448" s="1" t="s">
        <v>780</v>
      </c>
      <c r="R448" s="1" t="s">
        <v>941</v>
      </c>
      <c r="S448" s="1" t="s">
        <v>3339</v>
      </c>
      <c r="T448" s="1" t="s">
        <v>3338</v>
      </c>
      <c r="U448" s="1">
        <v>1</v>
      </c>
      <c r="V448" s="1" t="s">
        <v>3267</v>
      </c>
      <c r="Y448" s="3">
        <v>43461</v>
      </c>
      <c r="Z448" s="1">
        <v>2018</v>
      </c>
      <c r="AA448" s="2"/>
      <c r="AB448" s="2"/>
      <c r="AC448" s="2">
        <v>414630.75000000006</v>
      </c>
      <c r="AG448" s="1" t="s">
        <v>21</v>
      </c>
      <c r="AI448" s="2">
        <v>414630.75000000006</v>
      </c>
      <c r="AK448" s="1"/>
      <c r="AL448" s="1" t="s">
        <v>127</v>
      </c>
    </row>
    <row r="449" spans="1:38" ht="15" customHeight="1" x14ac:dyDescent="0.2">
      <c r="A449" s="1" t="s">
        <v>19</v>
      </c>
      <c r="B449" s="5" t="s">
        <v>109</v>
      </c>
      <c r="C449" s="1" t="s">
        <v>37</v>
      </c>
      <c r="D449" s="1" t="s">
        <v>132</v>
      </c>
      <c r="E449" s="1" t="s">
        <v>35</v>
      </c>
      <c r="G449" s="1" t="s">
        <v>131</v>
      </c>
      <c r="H449" s="1" t="s">
        <v>130</v>
      </c>
      <c r="I449" s="1" t="s">
        <v>3393</v>
      </c>
      <c r="J449" s="1">
        <v>2021</v>
      </c>
      <c r="P449" s="1" t="s">
        <v>3390</v>
      </c>
      <c r="Q449" s="1" t="s">
        <v>780</v>
      </c>
      <c r="R449" s="1" t="s">
        <v>941</v>
      </c>
      <c r="S449" s="1" t="s">
        <v>3302</v>
      </c>
      <c r="T449" s="1" t="s">
        <v>3301</v>
      </c>
      <c r="U449" s="1">
        <v>1</v>
      </c>
      <c r="V449" s="1" t="s">
        <v>3267</v>
      </c>
      <c r="Y449" s="3">
        <v>44454</v>
      </c>
      <c r="Z449" s="1">
        <v>2021</v>
      </c>
      <c r="AA449" s="2"/>
      <c r="AB449" s="2"/>
      <c r="AC449" s="2">
        <v>334040.56000000006</v>
      </c>
      <c r="AG449" s="1" t="s">
        <v>21</v>
      </c>
      <c r="AI449" s="2">
        <v>334040.56000000006</v>
      </c>
      <c r="AK449" s="1"/>
      <c r="AL449" s="1" t="s">
        <v>127</v>
      </c>
    </row>
    <row r="450" spans="1:38" ht="15" customHeight="1" x14ac:dyDescent="0.2">
      <c r="A450" s="1" t="s">
        <v>19</v>
      </c>
      <c r="B450" s="5" t="s">
        <v>109</v>
      </c>
      <c r="C450" s="1" t="s">
        <v>37</v>
      </c>
      <c r="D450" s="1" t="s">
        <v>132</v>
      </c>
      <c r="E450" s="1" t="s">
        <v>35</v>
      </c>
      <c r="G450" s="1" t="s">
        <v>131</v>
      </c>
      <c r="H450" s="1" t="s">
        <v>130</v>
      </c>
      <c r="I450" s="1" t="s">
        <v>3392</v>
      </c>
      <c r="J450" s="1">
        <v>2018</v>
      </c>
      <c r="P450" s="1" t="s">
        <v>136</v>
      </c>
      <c r="Q450" s="1" t="s">
        <v>780</v>
      </c>
      <c r="R450" s="1" t="s">
        <v>941</v>
      </c>
      <c r="S450" s="1" t="s">
        <v>3339</v>
      </c>
      <c r="T450" s="1" t="s">
        <v>3338</v>
      </c>
      <c r="U450" s="1">
        <v>1</v>
      </c>
      <c r="V450" s="1" t="s">
        <v>3267</v>
      </c>
      <c r="Y450" s="3">
        <v>43461</v>
      </c>
      <c r="Z450" s="1">
        <v>2018</v>
      </c>
      <c r="AA450" s="2"/>
      <c r="AB450" s="2"/>
      <c r="AC450" s="2">
        <v>564056.17000000004</v>
      </c>
      <c r="AG450" s="1" t="s">
        <v>21</v>
      </c>
      <c r="AI450" s="2">
        <v>564056.17000000004</v>
      </c>
      <c r="AK450" s="1"/>
      <c r="AL450" s="1" t="s">
        <v>127</v>
      </c>
    </row>
    <row r="451" spans="1:38" ht="15" customHeight="1" x14ac:dyDescent="0.2">
      <c r="A451" s="1" t="s">
        <v>19</v>
      </c>
      <c r="B451" s="5" t="s">
        <v>109</v>
      </c>
      <c r="C451" s="1" t="s">
        <v>37</v>
      </c>
      <c r="D451" s="1" t="s">
        <v>132</v>
      </c>
      <c r="E451" s="1" t="s">
        <v>35</v>
      </c>
      <c r="G451" s="1" t="s">
        <v>131</v>
      </c>
      <c r="H451" s="1" t="s">
        <v>130</v>
      </c>
      <c r="I451" s="1" t="s">
        <v>3391</v>
      </c>
      <c r="J451" s="1">
        <v>2018</v>
      </c>
      <c r="P451" s="1" t="s">
        <v>3390</v>
      </c>
      <c r="Q451" s="1" t="s">
        <v>780</v>
      </c>
      <c r="R451" s="1" t="s">
        <v>941</v>
      </c>
      <c r="S451" s="1" t="s">
        <v>3302</v>
      </c>
      <c r="T451" s="1" t="s">
        <v>3301</v>
      </c>
      <c r="U451" s="1">
        <v>1</v>
      </c>
      <c r="V451" s="1" t="s">
        <v>3267</v>
      </c>
      <c r="Y451" s="3">
        <v>43461</v>
      </c>
      <c r="Z451" s="1">
        <v>2018</v>
      </c>
      <c r="AA451" s="2"/>
      <c r="AB451" s="2"/>
      <c r="AC451" s="2">
        <v>434527.13</v>
      </c>
      <c r="AG451" s="1" t="s">
        <v>21</v>
      </c>
      <c r="AI451" s="2">
        <v>434527.13</v>
      </c>
      <c r="AK451" s="1"/>
      <c r="AL451" s="1" t="s">
        <v>127</v>
      </c>
    </row>
    <row r="452" spans="1:38" ht="15" customHeight="1" x14ac:dyDescent="0.2">
      <c r="A452" s="1" t="s">
        <v>19</v>
      </c>
      <c r="B452" s="5" t="s">
        <v>109</v>
      </c>
      <c r="C452" s="1" t="s">
        <v>37</v>
      </c>
      <c r="D452" s="1" t="s">
        <v>132</v>
      </c>
      <c r="E452" s="1" t="s">
        <v>35</v>
      </c>
      <c r="G452" s="1" t="s">
        <v>131</v>
      </c>
      <c r="H452" s="1" t="s">
        <v>130</v>
      </c>
      <c r="I452" s="1" t="s">
        <v>3389</v>
      </c>
      <c r="J452" s="1">
        <v>2018</v>
      </c>
      <c r="P452" s="1" t="s">
        <v>136</v>
      </c>
      <c r="Q452" s="1" t="s">
        <v>780</v>
      </c>
      <c r="R452" s="1" t="s">
        <v>941</v>
      </c>
      <c r="S452" s="1" t="s">
        <v>3339</v>
      </c>
      <c r="T452" s="1" t="s">
        <v>3338</v>
      </c>
      <c r="U452" s="1">
        <v>1</v>
      </c>
      <c r="V452" s="1" t="s">
        <v>3267</v>
      </c>
      <c r="Y452" s="3">
        <v>43461</v>
      </c>
      <c r="Z452" s="1">
        <v>2018</v>
      </c>
      <c r="AA452" s="2"/>
      <c r="AB452" s="2"/>
      <c r="AC452" s="2">
        <v>764831.4</v>
      </c>
      <c r="AG452" s="1" t="s">
        <v>21</v>
      </c>
      <c r="AI452" s="2">
        <v>764831.4</v>
      </c>
      <c r="AK452" s="1"/>
      <c r="AL452" s="1" t="s">
        <v>127</v>
      </c>
    </row>
    <row r="453" spans="1:38" ht="15" customHeight="1" x14ac:dyDescent="0.2">
      <c r="A453" s="1" t="s">
        <v>19</v>
      </c>
      <c r="B453" s="5" t="s">
        <v>109</v>
      </c>
      <c r="C453" s="1" t="s">
        <v>37</v>
      </c>
      <c r="D453" s="1" t="s">
        <v>132</v>
      </c>
      <c r="E453" s="1" t="s">
        <v>35</v>
      </c>
      <c r="G453" s="1" t="s">
        <v>131</v>
      </c>
      <c r="H453" s="1" t="s">
        <v>130</v>
      </c>
      <c r="I453" s="1" t="s">
        <v>3388</v>
      </c>
      <c r="J453" s="1">
        <v>2018</v>
      </c>
      <c r="P453" s="1" t="s">
        <v>136</v>
      </c>
      <c r="Q453" s="1" t="s">
        <v>780</v>
      </c>
      <c r="R453" s="1" t="s">
        <v>941</v>
      </c>
      <c r="S453" s="1" t="s">
        <v>3339</v>
      </c>
      <c r="T453" s="1" t="s">
        <v>3338</v>
      </c>
      <c r="U453" s="1">
        <v>1</v>
      </c>
      <c r="V453" s="1" t="s">
        <v>3267</v>
      </c>
      <c r="Y453" s="3">
        <v>43461</v>
      </c>
      <c r="Z453" s="1">
        <v>2018</v>
      </c>
      <c r="AA453" s="2"/>
      <c r="AB453" s="2"/>
      <c r="AC453" s="2">
        <v>424947.31</v>
      </c>
      <c r="AG453" s="1" t="s">
        <v>21</v>
      </c>
      <c r="AI453" s="2">
        <v>424947.31</v>
      </c>
      <c r="AK453" s="1"/>
      <c r="AL453" s="1" t="s">
        <v>127</v>
      </c>
    </row>
    <row r="454" spans="1:38" ht="15" customHeight="1" x14ac:dyDescent="0.2">
      <c r="A454" s="1" t="s">
        <v>19</v>
      </c>
      <c r="B454" s="5" t="s">
        <v>109</v>
      </c>
      <c r="C454" s="1" t="s">
        <v>37</v>
      </c>
      <c r="D454" s="1" t="s">
        <v>132</v>
      </c>
      <c r="E454" s="1" t="s">
        <v>35</v>
      </c>
      <c r="G454" s="1" t="s">
        <v>131</v>
      </c>
      <c r="H454" s="1" t="s">
        <v>130</v>
      </c>
      <c r="I454" s="1" t="s">
        <v>3387</v>
      </c>
      <c r="J454" s="1">
        <v>2018</v>
      </c>
      <c r="P454" s="1" t="s">
        <v>136</v>
      </c>
      <c r="Q454" s="1" t="s">
        <v>780</v>
      </c>
      <c r="R454" s="1" t="s">
        <v>941</v>
      </c>
      <c r="S454" s="1" t="s">
        <v>3339</v>
      </c>
      <c r="T454" s="1" t="s">
        <v>3338</v>
      </c>
      <c r="U454" s="1">
        <v>1</v>
      </c>
      <c r="V454" s="1" t="s">
        <v>3267</v>
      </c>
      <c r="Y454" s="3">
        <v>43461</v>
      </c>
      <c r="Z454" s="1">
        <v>2018</v>
      </c>
      <c r="AA454" s="2"/>
      <c r="AB454" s="2"/>
      <c r="AC454" s="2">
        <v>540245.07000000007</v>
      </c>
      <c r="AG454" s="1" t="s">
        <v>21</v>
      </c>
      <c r="AI454" s="2">
        <v>540245.07000000007</v>
      </c>
      <c r="AK454" s="1"/>
      <c r="AL454" s="1" t="s">
        <v>127</v>
      </c>
    </row>
    <row r="455" spans="1:38" ht="15" customHeight="1" x14ac:dyDescent="0.2">
      <c r="A455" s="1" t="s">
        <v>19</v>
      </c>
      <c r="B455" s="5" t="s">
        <v>109</v>
      </c>
      <c r="C455" s="1" t="s">
        <v>37</v>
      </c>
      <c r="D455" s="1" t="s">
        <v>132</v>
      </c>
      <c r="E455" s="1" t="s">
        <v>35</v>
      </c>
      <c r="G455" s="1" t="s">
        <v>131</v>
      </c>
      <c r="H455" s="1" t="s">
        <v>130</v>
      </c>
      <c r="I455" s="1" t="s">
        <v>3386</v>
      </c>
      <c r="J455" s="1">
        <v>2018</v>
      </c>
      <c r="P455" s="1" t="s">
        <v>136</v>
      </c>
      <c r="Q455" s="1" t="s">
        <v>780</v>
      </c>
      <c r="R455" s="1" t="s">
        <v>941</v>
      </c>
      <c r="S455" s="1" t="s">
        <v>3339</v>
      </c>
      <c r="T455" s="1" t="s">
        <v>3338</v>
      </c>
      <c r="U455" s="1">
        <v>1</v>
      </c>
      <c r="V455" s="1" t="s">
        <v>3267</v>
      </c>
      <c r="Y455" s="3">
        <v>43459</v>
      </c>
      <c r="Z455" s="1">
        <v>2018</v>
      </c>
      <c r="AA455" s="2"/>
      <c r="AB455" s="2"/>
      <c r="AC455" s="2">
        <v>632577.61</v>
      </c>
      <c r="AG455" s="1" t="s">
        <v>21</v>
      </c>
      <c r="AI455" s="2">
        <v>632577.61</v>
      </c>
      <c r="AK455" s="1"/>
      <c r="AL455" s="1" t="s">
        <v>127</v>
      </c>
    </row>
    <row r="456" spans="1:38" ht="15" customHeight="1" x14ac:dyDescent="0.2">
      <c r="A456" s="1" t="s">
        <v>19</v>
      </c>
      <c r="B456" s="5" t="s">
        <v>18</v>
      </c>
      <c r="C456" s="1" t="s">
        <v>37</v>
      </c>
      <c r="D456" s="1" t="s">
        <v>36</v>
      </c>
      <c r="E456" s="1" t="s">
        <v>35</v>
      </c>
      <c r="F456" s="1" t="s">
        <v>2131</v>
      </c>
      <c r="G456" s="1" t="s">
        <v>33</v>
      </c>
      <c r="H456" s="1" t="s">
        <v>2130</v>
      </c>
      <c r="I456" s="1" t="s">
        <v>3385</v>
      </c>
      <c r="J456" s="1">
        <v>2021</v>
      </c>
      <c r="K456" s="1" t="s">
        <v>3371</v>
      </c>
      <c r="L456" s="1" t="s">
        <v>3371</v>
      </c>
      <c r="M456" s="1" t="s">
        <v>3365</v>
      </c>
      <c r="P456" s="1" t="s">
        <v>2126</v>
      </c>
      <c r="Q456" s="1" t="s">
        <v>780</v>
      </c>
      <c r="R456" s="1" t="s">
        <v>941</v>
      </c>
      <c r="S456" s="1" t="s">
        <v>3297</v>
      </c>
      <c r="T456" s="1" t="s">
        <v>3296</v>
      </c>
      <c r="U456" s="1">
        <v>1</v>
      </c>
      <c r="V456" s="1" t="s">
        <v>3267</v>
      </c>
      <c r="W456" s="1" t="s">
        <v>3384</v>
      </c>
      <c r="Y456" s="3">
        <v>44363</v>
      </c>
      <c r="Z456" s="1">
        <v>2021</v>
      </c>
      <c r="AA456" s="2">
        <v>1050038.3899999999</v>
      </c>
      <c r="AB456" s="2"/>
      <c r="AC456" s="2">
        <v>1050038.3899999999</v>
      </c>
      <c r="AG456" s="1" t="s">
        <v>2123</v>
      </c>
      <c r="AI456" s="2">
        <v>1050038.3899999999</v>
      </c>
      <c r="AJ456" s="2">
        <v>4.8899999999999997</v>
      </c>
      <c r="AK456" s="1"/>
      <c r="AL456" s="1" t="s">
        <v>3383</v>
      </c>
    </row>
    <row r="457" spans="1:38" ht="15" customHeight="1" x14ac:dyDescent="0.2">
      <c r="A457" s="1" t="s">
        <v>19</v>
      </c>
      <c r="B457" s="5" t="s">
        <v>18</v>
      </c>
      <c r="C457" s="1" t="s">
        <v>37</v>
      </c>
      <c r="D457" s="1" t="s">
        <v>36</v>
      </c>
      <c r="E457" s="1" t="s">
        <v>35</v>
      </c>
      <c r="F457" s="1" t="s">
        <v>2131</v>
      </c>
      <c r="G457" s="1" t="s">
        <v>33</v>
      </c>
      <c r="H457" s="1" t="s">
        <v>2130</v>
      </c>
      <c r="I457" s="1" t="s">
        <v>3382</v>
      </c>
      <c r="J457" s="1">
        <v>2021</v>
      </c>
      <c r="K457" s="1" t="s">
        <v>3381</v>
      </c>
      <c r="L457" s="1" t="s">
        <v>3381</v>
      </c>
      <c r="M457" s="1" t="s">
        <v>3365</v>
      </c>
      <c r="P457" s="1" t="s">
        <v>2126</v>
      </c>
      <c r="Q457" s="1" t="s">
        <v>780</v>
      </c>
      <c r="R457" s="1" t="s">
        <v>941</v>
      </c>
      <c r="S457" s="1" t="s">
        <v>3380</v>
      </c>
      <c r="T457" s="1" t="s">
        <v>3379</v>
      </c>
      <c r="U457" s="1">
        <v>1</v>
      </c>
      <c r="V457" s="1" t="s">
        <v>3267</v>
      </c>
      <c r="W457" s="1" t="s">
        <v>3378</v>
      </c>
      <c r="Y457" s="3">
        <v>44363</v>
      </c>
      <c r="Z457" s="1">
        <v>2021</v>
      </c>
      <c r="AA457" s="2">
        <v>2102325.92</v>
      </c>
      <c r="AB457" s="2"/>
      <c r="AC457" s="2">
        <v>2102325.92</v>
      </c>
      <c r="AG457" s="1" t="s">
        <v>21</v>
      </c>
      <c r="AI457" s="2">
        <v>2102325.92</v>
      </c>
      <c r="AJ457" s="2">
        <v>25.76</v>
      </c>
      <c r="AK457" s="1"/>
      <c r="AL457" s="1" t="s">
        <v>3377</v>
      </c>
    </row>
    <row r="458" spans="1:38" ht="15" customHeight="1" x14ac:dyDescent="0.2">
      <c r="A458" s="1" t="s">
        <v>19</v>
      </c>
      <c r="B458" s="5" t="s">
        <v>18</v>
      </c>
      <c r="C458" s="1" t="s">
        <v>37</v>
      </c>
      <c r="D458" s="1" t="s">
        <v>36</v>
      </c>
      <c r="E458" s="1" t="s">
        <v>35</v>
      </c>
      <c r="F458" s="1" t="s">
        <v>2131</v>
      </c>
      <c r="G458" s="1" t="s">
        <v>33</v>
      </c>
      <c r="H458" s="1" t="s">
        <v>2130</v>
      </c>
      <c r="I458" s="1" t="s">
        <v>3376</v>
      </c>
      <c r="J458" s="1">
        <v>2021</v>
      </c>
      <c r="K458" s="1" t="s">
        <v>3371</v>
      </c>
      <c r="L458" s="1" t="s">
        <v>3371</v>
      </c>
      <c r="M458" s="1" t="s">
        <v>3365</v>
      </c>
      <c r="P458" s="1" t="s">
        <v>2126</v>
      </c>
      <c r="Q458" s="1" t="s">
        <v>780</v>
      </c>
      <c r="R458" s="1" t="s">
        <v>941</v>
      </c>
      <c r="S458" s="1" t="s">
        <v>3297</v>
      </c>
      <c r="T458" s="1" t="s">
        <v>3296</v>
      </c>
      <c r="U458" s="1">
        <v>1</v>
      </c>
      <c r="V458" s="1" t="s">
        <v>3267</v>
      </c>
      <c r="W458" s="1" t="s">
        <v>3375</v>
      </c>
      <c r="Y458" s="3">
        <v>44363</v>
      </c>
      <c r="Z458" s="1">
        <v>2021</v>
      </c>
      <c r="AA458" s="2">
        <v>1074189.8799999999</v>
      </c>
      <c r="AB458" s="2"/>
      <c r="AC458" s="2">
        <v>1074189.8799999999</v>
      </c>
      <c r="AG458" s="1" t="s">
        <v>2123</v>
      </c>
      <c r="AI458" s="2">
        <v>1074189.8799999999</v>
      </c>
      <c r="AJ458" s="2">
        <v>3.08</v>
      </c>
      <c r="AK458" s="1"/>
      <c r="AL458" s="1" t="s">
        <v>3363</v>
      </c>
    </row>
    <row r="459" spans="1:38" ht="15" customHeight="1" x14ac:dyDescent="0.2">
      <c r="A459" s="1" t="s">
        <v>19</v>
      </c>
      <c r="B459" s="5" t="s">
        <v>18</v>
      </c>
      <c r="C459" s="1" t="s">
        <v>37</v>
      </c>
      <c r="D459" s="1" t="s">
        <v>36</v>
      </c>
      <c r="E459" s="1" t="s">
        <v>35</v>
      </c>
      <c r="F459" s="1" t="s">
        <v>2131</v>
      </c>
      <c r="G459" s="1" t="s">
        <v>33</v>
      </c>
      <c r="H459" s="1" t="s">
        <v>2130</v>
      </c>
      <c r="I459" s="1" t="s">
        <v>3374</v>
      </c>
      <c r="J459" s="1">
        <v>2021</v>
      </c>
      <c r="K459" s="1" t="s">
        <v>3371</v>
      </c>
      <c r="L459" s="1" t="s">
        <v>3371</v>
      </c>
      <c r="M459" s="1" t="s">
        <v>3365</v>
      </c>
      <c r="P459" s="1" t="s">
        <v>2126</v>
      </c>
      <c r="Q459" s="1" t="s">
        <v>780</v>
      </c>
      <c r="R459" s="1" t="s">
        <v>941</v>
      </c>
      <c r="S459" s="1" t="s">
        <v>3297</v>
      </c>
      <c r="T459" s="1" t="s">
        <v>3296</v>
      </c>
      <c r="U459" s="1">
        <v>1</v>
      </c>
      <c r="V459" s="1" t="s">
        <v>3267</v>
      </c>
      <c r="W459" s="1" t="s">
        <v>3373</v>
      </c>
      <c r="Y459" s="3">
        <v>44363</v>
      </c>
      <c r="Z459" s="1">
        <v>2021</v>
      </c>
      <c r="AA459" s="2">
        <v>738706.65</v>
      </c>
      <c r="AB459" s="2"/>
      <c r="AC459" s="2">
        <v>738706.65</v>
      </c>
      <c r="AG459" s="1" t="s">
        <v>2123</v>
      </c>
      <c r="AI459" s="2">
        <v>738706.65</v>
      </c>
      <c r="AJ459" s="2">
        <v>8.58</v>
      </c>
      <c r="AK459" s="1"/>
      <c r="AL459" s="1" t="s">
        <v>3363</v>
      </c>
    </row>
    <row r="460" spans="1:38" ht="15" customHeight="1" x14ac:dyDescent="0.2">
      <c r="A460" s="1" t="s">
        <v>19</v>
      </c>
      <c r="B460" s="5" t="s">
        <v>18</v>
      </c>
      <c r="C460" s="1" t="s">
        <v>37</v>
      </c>
      <c r="D460" s="1" t="s">
        <v>36</v>
      </c>
      <c r="E460" s="1" t="s">
        <v>35</v>
      </c>
      <c r="F460" s="1" t="s">
        <v>2131</v>
      </c>
      <c r="G460" s="1" t="s">
        <v>33</v>
      </c>
      <c r="H460" s="1" t="s">
        <v>2130</v>
      </c>
      <c r="I460" s="1" t="s">
        <v>3372</v>
      </c>
      <c r="J460" s="1">
        <v>2021</v>
      </c>
      <c r="K460" s="1" t="s">
        <v>3371</v>
      </c>
      <c r="L460" s="1" t="s">
        <v>3371</v>
      </c>
      <c r="M460" s="1" t="s">
        <v>3365</v>
      </c>
      <c r="P460" s="1" t="s">
        <v>2126</v>
      </c>
      <c r="Q460" s="1" t="s">
        <v>780</v>
      </c>
      <c r="R460" s="1" t="s">
        <v>941</v>
      </c>
      <c r="S460" s="1" t="s">
        <v>3297</v>
      </c>
      <c r="T460" s="1" t="s">
        <v>3296</v>
      </c>
      <c r="U460" s="1">
        <v>1</v>
      </c>
      <c r="V460" s="1" t="s">
        <v>3267</v>
      </c>
      <c r="W460" s="1" t="s">
        <v>3370</v>
      </c>
      <c r="Y460" s="3">
        <v>44363</v>
      </c>
      <c r="Z460" s="1">
        <v>2021</v>
      </c>
      <c r="AA460" s="2">
        <v>1513475.69</v>
      </c>
      <c r="AB460" s="2"/>
      <c r="AC460" s="2">
        <v>1513475.69</v>
      </c>
      <c r="AG460" s="1" t="s">
        <v>2123</v>
      </c>
      <c r="AI460" s="2">
        <v>1513475.69</v>
      </c>
      <c r="AJ460" s="2">
        <v>8.58</v>
      </c>
      <c r="AK460" s="1"/>
      <c r="AL460" s="1" t="s">
        <v>3363</v>
      </c>
    </row>
    <row r="461" spans="1:38" ht="15" customHeight="1" x14ac:dyDescent="0.2">
      <c r="A461" s="1" t="s">
        <v>19</v>
      </c>
      <c r="B461" s="5" t="s">
        <v>18</v>
      </c>
      <c r="C461" s="1" t="s">
        <v>37</v>
      </c>
      <c r="D461" s="1" t="s">
        <v>36</v>
      </c>
      <c r="E461" s="1" t="s">
        <v>35</v>
      </c>
      <c r="F461" s="1" t="s">
        <v>2131</v>
      </c>
      <c r="G461" s="1" t="s">
        <v>33</v>
      </c>
      <c r="H461" s="1" t="s">
        <v>2130</v>
      </c>
      <c r="I461" s="1" t="s">
        <v>3369</v>
      </c>
      <c r="J461" s="1">
        <v>2021</v>
      </c>
      <c r="K461" s="1" t="s">
        <v>3366</v>
      </c>
      <c r="L461" s="1" t="s">
        <v>3366</v>
      </c>
      <c r="M461" s="1" t="s">
        <v>3365</v>
      </c>
      <c r="P461" s="1" t="s">
        <v>2126</v>
      </c>
      <c r="Q461" s="1" t="s">
        <v>780</v>
      </c>
      <c r="R461" s="1" t="s">
        <v>941</v>
      </c>
      <c r="S461" s="1" t="s">
        <v>3290</v>
      </c>
      <c r="T461" s="1" t="s">
        <v>3289</v>
      </c>
      <c r="U461" s="1">
        <v>1</v>
      </c>
      <c r="V461" s="1" t="s">
        <v>3267</v>
      </c>
      <c r="W461" s="1" t="s">
        <v>3368</v>
      </c>
      <c r="Y461" s="3">
        <v>44363</v>
      </c>
      <c r="Z461" s="1">
        <v>2021</v>
      </c>
      <c r="AA461" s="2">
        <v>1042437.31</v>
      </c>
      <c r="AB461" s="2"/>
      <c r="AC461" s="2">
        <v>1042437.31</v>
      </c>
      <c r="AG461" s="1" t="s">
        <v>2123</v>
      </c>
      <c r="AI461" s="2">
        <v>1042437.31</v>
      </c>
      <c r="AJ461" s="2">
        <v>15.87</v>
      </c>
      <c r="AK461" s="1"/>
      <c r="AL461" s="1" t="s">
        <v>3363</v>
      </c>
    </row>
    <row r="462" spans="1:38" ht="15" customHeight="1" x14ac:dyDescent="0.2">
      <c r="A462" s="1" t="s">
        <v>19</v>
      </c>
      <c r="B462" s="5" t="s">
        <v>18</v>
      </c>
      <c r="C462" s="1" t="s">
        <v>37</v>
      </c>
      <c r="D462" s="1" t="s">
        <v>36</v>
      </c>
      <c r="E462" s="1" t="s">
        <v>35</v>
      </c>
      <c r="F462" s="1" t="s">
        <v>2131</v>
      </c>
      <c r="G462" s="1" t="s">
        <v>33</v>
      </c>
      <c r="H462" s="1" t="s">
        <v>2130</v>
      </c>
      <c r="I462" s="1" t="s">
        <v>3367</v>
      </c>
      <c r="J462" s="1">
        <v>2021</v>
      </c>
      <c r="K462" s="1" t="s">
        <v>3366</v>
      </c>
      <c r="L462" s="1" t="s">
        <v>3366</v>
      </c>
      <c r="M462" s="1" t="s">
        <v>3365</v>
      </c>
      <c r="P462" s="1" t="s">
        <v>2126</v>
      </c>
      <c r="Q462" s="1" t="s">
        <v>780</v>
      </c>
      <c r="R462" s="1" t="s">
        <v>941</v>
      </c>
      <c r="S462" s="1" t="s">
        <v>3290</v>
      </c>
      <c r="T462" s="1" t="s">
        <v>3289</v>
      </c>
      <c r="U462" s="1">
        <v>1</v>
      </c>
      <c r="V462" s="1" t="s">
        <v>3267</v>
      </c>
      <c r="W462" s="1" t="s">
        <v>3364</v>
      </c>
      <c r="Y462" s="3">
        <v>44363</v>
      </c>
      <c r="Z462" s="1">
        <v>2021</v>
      </c>
      <c r="AA462" s="2">
        <v>893911.1</v>
      </c>
      <c r="AB462" s="2"/>
      <c r="AC462" s="2">
        <v>893911.1</v>
      </c>
      <c r="AG462" s="1" t="s">
        <v>2123</v>
      </c>
      <c r="AI462" s="2">
        <v>893911.1</v>
      </c>
      <c r="AJ462" s="2">
        <v>19.510000000000002</v>
      </c>
      <c r="AK462" s="1"/>
      <c r="AL462" s="1" t="s">
        <v>3363</v>
      </c>
    </row>
    <row r="463" spans="1:38" ht="15" customHeight="1" x14ac:dyDescent="0.2">
      <c r="A463" s="1" t="s">
        <v>19</v>
      </c>
      <c r="B463" s="5" t="s">
        <v>18</v>
      </c>
      <c r="C463" s="1" t="s">
        <v>37</v>
      </c>
      <c r="D463" s="1" t="s">
        <v>63</v>
      </c>
      <c r="E463" s="1" t="s">
        <v>35</v>
      </c>
      <c r="F463" s="1" t="s">
        <v>62</v>
      </c>
      <c r="G463" s="1" t="s">
        <v>61</v>
      </c>
      <c r="H463" s="1" t="s">
        <v>60</v>
      </c>
      <c r="I463" s="1" t="s">
        <v>3362</v>
      </c>
      <c r="J463" s="1">
        <v>2019</v>
      </c>
      <c r="K463" s="1" t="s">
        <v>3361</v>
      </c>
      <c r="L463" s="1" t="s">
        <v>3357</v>
      </c>
      <c r="P463" s="1" t="s">
        <v>3360</v>
      </c>
      <c r="Q463" s="1" t="s">
        <v>780</v>
      </c>
      <c r="R463" s="1" t="s">
        <v>941</v>
      </c>
      <c r="S463" s="1" t="s">
        <v>3359</v>
      </c>
      <c r="T463" s="1" t="s">
        <v>3358</v>
      </c>
      <c r="U463" s="1">
        <v>1</v>
      </c>
      <c r="V463" s="1" t="s">
        <v>3267</v>
      </c>
      <c r="W463" s="1" t="s">
        <v>3357</v>
      </c>
      <c r="X463" s="1" t="s">
        <v>36</v>
      </c>
      <c r="Y463" s="3">
        <v>43773</v>
      </c>
      <c r="Z463" s="1">
        <v>2019</v>
      </c>
      <c r="AA463" s="2">
        <v>24346882.120000001</v>
      </c>
      <c r="AB463" s="2"/>
      <c r="AC463" s="2">
        <v>18260161.59</v>
      </c>
      <c r="AD463" s="1">
        <v>0</v>
      </c>
      <c r="AG463" s="1" t="s">
        <v>21</v>
      </c>
      <c r="AH463" s="1" t="s">
        <v>65</v>
      </c>
      <c r="AI463" s="2">
        <v>17129574.09</v>
      </c>
      <c r="AJ463" s="1">
        <v>273.72000000000003</v>
      </c>
      <c r="AK463" s="1"/>
    </row>
    <row r="464" spans="1:38" ht="15" customHeight="1" x14ac:dyDescent="0.2">
      <c r="A464" s="1" t="s">
        <v>19</v>
      </c>
      <c r="B464" s="5" t="s">
        <v>18</v>
      </c>
      <c r="C464" s="1" t="s">
        <v>37</v>
      </c>
      <c r="D464" s="1" t="s">
        <v>63</v>
      </c>
      <c r="E464" s="1" t="s">
        <v>35</v>
      </c>
      <c r="F464" s="1" t="s">
        <v>62</v>
      </c>
      <c r="G464" s="1" t="s">
        <v>61</v>
      </c>
      <c r="H464" s="1" t="s">
        <v>60</v>
      </c>
      <c r="I464" s="1" t="s">
        <v>3356</v>
      </c>
      <c r="J464" s="1">
        <v>2020</v>
      </c>
      <c r="K464" s="1" t="s">
        <v>3355</v>
      </c>
      <c r="L464" s="1" t="s">
        <v>3353</v>
      </c>
      <c r="M464" s="1" t="s">
        <v>3354</v>
      </c>
      <c r="P464" s="1" t="s">
        <v>3340</v>
      </c>
      <c r="Q464" s="1" t="s">
        <v>780</v>
      </c>
      <c r="R464" s="1" t="s">
        <v>941</v>
      </c>
      <c r="S464" s="1" t="s">
        <v>3339</v>
      </c>
      <c r="T464" s="1" t="s">
        <v>3338</v>
      </c>
      <c r="U464" s="1">
        <v>1</v>
      </c>
      <c r="V464" s="1" t="s">
        <v>3267</v>
      </c>
      <c r="W464" s="1" t="s">
        <v>3353</v>
      </c>
      <c r="X464" s="1" t="s">
        <v>52</v>
      </c>
      <c r="Y464" s="3">
        <v>44127</v>
      </c>
      <c r="Z464" s="1">
        <v>2020</v>
      </c>
      <c r="AA464" s="2">
        <v>1327330.48</v>
      </c>
      <c r="AB464" s="2"/>
      <c r="AC464" s="2">
        <v>995497.86</v>
      </c>
      <c r="AD464" s="1">
        <v>1</v>
      </c>
      <c r="AF464" s="1">
        <v>18</v>
      </c>
      <c r="AG464" s="1" t="s">
        <v>21</v>
      </c>
      <c r="AH464" s="1" t="s">
        <v>51</v>
      </c>
      <c r="AI464" s="2">
        <v>995497.86</v>
      </c>
      <c r="AK464" s="1"/>
    </row>
    <row r="465" spans="1:38" ht="15" customHeight="1" x14ac:dyDescent="0.2">
      <c r="A465" s="1" t="s">
        <v>19</v>
      </c>
      <c r="B465" s="5" t="s">
        <v>18</v>
      </c>
      <c r="C465" s="1" t="s">
        <v>37</v>
      </c>
      <c r="D465" s="1" t="s">
        <v>63</v>
      </c>
      <c r="E465" s="1" t="s">
        <v>35</v>
      </c>
      <c r="F465" s="1" t="s">
        <v>62</v>
      </c>
      <c r="G465" s="1" t="s">
        <v>61</v>
      </c>
      <c r="H465" s="1" t="s">
        <v>60</v>
      </c>
      <c r="I465" s="1" t="s">
        <v>1878</v>
      </c>
      <c r="J465" s="1">
        <v>2020</v>
      </c>
      <c r="K465" s="1" t="s">
        <v>1877</v>
      </c>
      <c r="L465" s="1" t="s">
        <v>1876</v>
      </c>
      <c r="P465" s="1" t="s">
        <v>3319</v>
      </c>
      <c r="Q465" s="1" t="s">
        <v>780</v>
      </c>
      <c r="R465" s="1" t="s">
        <v>941</v>
      </c>
      <c r="S465" s="1" t="s">
        <v>3318</v>
      </c>
      <c r="T465" s="1" t="s">
        <v>3317</v>
      </c>
      <c r="U465" s="1">
        <v>1</v>
      </c>
      <c r="V465" s="1" t="s">
        <v>3267</v>
      </c>
      <c r="W465" s="1" t="s">
        <v>1876</v>
      </c>
      <c r="X465" s="1" t="s">
        <v>52</v>
      </c>
      <c r="Y465" s="3">
        <v>44127</v>
      </c>
      <c r="Z465" s="1">
        <v>2020</v>
      </c>
      <c r="AA465" s="2">
        <v>41816.53</v>
      </c>
      <c r="AB465" s="2"/>
      <c r="AC465" s="2">
        <v>31362.397499999999</v>
      </c>
      <c r="AD465" s="1">
        <v>0</v>
      </c>
      <c r="AG465" s="1" t="s">
        <v>21</v>
      </c>
      <c r="AH465" s="1" t="s">
        <v>51</v>
      </c>
      <c r="AI465" s="2">
        <v>31362.397499999999</v>
      </c>
      <c r="AK465" s="1"/>
      <c r="AL465" s="1" t="s">
        <v>88</v>
      </c>
    </row>
    <row r="466" spans="1:38" ht="15" customHeight="1" x14ac:dyDescent="0.2">
      <c r="A466" s="1" t="s">
        <v>19</v>
      </c>
      <c r="B466" s="5" t="s">
        <v>18</v>
      </c>
      <c r="C466" s="1" t="s">
        <v>37</v>
      </c>
      <c r="D466" s="1" t="s">
        <v>63</v>
      </c>
      <c r="E466" s="1" t="s">
        <v>35</v>
      </c>
      <c r="F466" s="1" t="s">
        <v>62</v>
      </c>
      <c r="G466" s="1" t="s">
        <v>61</v>
      </c>
      <c r="H466" s="1" t="s">
        <v>60</v>
      </c>
      <c r="I466" s="1" t="s">
        <v>1878</v>
      </c>
      <c r="J466" s="1">
        <v>2020</v>
      </c>
      <c r="K466" s="1" t="s">
        <v>1877</v>
      </c>
      <c r="L466" s="1" t="s">
        <v>1876</v>
      </c>
      <c r="P466" s="1" t="s">
        <v>3352</v>
      </c>
      <c r="Q466" s="1" t="s">
        <v>780</v>
      </c>
      <c r="R466" s="1" t="s">
        <v>941</v>
      </c>
      <c r="S466" s="9" t="s">
        <v>3351</v>
      </c>
      <c r="T466" s="1" t="s">
        <v>3350</v>
      </c>
      <c r="U466" s="1">
        <v>1</v>
      </c>
      <c r="V466" s="1" t="s">
        <v>3267</v>
      </c>
      <c r="W466" s="1" t="s">
        <v>1876</v>
      </c>
      <c r="X466" s="1" t="s">
        <v>52</v>
      </c>
      <c r="Y466" s="3">
        <v>44127</v>
      </c>
      <c r="Z466" s="1">
        <v>2020</v>
      </c>
      <c r="AA466" s="2">
        <v>76414.05</v>
      </c>
      <c r="AB466" s="2"/>
      <c r="AC466" s="2">
        <v>57310.537500000006</v>
      </c>
      <c r="AD466" s="1">
        <v>0</v>
      </c>
      <c r="AG466" s="1" t="s">
        <v>21</v>
      </c>
      <c r="AH466" s="1" t="s">
        <v>51</v>
      </c>
      <c r="AI466" s="2">
        <v>57310.537500000006</v>
      </c>
      <c r="AK466" s="1"/>
      <c r="AL466" s="1" t="s">
        <v>88</v>
      </c>
    </row>
    <row r="467" spans="1:38" ht="15" customHeight="1" x14ac:dyDescent="0.2">
      <c r="A467" s="1" t="s">
        <v>19</v>
      </c>
      <c r="B467" s="5" t="s">
        <v>18</v>
      </c>
      <c r="C467" s="1" t="s">
        <v>37</v>
      </c>
      <c r="D467" s="1" t="s">
        <v>63</v>
      </c>
      <c r="E467" s="1" t="s">
        <v>35</v>
      </c>
      <c r="F467" s="1" t="s">
        <v>62</v>
      </c>
      <c r="G467" s="1" t="s">
        <v>61</v>
      </c>
      <c r="H467" s="1" t="s">
        <v>60</v>
      </c>
      <c r="I467" s="1" t="s">
        <v>1878</v>
      </c>
      <c r="J467" s="1">
        <v>2020</v>
      </c>
      <c r="K467" s="1" t="s">
        <v>1877</v>
      </c>
      <c r="L467" s="1" t="s">
        <v>1876</v>
      </c>
      <c r="P467" s="1" t="s">
        <v>3291</v>
      </c>
      <c r="Q467" s="1" t="s">
        <v>780</v>
      </c>
      <c r="R467" s="1" t="s">
        <v>941</v>
      </c>
      <c r="S467" s="1" t="s">
        <v>3290</v>
      </c>
      <c r="T467" s="1" t="s">
        <v>3289</v>
      </c>
      <c r="U467" s="1">
        <v>1</v>
      </c>
      <c r="V467" s="1" t="s">
        <v>3267</v>
      </c>
      <c r="W467" s="1" t="s">
        <v>1876</v>
      </c>
      <c r="X467" s="1" t="s">
        <v>52</v>
      </c>
      <c r="Y467" s="3">
        <v>44127</v>
      </c>
      <c r="Z467" s="1">
        <v>2020</v>
      </c>
      <c r="AA467" s="2">
        <v>82324.25</v>
      </c>
      <c r="AB467" s="2"/>
      <c r="AC467" s="2">
        <v>61743.1875</v>
      </c>
      <c r="AD467" s="1">
        <v>0</v>
      </c>
      <c r="AG467" s="1" t="s">
        <v>21</v>
      </c>
      <c r="AH467" s="1" t="s">
        <v>51</v>
      </c>
      <c r="AI467" s="2">
        <v>61743.1875</v>
      </c>
      <c r="AK467" s="1"/>
      <c r="AL467" s="1" t="s">
        <v>88</v>
      </c>
    </row>
    <row r="468" spans="1:38" ht="15" customHeight="1" x14ac:dyDescent="0.2">
      <c r="A468" s="1" t="s">
        <v>19</v>
      </c>
      <c r="B468" s="5" t="s">
        <v>18</v>
      </c>
      <c r="C468" s="1" t="s">
        <v>37</v>
      </c>
      <c r="D468" s="1" t="s">
        <v>63</v>
      </c>
      <c r="E468" s="1" t="s">
        <v>35</v>
      </c>
      <c r="F468" s="1" t="s">
        <v>62</v>
      </c>
      <c r="G468" s="1" t="s">
        <v>61</v>
      </c>
      <c r="H468" s="1" t="s">
        <v>60</v>
      </c>
      <c r="I468" s="1" t="s">
        <v>1878</v>
      </c>
      <c r="J468" s="1">
        <v>2020</v>
      </c>
      <c r="K468" s="1" t="s">
        <v>1877</v>
      </c>
      <c r="L468" s="1" t="s">
        <v>1876</v>
      </c>
      <c r="P468" s="1" t="s">
        <v>3349</v>
      </c>
      <c r="Q468" s="1" t="s">
        <v>780</v>
      </c>
      <c r="R468" s="1" t="s">
        <v>941</v>
      </c>
      <c r="S468" s="1" t="s">
        <v>3348</v>
      </c>
      <c r="T468" s="1" t="s">
        <v>3347</v>
      </c>
      <c r="U468" s="1">
        <v>1</v>
      </c>
      <c r="V468" s="1" t="s">
        <v>3267</v>
      </c>
      <c r="W468" s="1" t="s">
        <v>1876</v>
      </c>
      <c r="X468" s="1" t="s">
        <v>52</v>
      </c>
      <c r="Y468" s="3">
        <v>44127</v>
      </c>
      <c r="Z468" s="1">
        <v>2020</v>
      </c>
      <c r="AA468" s="2">
        <v>105521</v>
      </c>
      <c r="AB468" s="2"/>
      <c r="AC468" s="2">
        <v>79140.75</v>
      </c>
      <c r="AD468" s="1">
        <v>0</v>
      </c>
      <c r="AG468" s="1" t="s">
        <v>21</v>
      </c>
      <c r="AH468" s="1" t="s">
        <v>51</v>
      </c>
      <c r="AI468" s="2">
        <v>79140.75</v>
      </c>
      <c r="AK468" s="1"/>
      <c r="AL468" s="1" t="s">
        <v>88</v>
      </c>
    </row>
    <row r="469" spans="1:38" ht="15" customHeight="1" x14ac:dyDescent="0.2">
      <c r="A469" s="1" t="s">
        <v>19</v>
      </c>
      <c r="B469" s="5" t="s">
        <v>18</v>
      </c>
      <c r="C469" s="1" t="s">
        <v>37</v>
      </c>
      <c r="D469" s="1" t="s">
        <v>63</v>
      </c>
      <c r="E469" s="1" t="s">
        <v>35</v>
      </c>
      <c r="F469" s="1" t="s">
        <v>62</v>
      </c>
      <c r="G469" s="1" t="s">
        <v>61</v>
      </c>
      <c r="H469" s="1" t="s">
        <v>60</v>
      </c>
      <c r="I469" s="1" t="s">
        <v>1878</v>
      </c>
      <c r="J469" s="1">
        <v>2020</v>
      </c>
      <c r="K469" s="1" t="s">
        <v>1877</v>
      </c>
      <c r="L469" s="1" t="s">
        <v>1876</v>
      </c>
      <c r="P469" s="1" t="s">
        <v>3346</v>
      </c>
      <c r="Q469" s="1" t="s">
        <v>780</v>
      </c>
      <c r="R469" s="1" t="s">
        <v>941</v>
      </c>
      <c r="S469" s="1" t="s">
        <v>3345</v>
      </c>
      <c r="T469" s="1" t="s">
        <v>3344</v>
      </c>
      <c r="U469" s="1">
        <v>1</v>
      </c>
      <c r="V469" s="1" t="s">
        <v>3267</v>
      </c>
      <c r="W469" s="1" t="s">
        <v>1876</v>
      </c>
      <c r="X469" s="1" t="s">
        <v>52</v>
      </c>
      <c r="Y469" s="3">
        <v>44127</v>
      </c>
      <c r="Z469" s="1">
        <v>2020</v>
      </c>
      <c r="AA469" s="2">
        <v>131187.78</v>
      </c>
      <c r="AB469" s="2"/>
      <c r="AC469" s="2">
        <v>98390.834999999992</v>
      </c>
      <c r="AD469" s="1">
        <v>0</v>
      </c>
      <c r="AG469" s="1" t="s">
        <v>21</v>
      </c>
      <c r="AH469" s="1" t="s">
        <v>51</v>
      </c>
      <c r="AI469" s="2">
        <v>98390.834999999992</v>
      </c>
      <c r="AK469" s="1"/>
      <c r="AL469" s="1" t="s">
        <v>88</v>
      </c>
    </row>
    <row r="470" spans="1:38" ht="15" customHeight="1" x14ac:dyDescent="0.2">
      <c r="A470" s="1" t="s">
        <v>19</v>
      </c>
      <c r="B470" s="5" t="s">
        <v>18</v>
      </c>
      <c r="C470" s="1" t="s">
        <v>37</v>
      </c>
      <c r="D470" s="1" t="s">
        <v>63</v>
      </c>
      <c r="E470" s="1" t="s">
        <v>35</v>
      </c>
      <c r="F470" s="1" t="s">
        <v>62</v>
      </c>
      <c r="G470" s="1" t="s">
        <v>61</v>
      </c>
      <c r="H470" s="1" t="s">
        <v>60</v>
      </c>
      <c r="I470" s="1" t="s">
        <v>1878</v>
      </c>
      <c r="J470" s="1">
        <v>2020</v>
      </c>
      <c r="K470" s="1" t="s">
        <v>1877</v>
      </c>
      <c r="L470" s="1" t="s">
        <v>1876</v>
      </c>
      <c r="P470" s="1" t="s">
        <v>3343</v>
      </c>
      <c r="Q470" s="1" t="s">
        <v>780</v>
      </c>
      <c r="R470" s="1" t="s">
        <v>941</v>
      </c>
      <c r="S470" s="1" t="s">
        <v>3342</v>
      </c>
      <c r="T470" s="1" t="s">
        <v>3341</v>
      </c>
      <c r="U470" s="1">
        <v>1</v>
      </c>
      <c r="V470" s="1" t="s">
        <v>3267</v>
      </c>
      <c r="W470" s="1" t="s">
        <v>1876</v>
      </c>
      <c r="X470" s="1" t="s">
        <v>52</v>
      </c>
      <c r="Y470" s="3">
        <v>44127</v>
      </c>
      <c r="Z470" s="1">
        <v>2020</v>
      </c>
      <c r="AA470" s="2">
        <v>210834.23</v>
      </c>
      <c r="AB470" s="2"/>
      <c r="AC470" s="2">
        <v>158125.67250000002</v>
      </c>
      <c r="AD470" s="1">
        <v>0</v>
      </c>
      <c r="AG470" s="1" t="s">
        <v>21</v>
      </c>
      <c r="AH470" s="1" t="s">
        <v>51</v>
      </c>
      <c r="AI470" s="2">
        <v>158125.67250000002</v>
      </c>
      <c r="AK470" s="1"/>
      <c r="AL470" s="1" t="s">
        <v>88</v>
      </c>
    </row>
    <row r="471" spans="1:38" ht="15" customHeight="1" x14ac:dyDescent="0.2">
      <c r="A471" s="1" t="s">
        <v>19</v>
      </c>
      <c r="B471" s="5" t="s">
        <v>18</v>
      </c>
      <c r="C471" s="1" t="s">
        <v>37</v>
      </c>
      <c r="D471" s="1" t="s">
        <v>63</v>
      </c>
      <c r="E471" s="1" t="s">
        <v>35</v>
      </c>
      <c r="F471" s="1" t="s">
        <v>62</v>
      </c>
      <c r="G471" s="1" t="s">
        <v>61</v>
      </c>
      <c r="H471" s="1" t="s">
        <v>60</v>
      </c>
      <c r="I471" s="1" t="s">
        <v>1878</v>
      </c>
      <c r="J471" s="1">
        <v>2020</v>
      </c>
      <c r="K471" s="1" t="s">
        <v>1877</v>
      </c>
      <c r="L471" s="1" t="s">
        <v>1876</v>
      </c>
      <c r="P471" s="1" t="s">
        <v>3332</v>
      </c>
      <c r="Q471" s="1" t="s">
        <v>780</v>
      </c>
      <c r="R471" s="1" t="s">
        <v>941</v>
      </c>
      <c r="S471" s="1" t="s">
        <v>3269</v>
      </c>
      <c r="T471" s="1" t="s">
        <v>3268</v>
      </c>
      <c r="U471" s="1">
        <v>1</v>
      </c>
      <c r="V471" s="1" t="s">
        <v>3267</v>
      </c>
      <c r="W471" s="1" t="s">
        <v>1876</v>
      </c>
      <c r="X471" s="1" t="s">
        <v>52</v>
      </c>
      <c r="Y471" s="3">
        <v>44127</v>
      </c>
      <c r="Z471" s="1">
        <v>2020</v>
      </c>
      <c r="AA471" s="2">
        <v>332746.88</v>
      </c>
      <c r="AB471" s="2"/>
      <c r="AC471" s="2">
        <v>249560.16</v>
      </c>
      <c r="AD471" s="1">
        <v>0</v>
      </c>
      <c r="AG471" s="1" t="s">
        <v>21</v>
      </c>
      <c r="AH471" s="1" t="s">
        <v>51</v>
      </c>
      <c r="AI471" s="2">
        <v>249560.16</v>
      </c>
      <c r="AK471" s="1"/>
      <c r="AL471" s="1" t="s">
        <v>88</v>
      </c>
    </row>
    <row r="472" spans="1:38" ht="15" customHeight="1" x14ac:dyDescent="0.2">
      <c r="A472" s="1" t="s">
        <v>19</v>
      </c>
      <c r="B472" s="5" t="s">
        <v>18</v>
      </c>
      <c r="C472" s="1" t="s">
        <v>37</v>
      </c>
      <c r="D472" s="1" t="s">
        <v>63</v>
      </c>
      <c r="E472" s="1" t="s">
        <v>35</v>
      </c>
      <c r="F472" s="1" t="s">
        <v>62</v>
      </c>
      <c r="G472" s="1" t="s">
        <v>61</v>
      </c>
      <c r="H472" s="1" t="s">
        <v>60</v>
      </c>
      <c r="I472" s="1" t="s">
        <v>1878</v>
      </c>
      <c r="J472" s="1">
        <v>2020</v>
      </c>
      <c r="K472" s="1" t="s">
        <v>1877</v>
      </c>
      <c r="L472" s="1" t="s">
        <v>1876</v>
      </c>
      <c r="P472" s="1" t="s">
        <v>3340</v>
      </c>
      <c r="Q472" s="1" t="s">
        <v>780</v>
      </c>
      <c r="R472" s="1" t="s">
        <v>941</v>
      </c>
      <c r="S472" s="1" t="s">
        <v>3339</v>
      </c>
      <c r="T472" s="1" t="s">
        <v>3338</v>
      </c>
      <c r="U472" s="1">
        <v>1</v>
      </c>
      <c r="V472" s="1" t="s">
        <v>3267</v>
      </c>
      <c r="W472" s="1" t="s">
        <v>1876</v>
      </c>
      <c r="X472" s="1" t="s">
        <v>52</v>
      </c>
      <c r="Y472" s="3">
        <v>44127</v>
      </c>
      <c r="Z472" s="1">
        <v>2020</v>
      </c>
      <c r="AA472" s="2">
        <v>361997.34</v>
      </c>
      <c r="AB472" s="2"/>
      <c r="AC472" s="2">
        <v>271498.005</v>
      </c>
      <c r="AD472" s="1">
        <v>0</v>
      </c>
      <c r="AG472" s="1" t="s">
        <v>21</v>
      </c>
      <c r="AH472" s="1" t="s">
        <v>51</v>
      </c>
      <c r="AI472" s="2">
        <v>271498.005</v>
      </c>
      <c r="AK472" s="1"/>
      <c r="AL472" s="1" t="s">
        <v>88</v>
      </c>
    </row>
    <row r="473" spans="1:38" ht="15" customHeight="1" x14ac:dyDescent="0.2">
      <c r="A473" s="1" t="s">
        <v>19</v>
      </c>
      <c r="B473" s="5" t="s">
        <v>18</v>
      </c>
      <c r="C473" s="1" t="s">
        <v>37</v>
      </c>
      <c r="D473" s="1" t="s">
        <v>63</v>
      </c>
      <c r="E473" s="1" t="s">
        <v>35</v>
      </c>
      <c r="F473" s="1" t="s">
        <v>62</v>
      </c>
      <c r="G473" s="1" t="s">
        <v>61</v>
      </c>
      <c r="H473" s="1" t="s">
        <v>60</v>
      </c>
      <c r="I473" s="1" t="s">
        <v>1878</v>
      </c>
      <c r="J473" s="1">
        <v>2020</v>
      </c>
      <c r="K473" s="1" t="s">
        <v>1877</v>
      </c>
      <c r="L473" s="1" t="s">
        <v>1876</v>
      </c>
      <c r="P473" s="1" t="s">
        <v>3298</v>
      </c>
      <c r="Q473" s="1" t="s">
        <v>780</v>
      </c>
      <c r="R473" s="1" t="s">
        <v>941</v>
      </c>
      <c r="S473" s="1" t="s">
        <v>3297</v>
      </c>
      <c r="T473" s="1" t="s">
        <v>3296</v>
      </c>
      <c r="U473" s="1">
        <v>1</v>
      </c>
      <c r="V473" s="1" t="s">
        <v>3267</v>
      </c>
      <c r="W473" s="1" t="s">
        <v>1876</v>
      </c>
      <c r="X473" s="1" t="s">
        <v>52</v>
      </c>
      <c r="Y473" s="3">
        <v>44127</v>
      </c>
      <c r="Z473" s="1">
        <v>2020</v>
      </c>
      <c r="AA473" s="2">
        <v>409351.73</v>
      </c>
      <c r="AB473" s="2"/>
      <c r="AC473" s="2">
        <v>307013.79749999999</v>
      </c>
      <c r="AD473" s="1">
        <v>0</v>
      </c>
      <c r="AG473" s="1" t="s">
        <v>21</v>
      </c>
      <c r="AH473" s="1" t="s">
        <v>51</v>
      </c>
      <c r="AI473" s="2">
        <v>307013.79749999999</v>
      </c>
      <c r="AK473" s="1"/>
      <c r="AL473" s="1" t="s">
        <v>88</v>
      </c>
    </row>
    <row r="474" spans="1:38" ht="15" customHeight="1" x14ac:dyDescent="0.2">
      <c r="A474" s="1" t="s">
        <v>19</v>
      </c>
      <c r="B474" s="5" t="s">
        <v>18</v>
      </c>
      <c r="C474" s="1" t="s">
        <v>37</v>
      </c>
      <c r="D474" s="1" t="s">
        <v>63</v>
      </c>
      <c r="E474" s="1" t="s">
        <v>35</v>
      </c>
      <c r="F474" s="1" t="s">
        <v>62</v>
      </c>
      <c r="G474" s="1" t="s">
        <v>61</v>
      </c>
      <c r="H474" s="1" t="s">
        <v>60</v>
      </c>
      <c r="I474" s="1" t="s">
        <v>1878</v>
      </c>
      <c r="J474" s="1">
        <v>2020</v>
      </c>
      <c r="K474" s="1" t="s">
        <v>1877</v>
      </c>
      <c r="L474" s="1" t="s">
        <v>1876</v>
      </c>
      <c r="P474" s="1" t="s">
        <v>3303</v>
      </c>
      <c r="Q474" s="1" t="s">
        <v>780</v>
      </c>
      <c r="R474" s="1" t="s">
        <v>941</v>
      </c>
      <c r="S474" s="1" t="s">
        <v>3302</v>
      </c>
      <c r="T474" s="1" t="s">
        <v>3301</v>
      </c>
      <c r="U474" s="1">
        <v>1</v>
      </c>
      <c r="V474" s="1" t="s">
        <v>3267</v>
      </c>
      <c r="W474" s="1" t="s">
        <v>1876</v>
      </c>
      <c r="X474" s="1" t="s">
        <v>52</v>
      </c>
      <c r="Y474" s="3">
        <v>44127</v>
      </c>
      <c r="Z474" s="1">
        <v>2020</v>
      </c>
      <c r="AA474" s="2">
        <v>1320652</v>
      </c>
      <c r="AB474" s="2"/>
      <c r="AC474" s="2">
        <v>990489</v>
      </c>
      <c r="AD474" s="1">
        <v>0</v>
      </c>
      <c r="AG474" s="1" t="s">
        <v>21</v>
      </c>
      <c r="AH474" s="1" t="s">
        <v>51</v>
      </c>
      <c r="AI474" s="2">
        <v>990489</v>
      </c>
      <c r="AK474" s="1"/>
      <c r="AL474" s="1" t="s">
        <v>88</v>
      </c>
    </row>
    <row r="475" spans="1:38" ht="15" customHeight="1" x14ac:dyDescent="0.2">
      <c r="A475" s="1" t="s">
        <v>19</v>
      </c>
      <c r="B475" s="5" t="s">
        <v>18</v>
      </c>
      <c r="C475" s="1" t="s">
        <v>37</v>
      </c>
      <c r="D475" s="1" t="s">
        <v>63</v>
      </c>
      <c r="E475" s="1" t="s">
        <v>35</v>
      </c>
      <c r="F475" s="1" t="s">
        <v>62</v>
      </c>
      <c r="G475" s="1" t="s">
        <v>61</v>
      </c>
      <c r="H475" s="1" t="s">
        <v>60</v>
      </c>
      <c r="I475" s="1" t="s">
        <v>783</v>
      </c>
      <c r="J475" s="1">
        <v>2020</v>
      </c>
      <c r="K475" s="1" t="s">
        <v>782</v>
      </c>
      <c r="L475" s="1" t="s">
        <v>3337</v>
      </c>
      <c r="P475" s="1" t="s">
        <v>3303</v>
      </c>
      <c r="Q475" s="1" t="s">
        <v>780</v>
      </c>
      <c r="R475" s="1" t="s">
        <v>941</v>
      </c>
      <c r="S475" s="1" t="s">
        <v>3302</v>
      </c>
      <c r="T475" s="1" t="s">
        <v>3301</v>
      </c>
      <c r="U475" s="1">
        <v>1</v>
      </c>
      <c r="V475" s="1" t="s">
        <v>3267</v>
      </c>
      <c r="W475" s="1" t="s">
        <v>776</v>
      </c>
      <c r="X475" s="1" t="s">
        <v>52</v>
      </c>
      <c r="Y475" s="3">
        <v>44127</v>
      </c>
      <c r="Z475" s="1">
        <v>2020</v>
      </c>
      <c r="AA475" s="2">
        <v>94562.69</v>
      </c>
      <c r="AB475" s="2"/>
      <c r="AC475" s="2">
        <v>70922.017500000002</v>
      </c>
      <c r="AD475" s="1">
        <v>0</v>
      </c>
      <c r="AG475" s="1" t="s">
        <v>21</v>
      </c>
      <c r="AH475" s="1" t="s">
        <v>65</v>
      </c>
      <c r="AI475" s="2">
        <v>70922.017500000002</v>
      </c>
      <c r="AK475" s="1"/>
    </row>
    <row r="476" spans="1:38" ht="15" customHeight="1" x14ac:dyDescent="0.2">
      <c r="A476" s="1" t="s">
        <v>19</v>
      </c>
      <c r="B476" s="5" t="s">
        <v>18</v>
      </c>
      <c r="C476" s="1" t="s">
        <v>37</v>
      </c>
      <c r="D476" s="1" t="s">
        <v>63</v>
      </c>
      <c r="E476" s="1" t="s">
        <v>35</v>
      </c>
      <c r="F476" s="1" t="s">
        <v>62</v>
      </c>
      <c r="G476" s="1" t="s">
        <v>61</v>
      </c>
      <c r="H476" s="1" t="s">
        <v>60</v>
      </c>
      <c r="I476" s="1" t="s">
        <v>1871</v>
      </c>
      <c r="J476" s="1">
        <v>2020</v>
      </c>
      <c r="K476" s="1" t="s">
        <v>1869</v>
      </c>
      <c r="L476" s="1" t="s">
        <v>3336</v>
      </c>
      <c r="P476" s="1" t="s">
        <v>3303</v>
      </c>
      <c r="Q476" s="1" t="s">
        <v>780</v>
      </c>
      <c r="R476" s="1" t="s">
        <v>941</v>
      </c>
      <c r="S476" s="1" t="s">
        <v>3302</v>
      </c>
      <c r="T476" s="1" t="s">
        <v>3301</v>
      </c>
      <c r="U476" s="1">
        <v>1</v>
      </c>
      <c r="V476" s="1" t="s">
        <v>3267</v>
      </c>
      <c r="W476" s="1" t="s">
        <v>1869</v>
      </c>
      <c r="X476" s="1" t="s">
        <v>52</v>
      </c>
      <c r="Y476" s="3">
        <v>44127</v>
      </c>
      <c r="Z476" s="1">
        <v>2020</v>
      </c>
      <c r="AA476" s="2">
        <v>131139.99</v>
      </c>
      <c r="AB476" s="2"/>
      <c r="AC476" s="2">
        <v>98354.992499999993</v>
      </c>
      <c r="AD476" s="1">
        <v>0</v>
      </c>
      <c r="AG476" s="1" t="s">
        <v>21</v>
      </c>
      <c r="AH476" s="1" t="s">
        <v>65</v>
      </c>
      <c r="AI476" s="2">
        <v>98354.992499999993</v>
      </c>
      <c r="AK476" s="1"/>
      <c r="AL476" s="1" t="s">
        <v>1868</v>
      </c>
    </row>
    <row r="477" spans="1:38" ht="15" customHeight="1" x14ac:dyDescent="0.2">
      <c r="A477" s="1" t="s">
        <v>19</v>
      </c>
      <c r="B477" s="5" t="s">
        <v>18</v>
      </c>
      <c r="C477" s="1" t="s">
        <v>37</v>
      </c>
      <c r="D477" s="1" t="s">
        <v>63</v>
      </c>
      <c r="E477" s="1" t="s">
        <v>35</v>
      </c>
      <c r="F477" s="1" t="s">
        <v>62</v>
      </c>
      <c r="G477" s="1" t="s">
        <v>61</v>
      </c>
      <c r="H477" s="1" t="s">
        <v>60</v>
      </c>
      <c r="I477" s="1" t="s">
        <v>3335</v>
      </c>
      <c r="J477" s="1">
        <v>2020</v>
      </c>
      <c r="K477" s="1" t="s">
        <v>3334</v>
      </c>
      <c r="L477" s="1" t="s">
        <v>3333</v>
      </c>
      <c r="P477" s="1" t="s">
        <v>3332</v>
      </c>
      <c r="Q477" s="1" t="s">
        <v>780</v>
      </c>
      <c r="R477" s="1" t="s">
        <v>941</v>
      </c>
      <c r="S477" s="1" t="s">
        <v>3269</v>
      </c>
      <c r="T477" s="1" t="s">
        <v>3268</v>
      </c>
      <c r="U477" s="1">
        <v>1</v>
      </c>
      <c r="V477" s="1" t="s">
        <v>3267</v>
      </c>
      <c r="W477" s="1" t="s">
        <v>3331</v>
      </c>
      <c r="X477" s="1" t="s">
        <v>52</v>
      </c>
      <c r="Y477" s="3">
        <v>44127</v>
      </c>
      <c r="Z477" s="1">
        <v>2020</v>
      </c>
      <c r="AA477" s="2">
        <v>437959.49333333335</v>
      </c>
      <c r="AB477" s="2"/>
      <c r="AC477" s="2">
        <v>328469.62</v>
      </c>
      <c r="AD477" s="1">
        <v>5</v>
      </c>
      <c r="AE477" s="1">
        <v>3</v>
      </c>
      <c r="AG477" s="1" t="s">
        <v>21</v>
      </c>
      <c r="AH477" s="1" t="s">
        <v>65</v>
      </c>
      <c r="AI477" s="2">
        <v>327734.84999999998</v>
      </c>
      <c r="AK477" s="1"/>
      <c r="AL477" s="1" t="s">
        <v>88</v>
      </c>
    </row>
    <row r="478" spans="1:38" ht="15" customHeight="1" x14ac:dyDescent="0.2">
      <c r="A478" s="1" t="s">
        <v>19</v>
      </c>
      <c r="B478" s="5" t="s">
        <v>18</v>
      </c>
      <c r="C478" s="1" t="s">
        <v>37</v>
      </c>
      <c r="D478" s="1" t="s">
        <v>63</v>
      </c>
      <c r="E478" s="1" t="s">
        <v>35</v>
      </c>
      <c r="F478" s="1" t="s">
        <v>62</v>
      </c>
      <c r="G478" s="1" t="s">
        <v>61</v>
      </c>
      <c r="H478" s="1" t="s">
        <v>60</v>
      </c>
      <c r="I478" s="1" t="s">
        <v>3330</v>
      </c>
      <c r="J478" s="1">
        <v>2020</v>
      </c>
      <c r="K478" s="1" t="s">
        <v>3329</v>
      </c>
      <c r="L478" s="1" t="s">
        <v>3328</v>
      </c>
      <c r="N478" s="1" t="s">
        <v>3327</v>
      </c>
      <c r="P478" s="1" t="s">
        <v>3326</v>
      </c>
      <c r="Q478" s="1" t="s">
        <v>780</v>
      </c>
      <c r="R478" s="1" t="s">
        <v>941</v>
      </c>
      <c r="S478" s="1" t="s">
        <v>3325</v>
      </c>
      <c r="T478" s="1" t="s">
        <v>3324</v>
      </c>
      <c r="U478" s="1">
        <v>1</v>
      </c>
      <c r="V478" s="1" t="s">
        <v>3267</v>
      </c>
      <c r="W478" s="1" t="s">
        <v>3323</v>
      </c>
      <c r="X478" s="1" t="s">
        <v>52</v>
      </c>
      <c r="Y478" s="3">
        <v>44127</v>
      </c>
      <c r="Z478" s="1">
        <v>2020</v>
      </c>
      <c r="AA478" s="2">
        <v>5873218.4199999999</v>
      </c>
      <c r="AB478" s="2"/>
      <c r="AC478" s="2">
        <v>4404913.82</v>
      </c>
      <c r="AD478" s="1">
        <v>0</v>
      </c>
      <c r="AF478" s="1">
        <v>50</v>
      </c>
      <c r="AG478" s="1" t="s">
        <v>21</v>
      </c>
      <c r="AH478" s="1" t="s">
        <v>65</v>
      </c>
      <c r="AI478" s="2">
        <v>4404913.82</v>
      </c>
      <c r="AK478" s="1"/>
      <c r="AL478" s="1" t="s">
        <v>88</v>
      </c>
    </row>
    <row r="479" spans="1:38" ht="15" customHeight="1" x14ac:dyDescent="0.2">
      <c r="A479" s="1" t="s">
        <v>19</v>
      </c>
      <c r="B479" s="5" t="s">
        <v>18</v>
      </c>
      <c r="C479" s="1" t="s">
        <v>37</v>
      </c>
      <c r="D479" s="1" t="s">
        <v>63</v>
      </c>
      <c r="E479" s="1" t="s">
        <v>35</v>
      </c>
      <c r="F479" s="1" t="s">
        <v>62</v>
      </c>
      <c r="G479" s="1" t="s">
        <v>61</v>
      </c>
      <c r="H479" s="1" t="s">
        <v>60</v>
      </c>
      <c r="I479" s="1" t="s">
        <v>3322</v>
      </c>
      <c r="J479" s="1">
        <v>2021</v>
      </c>
      <c r="K479" s="1" t="s">
        <v>3321</v>
      </c>
      <c r="L479" s="1" t="s">
        <v>3320</v>
      </c>
      <c r="P479" s="1" t="s">
        <v>3319</v>
      </c>
      <c r="Q479" s="1" t="s">
        <v>780</v>
      </c>
      <c r="R479" s="1" t="s">
        <v>941</v>
      </c>
      <c r="S479" s="1" t="s">
        <v>3318</v>
      </c>
      <c r="T479" s="1" t="s">
        <v>3317</v>
      </c>
      <c r="U479" s="1">
        <v>1</v>
      </c>
      <c r="V479" s="1" t="s">
        <v>3267</v>
      </c>
      <c r="W479" s="1" t="s">
        <v>3316</v>
      </c>
      <c r="X479" s="1" t="s">
        <v>430</v>
      </c>
      <c r="Y479" s="3">
        <v>44551</v>
      </c>
      <c r="Z479" s="1">
        <v>2021</v>
      </c>
      <c r="AA479" s="2">
        <v>3446103.66</v>
      </c>
      <c r="AB479" s="2"/>
      <c r="AC479" s="2">
        <v>1980726.56</v>
      </c>
      <c r="AD479" s="1">
        <v>1</v>
      </c>
      <c r="AF479" s="1">
        <v>4</v>
      </c>
      <c r="AG479" s="1" t="s">
        <v>21</v>
      </c>
      <c r="AH479" s="1" t="s">
        <v>51</v>
      </c>
      <c r="AI479" s="2">
        <v>1980726.56</v>
      </c>
      <c r="AK479" s="1"/>
      <c r="AL479" s="1" t="s">
        <v>1859</v>
      </c>
    </row>
    <row r="480" spans="1:38" ht="15" customHeight="1" x14ac:dyDescent="0.2">
      <c r="A480" s="1" t="s">
        <v>19</v>
      </c>
      <c r="B480" s="5" t="s">
        <v>18</v>
      </c>
      <c r="C480" s="1" t="s">
        <v>37</v>
      </c>
      <c r="D480" s="1" t="s">
        <v>63</v>
      </c>
      <c r="E480" s="1" t="s">
        <v>35</v>
      </c>
      <c r="F480" s="1" t="s">
        <v>62</v>
      </c>
      <c r="G480" s="1" t="s">
        <v>61</v>
      </c>
      <c r="H480" s="1" t="s">
        <v>60</v>
      </c>
      <c r="I480" s="1" t="s">
        <v>3315</v>
      </c>
      <c r="J480" s="1">
        <v>2021</v>
      </c>
      <c r="K480" s="1" t="s">
        <v>3314</v>
      </c>
      <c r="L480" s="1" t="s">
        <v>3313</v>
      </c>
      <c r="M480" s="1" t="s">
        <v>3312</v>
      </c>
      <c r="P480" s="1" t="s">
        <v>3311</v>
      </c>
      <c r="Q480" s="1" t="s">
        <v>780</v>
      </c>
      <c r="R480" s="1" t="s">
        <v>941</v>
      </c>
      <c r="S480" s="1" t="s">
        <v>3310</v>
      </c>
      <c r="T480" s="1" t="s">
        <v>3309</v>
      </c>
      <c r="U480" s="1">
        <v>1</v>
      </c>
      <c r="V480" s="1" t="s">
        <v>3267</v>
      </c>
      <c r="W480" s="1" t="s">
        <v>3308</v>
      </c>
      <c r="X480" s="1" t="s">
        <v>430</v>
      </c>
      <c r="Y480" s="3">
        <v>44559</v>
      </c>
      <c r="Z480" s="1">
        <v>2021</v>
      </c>
      <c r="AA480" s="2">
        <v>393626.73</v>
      </c>
      <c r="AB480" s="2"/>
      <c r="AC480" s="2">
        <v>295220.05</v>
      </c>
      <c r="AD480" s="1">
        <v>1</v>
      </c>
      <c r="AG480" s="1" t="s">
        <v>21</v>
      </c>
      <c r="AH480" s="1" t="s">
        <v>51</v>
      </c>
      <c r="AI480" s="2">
        <v>295220.05</v>
      </c>
      <c r="AK480" s="1"/>
      <c r="AL480" s="1" t="s">
        <v>88</v>
      </c>
    </row>
    <row r="481" spans="1:38" ht="15" customHeight="1" x14ac:dyDescent="0.2">
      <c r="A481" s="1" t="s">
        <v>19</v>
      </c>
      <c r="B481" s="5" t="s">
        <v>18</v>
      </c>
      <c r="C481" s="1" t="s">
        <v>37</v>
      </c>
      <c r="D481" s="1" t="s">
        <v>63</v>
      </c>
      <c r="E481" s="1" t="s">
        <v>35</v>
      </c>
      <c r="F481" s="1" t="s">
        <v>62</v>
      </c>
      <c r="G481" s="1" t="s">
        <v>61</v>
      </c>
      <c r="H481" s="1" t="s">
        <v>60</v>
      </c>
      <c r="I481" s="1" t="s">
        <v>3307</v>
      </c>
      <c r="J481" s="1">
        <v>2021</v>
      </c>
      <c r="K481" s="1" t="s">
        <v>3306</v>
      </c>
      <c r="L481" s="1" t="s">
        <v>3305</v>
      </c>
      <c r="M481" s="1" t="s">
        <v>3304</v>
      </c>
      <c r="P481" s="1" t="s">
        <v>3303</v>
      </c>
      <c r="Q481" s="1" t="s">
        <v>780</v>
      </c>
      <c r="R481" s="1" t="s">
        <v>941</v>
      </c>
      <c r="S481" s="1" t="s">
        <v>3302</v>
      </c>
      <c r="T481" s="1" t="s">
        <v>3301</v>
      </c>
      <c r="U481" s="1">
        <v>1</v>
      </c>
      <c r="V481" s="1" t="s">
        <v>3267</v>
      </c>
      <c r="W481" s="1" t="s">
        <v>3300</v>
      </c>
      <c r="X481" s="1" t="s">
        <v>430</v>
      </c>
      <c r="Y481" s="3">
        <v>44560</v>
      </c>
      <c r="Z481" s="1">
        <v>2021</v>
      </c>
      <c r="AA481" s="2">
        <v>105092.23</v>
      </c>
      <c r="AB481" s="2"/>
      <c r="AC481" s="2">
        <v>78819.17</v>
      </c>
      <c r="AD481" s="1">
        <v>0.1</v>
      </c>
      <c r="AF481" s="1">
        <v>5</v>
      </c>
      <c r="AG481" s="1" t="s">
        <v>21</v>
      </c>
      <c r="AH481" s="1" t="s">
        <v>65</v>
      </c>
      <c r="AI481" s="2">
        <v>75825.429999999993</v>
      </c>
      <c r="AK481" s="1"/>
      <c r="AL481" s="1" t="s">
        <v>88</v>
      </c>
    </row>
    <row r="482" spans="1:38" ht="15" customHeight="1" x14ac:dyDescent="0.2">
      <c r="A482" s="1" t="s">
        <v>19</v>
      </c>
      <c r="B482" s="5" t="s">
        <v>18</v>
      </c>
      <c r="C482" s="1" t="s">
        <v>37</v>
      </c>
      <c r="D482" s="1" t="s">
        <v>63</v>
      </c>
      <c r="E482" s="1" t="s">
        <v>35</v>
      </c>
      <c r="F482" s="1" t="s">
        <v>62</v>
      </c>
      <c r="G482" s="1" t="s">
        <v>61</v>
      </c>
      <c r="H482" s="1" t="s">
        <v>60</v>
      </c>
      <c r="I482" s="1" t="s">
        <v>1845</v>
      </c>
      <c r="J482" s="1">
        <v>2021</v>
      </c>
      <c r="K482" s="1" t="s">
        <v>1844</v>
      </c>
      <c r="L482" s="9" t="s">
        <v>3299</v>
      </c>
      <c r="P482" s="1" t="s">
        <v>3298</v>
      </c>
      <c r="Q482" s="1" t="s">
        <v>780</v>
      </c>
      <c r="R482" s="1" t="s">
        <v>941</v>
      </c>
      <c r="S482" s="1" t="s">
        <v>3297</v>
      </c>
      <c r="T482" s="1" t="s">
        <v>3296</v>
      </c>
      <c r="U482" s="1">
        <v>1</v>
      </c>
      <c r="V482" s="1" t="s">
        <v>3267</v>
      </c>
      <c r="W482" s="1" t="s">
        <v>1839</v>
      </c>
      <c r="X482" s="1" t="s">
        <v>36</v>
      </c>
      <c r="Y482" s="3">
        <v>44560</v>
      </c>
      <c r="Z482" s="1">
        <v>2021</v>
      </c>
      <c r="AA482" s="46">
        <v>2362210.1285622865</v>
      </c>
      <c r="AB482" s="2"/>
      <c r="AC482" s="2">
        <v>1771657.5964217149</v>
      </c>
      <c r="AD482" s="1">
        <v>0</v>
      </c>
      <c r="AF482" s="1">
        <v>13</v>
      </c>
      <c r="AG482" s="1" t="s">
        <v>21</v>
      </c>
      <c r="AH482" s="1" t="s">
        <v>65</v>
      </c>
      <c r="AI482" s="2">
        <v>1771657.5964217149</v>
      </c>
      <c r="AJ482" s="1">
        <v>19.22</v>
      </c>
      <c r="AK482" s="1"/>
      <c r="AL482" s="1" t="s">
        <v>88</v>
      </c>
    </row>
    <row r="483" spans="1:38" ht="15" customHeight="1" x14ac:dyDescent="0.25">
      <c r="A483" s="1" t="s">
        <v>19</v>
      </c>
      <c r="B483" s="5" t="s">
        <v>18</v>
      </c>
      <c r="C483" s="1" t="s">
        <v>37</v>
      </c>
      <c r="D483" s="1" t="s">
        <v>63</v>
      </c>
      <c r="E483" s="1" t="s">
        <v>35</v>
      </c>
      <c r="G483" s="1" t="s">
        <v>1619</v>
      </c>
      <c r="H483" s="1" t="s">
        <v>130</v>
      </c>
      <c r="I483" s="1" t="s">
        <v>3295</v>
      </c>
      <c r="J483" s="1">
        <v>2020</v>
      </c>
      <c r="K483" s="1" t="s">
        <v>3294</v>
      </c>
      <c r="L483" s="1" t="s">
        <v>3293</v>
      </c>
      <c r="M483" s="1" t="s">
        <v>3292</v>
      </c>
      <c r="P483" s="1" t="s">
        <v>3291</v>
      </c>
      <c r="Q483" s="1" t="s">
        <v>780</v>
      </c>
      <c r="R483" s="1" t="s">
        <v>941</v>
      </c>
      <c r="S483" s="10" t="s">
        <v>3290</v>
      </c>
      <c r="T483" s="1" t="s">
        <v>3289</v>
      </c>
      <c r="U483" s="1">
        <v>1</v>
      </c>
      <c r="V483" s="1" t="s">
        <v>3267</v>
      </c>
      <c r="W483" s="1" t="s">
        <v>3288</v>
      </c>
      <c r="X483" s="1" t="s">
        <v>529</v>
      </c>
      <c r="Y483" s="3">
        <v>44337</v>
      </c>
      <c r="Z483" s="1">
        <v>2021</v>
      </c>
      <c r="AA483" s="2">
        <v>605000</v>
      </c>
      <c r="AB483" s="2"/>
      <c r="AC483" s="2">
        <v>307521.5</v>
      </c>
      <c r="AD483" s="1">
        <v>3</v>
      </c>
      <c r="AE483" s="1">
        <v>2</v>
      </c>
      <c r="AG483" s="1" t="s">
        <v>21</v>
      </c>
      <c r="AH483" s="1" t="s">
        <v>65</v>
      </c>
      <c r="AI483" s="2">
        <v>307230.99</v>
      </c>
      <c r="AK483" s="1">
        <v>3</v>
      </c>
      <c r="AL483" s="1" t="s">
        <v>1606</v>
      </c>
    </row>
    <row r="484" spans="1:38" ht="15" customHeight="1" x14ac:dyDescent="0.2">
      <c r="A484" s="1" t="s">
        <v>19</v>
      </c>
      <c r="B484" s="5" t="s">
        <v>18</v>
      </c>
      <c r="C484" s="1" t="s">
        <v>37</v>
      </c>
      <c r="D484" s="1" t="s">
        <v>36</v>
      </c>
      <c r="E484" s="1" t="s">
        <v>35</v>
      </c>
      <c r="F484" s="1" t="s">
        <v>34</v>
      </c>
      <c r="G484" s="1" t="s">
        <v>33</v>
      </c>
      <c r="H484" s="1" t="s">
        <v>32</v>
      </c>
      <c r="I484" s="1" t="s">
        <v>3287</v>
      </c>
      <c r="J484" s="1">
        <v>2021</v>
      </c>
      <c r="K484" s="1" t="s">
        <v>3286</v>
      </c>
      <c r="L484" s="1" t="s">
        <v>3285</v>
      </c>
      <c r="M484" s="1" t="s">
        <v>3284</v>
      </c>
      <c r="N484" s="1" t="s">
        <v>3283</v>
      </c>
      <c r="P484" s="1" t="s">
        <v>2126</v>
      </c>
      <c r="Q484" s="1" t="s">
        <v>780</v>
      </c>
      <c r="R484" s="1" t="s">
        <v>941</v>
      </c>
      <c r="S484" s="1" t="s">
        <v>3282</v>
      </c>
      <c r="T484" s="1" t="s">
        <v>3281</v>
      </c>
      <c r="U484" s="1">
        <v>1</v>
      </c>
      <c r="V484" s="1" t="s">
        <v>3267</v>
      </c>
      <c r="W484" s="1" t="s">
        <v>3280</v>
      </c>
      <c r="Y484" s="3">
        <v>44530</v>
      </c>
      <c r="Z484" s="1">
        <v>2021</v>
      </c>
      <c r="AA484" s="2">
        <v>38231906.829999998</v>
      </c>
      <c r="AB484" s="2"/>
      <c r="AC484" s="2">
        <v>36759961.26275</v>
      </c>
      <c r="AF484" s="1">
        <v>74</v>
      </c>
      <c r="AG484" s="1" t="s">
        <v>21</v>
      </c>
      <c r="AI484" s="2">
        <v>36759961.26275</v>
      </c>
      <c r="AJ484" s="1">
        <v>722.24</v>
      </c>
      <c r="AK484" s="1" t="s">
        <v>20</v>
      </c>
    </row>
    <row r="485" spans="1:38" ht="15" customHeight="1" x14ac:dyDescent="0.2">
      <c r="A485" s="1" t="s">
        <v>19</v>
      </c>
      <c r="B485" s="5" t="s">
        <v>18</v>
      </c>
      <c r="C485" s="1" t="s">
        <v>37</v>
      </c>
      <c r="D485" s="1" t="s">
        <v>36</v>
      </c>
      <c r="E485" s="1" t="s">
        <v>35</v>
      </c>
      <c r="F485" s="1" t="s">
        <v>34</v>
      </c>
      <c r="G485" s="1" t="s">
        <v>33</v>
      </c>
      <c r="H485" s="1" t="s">
        <v>32</v>
      </c>
      <c r="I485" s="1" t="s">
        <v>3279</v>
      </c>
      <c r="J485" s="1">
        <v>2021</v>
      </c>
      <c r="K485" s="1" t="s">
        <v>3278</v>
      </c>
      <c r="L485" s="1" t="s">
        <v>3277</v>
      </c>
      <c r="M485" s="1" t="s">
        <v>3276</v>
      </c>
      <c r="P485" s="1" t="s">
        <v>2126</v>
      </c>
      <c r="Q485" s="1" t="s">
        <v>780</v>
      </c>
      <c r="R485" s="1" t="s">
        <v>941</v>
      </c>
      <c r="S485" s="1" t="s">
        <v>3275</v>
      </c>
      <c r="T485" s="1" t="s">
        <v>3274</v>
      </c>
      <c r="U485" s="1">
        <v>1</v>
      </c>
      <c r="V485" s="1" t="s">
        <v>3267</v>
      </c>
      <c r="W485" s="1" t="s">
        <v>3273</v>
      </c>
      <c r="Y485" s="3">
        <v>44530</v>
      </c>
      <c r="Z485" s="1">
        <v>2021</v>
      </c>
      <c r="AA485" s="2">
        <v>11570544.59</v>
      </c>
      <c r="AB485" s="2"/>
      <c r="AC485" s="2">
        <v>11512683.92</v>
      </c>
      <c r="AF485" s="1">
        <v>44</v>
      </c>
      <c r="AG485" s="1" t="s">
        <v>21</v>
      </c>
      <c r="AI485" s="2">
        <v>11512683.92</v>
      </c>
      <c r="AJ485" s="1">
        <v>90.23</v>
      </c>
      <c r="AK485" s="1" t="s">
        <v>20</v>
      </c>
    </row>
    <row r="486" spans="1:38" ht="15" customHeight="1" x14ac:dyDescent="0.2">
      <c r="A486" s="1" t="s">
        <v>19</v>
      </c>
      <c r="B486" s="5" t="s">
        <v>18</v>
      </c>
      <c r="C486" s="1" t="s">
        <v>37</v>
      </c>
      <c r="D486" s="1" t="s">
        <v>36</v>
      </c>
      <c r="E486" s="1" t="s">
        <v>35</v>
      </c>
      <c r="F486" s="1" t="s">
        <v>34</v>
      </c>
      <c r="G486" s="1" t="s">
        <v>33</v>
      </c>
      <c r="H486" s="1" t="s">
        <v>32</v>
      </c>
      <c r="I486" s="1" t="s">
        <v>3272</v>
      </c>
      <c r="J486" s="1">
        <v>2021</v>
      </c>
      <c r="K486" s="1" t="s">
        <v>3271</v>
      </c>
      <c r="L486" s="1" t="s">
        <v>3270</v>
      </c>
      <c r="P486" s="1" t="s">
        <v>2126</v>
      </c>
      <c r="Q486" s="1" t="s">
        <v>780</v>
      </c>
      <c r="R486" s="1" t="s">
        <v>941</v>
      </c>
      <c r="S486" s="1" t="s">
        <v>3269</v>
      </c>
      <c r="T486" s="1" t="s">
        <v>3268</v>
      </c>
      <c r="U486" s="1">
        <v>1</v>
      </c>
      <c r="V486" s="1" t="s">
        <v>3267</v>
      </c>
      <c r="W486" s="1" t="s">
        <v>3266</v>
      </c>
      <c r="Y486" s="3">
        <v>44530</v>
      </c>
      <c r="Z486" s="1">
        <v>2021</v>
      </c>
      <c r="AA486" s="2">
        <v>20582737.640000001</v>
      </c>
      <c r="AB486" s="2"/>
      <c r="AC486" s="2">
        <v>19661774.84</v>
      </c>
      <c r="AF486" s="1">
        <v>74</v>
      </c>
      <c r="AG486" s="1" t="s">
        <v>21</v>
      </c>
      <c r="AI486" s="2">
        <v>19661774.84</v>
      </c>
      <c r="AJ486" s="1">
        <v>249.08</v>
      </c>
      <c r="AK486" s="1" t="s">
        <v>20</v>
      </c>
    </row>
    <row r="487" spans="1:38" ht="15" customHeight="1" x14ac:dyDescent="0.25">
      <c r="A487" s="1" t="s">
        <v>19</v>
      </c>
      <c r="B487" s="5" t="s">
        <v>109</v>
      </c>
      <c r="C487" s="1" t="s">
        <v>17</v>
      </c>
      <c r="D487" s="1" t="s">
        <v>16</v>
      </c>
      <c r="E487" s="1" t="s">
        <v>15</v>
      </c>
      <c r="F487" s="1" t="s">
        <v>1530</v>
      </c>
      <c r="G487" s="1" t="s">
        <v>1706</v>
      </c>
      <c r="H487" s="1" t="s">
        <v>12</v>
      </c>
      <c r="I487" s="1" t="s">
        <v>3265</v>
      </c>
      <c r="J487" s="1">
        <v>2022</v>
      </c>
      <c r="K487" s="1" t="s">
        <v>3264</v>
      </c>
      <c r="L487" s="1" t="s">
        <v>3261</v>
      </c>
      <c r="M487" s="1" t="s">
        <v>3263</v>
      </c>
      <c r="P487" s="1" t="s">
        <v>3262</v>
      </c>
      <c r="Q487" s="1" t="s">
        <v>1749</v>
      </c>
      <c r="R487" s="1" t="s">
        <v>3232</v>
      </c>
      <c r="S487" s="10" t="s">
        <v>3230</v>
      </c>
      <c r="T487" s="1" t="s">
        <v>3231</v>
      </c>
      <c r="V487" s="1" t="s">
        <v>3230</v>
      </c>
      <c r="W487" s="1" t="s">
        <v>3261</v>
      </c>
      <c r="X487" s="1" t="s">
        <v>2</v>
      </c>
      <c r="Y487" s="3">
        <v>45069</v>
      </c>
      <c r="Z487" s="1">
        <v>2023</v>
      </c>
      <c r="AA487" s="2">
        <v>70163479</v>
      </c>
      <c r="AB487" s="2"/>
      <c r="AC487" s="2">
        <v>15000000</v>
      </c>
      <c r="AD487" s="1">
        <v>60</v>
      </c>
      <c r="AG487" s="1" t="s">
        <v>1522</v>
      </c>
      <c r="AH487" s="1" t="s">
        <v>1521</v>
      </c>
      <c r="AI487" s="2">
        <v>0</v>
      </c>
      <c r="AK487" s="1"/>
    </row>
    <row r="488" spans="1:38" ht="15" customHeight="1" x14ac:dyDescent="0.25">
      <c r="A488" s="1" t="s">
        <v>19</v>
      </c>
      <c r="B488" s="5" t="s">
        <v>18</v>
      </c>
      <c r="C488" s="1" t="s">
        <v>37</v>
      </c>
      <c r="D488" s="1" t="s">
        <v>63</v>
      </c>
      <c r="E488" s="1" t="s">
        <v>35</v>
      </c>
      <c r="G488" s="1" t="s">
        <v>288</v>
      </c>
      <c r="H488" s="1" t="s">
        <v>32</v>
      </c>
      <c r="I488" s="1" t="s">
        <v>3260</v>
      </c>
      <c r="J488" s="1">
        <v>2022</v>
      </c>
      <c r="K488" s="1" t="s">
        <v>3259</v>
      </c>
      <c r="L488" s="1" t="s">
        <v>3258</v>
      </c>
      <c r="M488" s="1" t="s">
        <v>3257</v>
      </c>
      <c r="P488" s="1" t="s">
        <v>3233</v>
      </c>
      <c r="Q488" s="1" t="s">
        <v>1749</v>
      </c>
      <c r="R488" s="1" t="s">
        <v>3232</v>
      </c>
      <c r="S488" s="10" t="s">
        <v>3230</v>
      </c>
      <c r="T488" s="1" t="s">
        <v>3231</v>
      </c>
      <c r="V488" s="1" t="s">
        <v>3230</v>
      </c>
      <c r="W488" s="1" t="s">
        <v>3256</v>
      </c>
      <c r="Y488" s="3">
        <v>45112</v>
      </c>
      <c r="Z488" s="1">
        <v>2023</v>
      </c>
      <c r="AA488" s="2">
        <v>359975</v>
      </c>
      <c r="AB488" s="2"/>
      <c r="AC488" s="2">
        <v>359975</v>
      </c>
      <c r="AG488" s="1" t="s">
        <v>21</v>
      </c>
      <c r="AI488" s="2">
        <v>359975</v>
      </c>
      <c r="AK488" s="1"/>
    </row>
    <row r="489" spans="1:38" ht="15" customHeight="1" x14ac:dyDescent="0.25">
      <c r="A489" s="1" t="s">
        <v>19</v>
      </c>
      <c r="B489" s="5" t="s">
        <v>18</v>
      </c>
      <c r="C489" s="1" t="s">
        <v>37</v>
      </c>
      <c r="D489" s="1" t="s">
        <v>211</v>
      </c>
      <c r="E489" s="1" t="s">
        <v>35</v>
      </c>
      <c r="F489" s="1" t="s">
        <v>267</v>
      </c>
      <c r="G489" s="1" t="s">
        <v>266</v>
      </c>
      <c r="H489" s="1" t="s">
        <v>208</v>
      </c>
      <c r="I489" s="1" t="s">
        <v>3255</v>
      </c>
      <c r="J489" s="1">
        <v>2023</v>
      </c>
      <c r="K489" s="1" t="s">
        <v>3251</v>
      </c>
      <c r="L489" s="1" t="s">
        <v>3254</v>
      </c>
      <c r="M489" s="1" t="s">
        <v>3253</v>
      </c>
      <c r="P489" s="1" t="s">
        <v>3252</v>
      </c>
      <c r="Q489" s="1" t="s">
        <v>1749</v>
      </c>
      <c r="R489" s="1" t="s">
        <v>3232</v>
      </c>
      <c r="S489" s="10" t="s">
        <v>3230</v>
      </c>
      <c r="T489" s="1" t="s">
        <v>3231</v>
      </c>
      <c r="V489" s="1" t="s">
        <v>3230</v>
      </c>
      <c r="W489" s="1" t="s">
        <v>3251</v>
      </c>
      <c r="Y489" s="3">
        <v>45462</v>
      </c>
      <c r="Z489" s="1">
        <v>2024</v>
      </c>
      <c r="AA489" s="2">
        <v>460378.97</v>
      </c>
      <c r="AB489" s="2"/>
      <c r="AC489" s="2">
        <v>141303.88</v>
      </c>
      <c r="AD489" s="1">
        <v>8</v>
      </c>
      <c r="AE489" s="1">
        <v>7</v>
      </c>
      <c r="AG489" s="1" t="s">
        <v>21</v>
      </c>
      <c r="AI489" s="2">
        <v>141303.88</v>
      </c>
      <c r="AK489" s="1"/>
    </row>
    <row r="490" spans="1:38" ht="15" customHeight="1" x14ac:dyDescent="0.25">
      <c r="A490" s="1" t="s">
        <v>19</v>
      </c>
      <c r="B490" s="5" t="s">
        <v>18</v>
      </c>
      <c r="C490" s="1" t="s">
        <v>37</v>
      </c>
      <c r="D490" s="1" t="s">
        <v>211</v>
      </c>
      <c r="E490" s="1" t="s">
        <v>35</v>
      </c>
      <c r="F490" s="1" t="s">
        <v>267</v>
      </c>
      <c r="G490" s="1" t="s">
        <v>266</v>
      </c>
      <c r="H490" s="1" t="s">
        <v>208</v>
      </c>
      <c r="I490" s="1" t="s">
        <v>3250</v>
      </c>
      <c r="J490" s="1">
        <v>2023</v>
      </c>
      <c r="K490" s="1" t="s">
        <v>3245</v>
      </c>
      <c r="L490" s="1" t="s">
        <v>3249</v>
      </c>
      <c r="M490" s="1" t="s">
        <v>3248</v>
      </c>
      <c r="N490" s="1" t="s">
        <v>3247</v>
      </c>
      <c r="P490" s="1" t="s">
        <v>3246</v>
      </c>
      <c r="Q490" s="1" t="s">
        <v>1749</v>
      </c>
      <c r="R490" s="1" t="s">
        <v>3232</v>
      </c>
      <c r="S490" s="10" t="s">
        <v>3230</v>
      </c>
      <c r="T490" s="1" t="s">
        <v>3231</v>
      </c>
      <c r="V490" s="1" t="s">
        <v>3230</v>
      </c>
      <c r="W490" s="1" t="s">
        <v>3245</v>
      </c>
      <c r="Y490" s="3">
        <v>45462</v>
      </c>
      <c r="Z490" s="1">
        <v>2024</v>
      </c>
      <c r="AA490" s="2">
        <v>6113619.0099999998</v>
      </c>
      <c r="AB490" s="2"/>
      <c r="AC490" s="2">
        <v>1887977.23</v>
      </c>
      <c r="AD490" s="1">
        <v>30</v>
      </c>
      <c r="AE490" s="1">
        <v>17.399999999999999</v>
      </c>
      <c r="AG490" s="1" t="s">
        <v>21</v>
      </c>
      <c r="AI490" s="2">
        <v>1887977.23</v>
      </c>
      <c r="AK490" s="1"/>
    </row>
    <row r="491" spans="1:38" ht="15" customHeight="1" x14ac:dyDescent="0.2">
      <c r="A491" s="1" t="s">
        <v>19</v>
      </c>
      <c r="B491" s="5" t="s">
        <v>109</v>
      </c>
      <c r="C491" s="1" t="s">
        <v>37</v>
      </c>
      <c r="D491" s="1" t="s">
        <v>211</v>
      </c>
      <c r="E491" s="1" t="s">
        <v>35</v>
      </c>
      <c r="F491" s="1" t="s">
        <v>210</v>
      </c>
      <c r="G491" s="1" t="s">
        <v>209</v>
      </c>
      <c r="H491" s="1" t="s">
        <v>208</v>
      </c>
      <c r="I491" s="1" t="s">
        <v>3244</v>
      </c>
      <c r="J491" s="1">
        <v>2023</v>
      </c>
      <c r="K491" s="1" t="s">
        <v>3242</v>
      </c>
      <c r="P491" s="1" t="s">
        <v>3243</v>
      </c>
      <c r="Q491" s="1" t="s">
        <v>1749</v>
      </c>
      <c r="R491" s="1" t="s">
        <v>3232</v>
      </c>
      <c r="S491" s="1" t="s">
        <v>3230</v>
      </c>
      <c r="T491" s="1" t="s">
        <v>3231</v>
      </c>
      <c r="V491" s="1" t="s">
        <v>3230</v>
      </c>
      <c r="W491" s="1" t="s">
        <v>3242</v>
      </c>
      <c r="Y491" s="3">
        <v>45478</v>
      </c>
      <c r="Z491" s="1">
        <v>2024</v>
      </c>
      <c r="AA491" s="2">
        <v>182091.71</v>
      </c>
      <c r="AB491" s="2"/>
      <c r="AC491" s="2">
        <v>91045.85</v>
      </c>
      <c r="AD491" s="1">
        <v>2</v>
      </c>
      <c r="AG491" s="1" t="s">
        <v>106</v>
      </c>
      <c r="AH491" s="1" t="s">
        <v>105</v>
      </c>
      <c r="AI491" s="2">
        <v>0</v>
      </c>
      <c r="AK491" s="1"/>
    </row>
    <row r="492" spans="1:38" ht="15" customHeight="1" x14ac:dyDescent="0.25">
      <c r="A492" s="1" t="s">
        <v>19</v>
      </c>
      <c r="B492" s="5" t="s">
        <v>109</v>
      </c>
      <c r="C492" s="1" t="s">
        <v>37</v>
      </c>
      <c r="D492" s="1" t="s">
        <v>63</v>
      </c>
      <c r="E492" s="1" t="s">
        <v>35</v>
      </c>
      <c r="G492" s="1" t="s">
        <v>1619</v>
      </c>
      <c r="H492" s="1" t="s">
        <v>130</v>
      </c>
      <c r="I492" s="1" t="s">
        <v>3241</v>
      </c>
      <c r="J492" s="1">
        <v>2020</v>
      </c>
      <c r="K492" s="1" t="s">
        <v>3240</v>
      </c>
      <c r="P492" s="1" t="s">
        <v>3233</v>
      </c>
      <c r="Q492" s="1" t="s">
        <v>1749</v>
      </c>
      <c r="R492" s="1" t="s">
        <v>3232</v>
      </c>
      <c r="S492" s="10" t="s">
        <v>3230</v>
      </c>
      <c r="T492" s="1" t="s">
        <v>3231</v>
      </c>
      <c r="V492" s="1" t="s">
        <v>3230</v>
      </c>
      <c r="W492" s="1" t="s">
        <v>3240</v>
      </c>
      <c r="X492" s="1" t="s">
        <v>327</v>
      </c>
      <c r="Y492" s="3">
        <v>44337</v>
      </c>
      <c r="Z492" s="1">
        <v>2021</v>
      </c>
      <c r="AA492" s="2">
        <v>349960</v>
      </c>
      <c r="AB492" s="2"/>
      <c r="AC492" s="2">
        <v>215085.42</v>
      </c>
      <c r="AD492" s="1">
        <v>4</v>
      </c>
      <c r="AE492" s="1">
        <v>2</v>
      </c>
      <c r="AG492" s="1" t="s">
        <v>106</v>
      </c>
      <c r="AI492" s="2">
        <v>0</v>
      </c>
      <c r="AK492" s="1">
        <v>4</v>
      </c>
      <c r="AL492" s="1" t="s">
        <v>3239</v>
      </c>
    </row>
    <row r="493" spans="1:38" ht="15" customHeight="1" x14ac:dyDescent="0.25">
      <c r="A493" s="1" t="s">
        <v>19</v>
      </c>
      <c r="B493" s="5" t="s">
        <v>18</v>
      </c>
      <c r="C493" s="1" t="s">
        <v>37</v>
      </c>
      <c r="D493" s="1" t="s">
        <v>63</v>
      </c>
      <c r="E493" s="1" t="s">
        <v>35</v>
      </c>
      <c r="G493" s="1" t="s">
        <v>1619</v>
      </c>
      <c r="H493" s="1" t="s">
        <v>130</v>
      </c>
      <c r="I493" s="1" t="s">
        <v>3238</v>
      </c>
      <c r="J493" s="1">
        <v>2020</v>
      </c>
      <c r="K493" s="1" t="s">
        <v>3236</v>
      </c>
      <c r="L493" s="1" t="s">
        <v>3237</v>
      </c>
      <c r="P493" s="1" t="s">
        <v>3233</v>
      </c>
      <c r="Q493" s="1" t="s">
        <v>1749</v>
      </c>
      <c r="R493" s="1" t="s">
        <v>3232</v>
      </c>
      <c r="S493" s="10" t="s">
        <v>3230</v>
      </c>
      <c r="T493" s="1" t="s">
        <v>3231</v>
      </c>
      <c r="V493" s="1" t="s">
        <v>3230</v>
      </c>
      <c r="W493" s="1" t="s">
        <v>3236</v>
      </c>
      <c r="X493" s="1" t="s">
        <v>52</v>
      </c>
      <c r="Y493" s="3">
        <v>44337</v>
      </c>
      <c r="Z493" s="1">
        <v>2021</v>
      </c>
      <c r="AA493" s="2">
        <v>721000</v>
      </c>
      <c r="AB493" s="2"/>
      <c r="AC493" s="2">
        <v>360500</v>
      </c>
      <c r="AE493" s="1">
        <v>6</v>
      </c>
      <c r="AF493" s="1">
        <v>12</v>
      </c>
      <c r="AG493" s="1" t="s">
        <v>21</v>
      </c>
      <c r="AH493" s="1" t="s">
        <v>65</v>
      </c>
      <c r="AI493" s="2">
        <v>360499.3</v>
      </c>
      <c r="AK493" s="1">
        <v>12</v>
      </c>
      <c r="AL493" s="1" t="s">
        <v>3235</v>
      </c>
    </row>
    <row r="494" spans="1:38" ht="15" customHeight="1" x14ac:dyDescent="0.25">
      <c r="A494" s="1" t="s">
        <v>19</v>
      </c>
      <c r="B494" s="5" t="s">
        <v>109</v>
      </c>
      <c r="C494" s="1" t="s">
        <v>37</v>
      </c>
      <c r="D494" s="1" t="s">
        <v>63</v>
      </c>
      <c r="E494" s="1" t="s">
        <v>35</v>
      </c>
      <c r="G494" s="1" t="s">
        <v>1619</v>
      </c>
      <c r="H494" s="1" t="s">
        <v>130</v>
      </c>
      <c r="I494" s="1" t="s">
        <v>3234</v>
      </c>
      <c r="J494" s="1">
        <v>2020</v>
      </c>
      <c r="K494" s="1" t="s">
        <v>3229</v>
      </c>
      <c r="P494" s="1" t="s">
        <v>3233</v>
      </c>
      <c r="Q494" s="1" t="s">
        <v>1749</v>
      </c>
      <c r="R494" s="1" t="s">
        <v>3232</v>
      </c>
      <c r="S494" s="10" t="s">
        <v>3230</v>
      </c>
      <c r="T494" s="1" t="s">
        <v>3231</v>
      </c>
      <c r="V494" s="1" t="s">
        <v>3230</v>
      </c>
      <c r="W494" s="1" t="s">
        <v>3229</v>
      </c>
      <c r="X494" s="1" t="s">
        <v>667</v>
      </c>
      <c r="Y494" s="3">
        <v>44337</v>
      </c>
      <c r="Z494" s="1">
        <v>2021</v>
      </c>
      <c r="AA494" s="2">
        <v>1000000</v>
      </c>
      <c r="AB494" s="2"/>
      <c r="AC494" s="2">
        <v>500000</v>
      </c>
      <c r="AD494" s="1">
        <v>60</v>
      </c>
      <c r="AE494" s="1">
        <v>55</v>
      </c>
      <c r="AG494" s="1" t="s">
        <v>106</v>
      </c>
      <c r="AH494" s="1" t="s">
        <v>2075</v>
      </c>
      <c r="AI494" s="2">
        <v>0</v>
      </c>
      <c r="AK494" s="1">
        <v>60</v>
      </c>
      <c r="AL494" s="1" t="s">
        <v>3228</v>
      </c>
    </row>
    <row r="495" spans="1:38" ht="15" customHeight="1" x14ac:dyDescent="0.2">
      <c r="A495" s="1" t="s">
        <v>19</v>
      </c>
      <c r="B495" s="5" t="s">
        <v>18</v>
      </c>
      <c r="C495" s="1" t="s">
        <v>37</v>
      </c>
      <c r="D495" s="1" t="s">
        <v>211</v>
      </c>
      <c r="E495" s="1" t="s">
        <v>35</v>
      </c>
      <c r="F495" s="1" t="s">
        <v>637</v>
      </c>
      <c r="G495" s="1" t="s">
        <v>636</v>
      </c>
      <c r="H495" s="1" t="s">
        <v>130</v>
      </c>
      <c r="I495" s="1" t="s">
        <v>3227</v>
      </c>
      <c r="J495" s="1" t="s">
        <v>316</v>
      </c>
      <c r="K495" s="1" t="s">
        <v>3226</v>
      </c>
      <c r="L495" s="1" t="s">
        <v>3225</v>
      </c>
      <c r="M495" s="1" t="s">
        <v>3224</v>
      </c>
      <c r="P495" s="1" t="s">
        <v>3223</v>
      </c>
      <c r="Q495" s="1" t="s">
        <v>27</v>
      </c>
      <c r="R495" s="1" t="s">
        <v>26</v>
      </c>
      <c r="S495" s="1" t="s">
        <v>2624</v>
      </c>
      <c r="T495" s="1" t="s">
        <v>2623</v>
      </c>
      <c r="U495" s="1">
        <v>2</v>
      </c>
      <c r="V495" s="1" t="s">
        <v>2439</v>
      </c>
      <c r="W495" s="1" t="s">
        <v>3222</v>
      </c>
      <c r="X495" s="1" t="s">
        <v>52</v>
      </c>
      <c r="Y495" s="3">
        <v>43825</v>
      </c>
      <c r="Z495" s="1">
        <v>2019</v>
      </c>
      <c r="AA495" s="2">
        <v>1599536.02</v>
      </c>
      <c r="AB495" s="2"/>
      <c r="AC495" s="2">
        <v>108500</v>
      </c>
      <c r="AD495" s="1">
        <v>7</v>
      </c>
      <c r="AG495" s="1" t="s">
        <v>21</v>
      </c>
      <c r="AI495" s="2">
        <v>108500</v>
      </c>
      <c r="AK495" s="1"/>
      <c r="AL495" s="1" t="s">
        <v>3221</v>
      </c>
    </row>
    <row r="496" spans="1:38" ht="15" customHeight="1" x14ac:dyDescent="0.2">
      <c r="A496" s="1" t="s">
        <v>19</v>
      </c>
      <c r="B496" s="5" t="s">
        <v>109</v>
      </c>
      <c r="C496" s="1" t="s">
        <v>37</v>
      </c>
      <c r="D496" s="1" t="s">
        <v>211</v>
      </c>
      <c r="E496" s="1" t="s">
        <v>35</v>
      </c>
      <c r="F496" s="1" t="s">
        <v>637</v>
      </c>
      <c r="G496" s="1" t="s">
        <v>636</v>
      </c>
      <c r="H496" s="1" t="s">
        <v>130</v>
      </c>
      <c r="I496" s="1" t="s">
        <v>3220</v>
      </c>
      <c r="J496" s="1" t="s">
        <v>316</v>
      </c>
      <c r="K496" s="1" t="s">
        <v>3218</v>
      </c>
      <c r="P496" s="1" t="s">
        <v>3219</v>
      </c>
      <c r="Q496" s="1" t="s">
        <v>27</v>
      </c>
      <c r="R496" s="1" t="s">
        <v>26</v>
      </c>
      <c r="S496" s="1" t="s">
        <v>2590</v>
      </c>
      <c r="T496" s="1" t="s">
        <v>2589</v>
      </c>
      <c r="U496" s="1">
        <v>1</v>
      </c>
      <c r="V496" s="1" t="s">
        <v>2439</v>
      </c>
      <c r="W496" s="1" t="s">
        <v>3218</v>
      </c>
      <c r="X496" s="1" t="s">
        <v>319</v>
      </c>
      <c r="Y496" s="3">
        <v>44338</v>
      </c>
      <c r="Z496" s="1">
        <v>2021</v>
      </c>
      <c r="AA496" s="2">
        <v>607297.06000000006</v>
      </c>
      <c r="AB496" s="2"/>
      <c r="AC496" s="2">
        <v>55646.7</v>
      </c>
      <c r="AD496" s="1">
        <v>3</v>
      </c>
      <c r="AG496" s="1" t="s">
        <v>106</v>
      </c>
      <c r="AH496" s="1" t="s">
        <v>310</v>
      </c>
      <c r="AI496" s="2">
        <v>0</v>
      </c>
      <c r="AK496" s="1" t="s">
        <v>1408</v>
      </c>
    </row>
    <row r="497" spans="1:38" ht="15" customHeight="1" x14ac:dyDescent="0.2">
      <c r="A497" s="1" t="s">
        <v>19</v>
      </c>
      <c r="B497" s="5" t="s">
        <v>18</v>
      </c>
      <c r="C497" s="1" t="s">
        <v>37</v>
      </c>
      <c r="D497" s="1" t="s">
        <v>211</v>
      </c>
      <c r="E497" s="1" t="s">
        <v>35</v>
      </c>
      <c r="F497" s="1" t="s">
        <v>637</v>
      </c>
      <c r="G497" s="1" t="s">
        <v>636</v>
      </c>
      <c r="H497" s="1" t="s">
        <v>130</v>
      </c>
      <c r="I497" s="1" t="s">
        <v>3217</v>
      </c>
      <c r="J497" s="1" t="s">
        <v>316</v>
      </c>
      <c r="K497" s="1" t="s">
        <v>3216</v>
      </c>
      <c r="L497" s="1" t="s">
        <v>3215</v>
      </c>
      <c r="M497" s="1" t="s">
        <v>3214</v>
      </c>
      <c r="P497" s="1" t="s">
        <v>3213</v>
      </c>
      <c r="Q497" s="1" t="s">
        <v>27</v>
      </c>
      <c r="R497" s="1" t="s">
        <v>26</v>
      </c>
      <c r="S497" s="1" t="s">
        <v>2490</v>
      </c>
      <c r="T497" s="1" t="s">
        <v>2489</v>
      </c>
      <c r="U497" s="1">
        <v>1</v>
      </c>
      <c r="V497" s="1" t="s">
        <v>2439</v>
      </c>
      <c r="W497" s="1" t="s">
        <v>3212</v>
      </c>
      <c r="X497" s="1" t="s">
        <v>319</v>
      </c>
      <c r="Y497" s="3">
        <v>44286</v>
      </c>
      <c r="Z497" s="1">
        <v>2021</v>
      </c>
      <c r="AA497" s="2">
        <v>2013926.09</v>
      </c>
      <c r="AB497" s="2"/>
      <c r="AC497" s="2">
        <v>166250</v>
      </c>
      <c r="AD497" s="1">
        <v>5</v>
      </c>
      <c r="AE497" s="1">
        <v>1</v>
      </c>
      <c r="AG497" s="1" t="s">
        <v>21</v>
      </c>
      <c r="AI497" s="2">
        <v>44406.16</v>
      </c>
      <c r="AK497" s="1"/>
      <c r="AL497" s="1" t="s">
        <v>3211</v>
      </c>
    </row>
    <row r="498" spans="1:38" ht="15" customHeight="1" x14ac:dyDescent="0.2">
      <c r="A498" s="1" t="s">
        <v>19</v>
      </c>
      <c r="B498" s="5" t="s">
        <v>18</v>
      </c>
      <c r="C498" s="1" t="s">
        <v>37</v>
      </c>
      <c r="D498" s="1" t="s">
        <v>211</v>
      </c>
      <c r="E498" s="1" t="s">
        <v>35</v>
      </c>
      <c r="F498" s="1" t="s">
        <v>637</v>
      </c>
      <c r="G498" s="1" t="s">
        <v>636</v>
      </c>
      <c r="H498" s="1" t="s">
        <v>130</v>
      </c>
      <c r="I498" s="1" t="s">
        <v>3210</v>
      </c>
      <c r="J498" s="1" t="s">
        <v>316</v>
      </c>
      <c r="K498" s="1" t="s">
        <v>3206</v>
      </c>
      <c r="L498" s="1" t="s">
        <v>3209</v>
      </c>
      <c r="M498" s="1" t="s">
        <v>3208</v>
      </c>
      <c r="P498" s="1" t="s">
        <v>3207</v>
      </c>
      <c r="Q498" s="1" t="s">
        <v>27</v>
      </c>
      <c r="R498" s="1" t="s">
        <v>26</v>
      </c>
      <c r="S498" s="1" t="s">
        <v>2677</v>
      </c>
      <c r="T498" s="1" t="s">
        <v>2676</v>
      </c>
      <c r="U498" s="1">
        <v>2</v>
      </c>
      <c r="V498" s="1" t="s">
        <v>2439</v>
      </c>
      <c r="W498" s="1" t="s">
        <v>3206</v>
      </c>
      <c r="X498" s="1" t="s">
        <v>52</v>
      </c>
      <c r="Y498" s="3">
        <v>44127</v>
      </c>
      <c r="Z498" s="1">
        <v>2020</v>
      </c>
      <c r="AA498" s="2">
        <v>2476665</v>
      </c>
      <c r="AB498" s="2"/>
      <c r="AC498" s="2">
        <v>117250</v>
      </c>
      <c r="AD498" s="1">
        <v>8</v>
      </c>
      <c r="AG498" s="1" t="s">
        <v>21</v>
      </c>
      <c r="AI498" s="2">
        <v>117250</v>
      </c>
      <c r="AK498" s="1" t="s">
        <v>1393</v>
      </c>
    </row>
    <row r="499" spans="1:38" ht="15" customHeight="1" x14ac:dyDescent="0.2">
      <c r="A499" s="1" t="s">
        <v>19</v>
      </c>
      <c r="B499" s="5" t="s">
        <v>18</v>
      </c>
      <c r="C499" s="1" t="s">
        <v>37</v>
      </c>
      <c r="D499" s="1" t="s">
        <v>211</v>
      </c>
      <c r="E499" s="1" t="s">
        <v>35</v>
      </c>
      <c r="F499" s="1" t="s">
        <v>260</v>
      </c>
      <c r="G499" s="1" t="s">
        <v>259</v>
      </c>
      <c r="H499" s="1" t="s">
        <v>130</v>
      </c>
      <c r="I499" s="1" t="s">
        <v>3205</v>
      </c>
      <c r="J499" s="1" t="s">
        <v>316</v>
      </c>
      <c r="K499" s="1" t="s">
        <v>3204</v>
      </c>
      <c r="L499" s="1" t="s">
        <v>3203</v>
      </c>
      <c r="P499" s="1" t="s">
        <v>3202</v>
      </c>
      <c r="Q499" s="1" t="s">
        <v>27</v>
      </c>
      <c r="R499" s="1" t="s">
        <v>26</v>
      </c>
      <c r="S499" s="1" t="s">
        <v>2463</v>
      </c>
      <c r="T499" s="1" t="s">
        <v>2462</v>
      </c>
      <c r="U499" s="1">
        <v>1</v>
      </c>
      <c r="V499" s="1" t="s">
        <v>2439</v>
      </c>
      <c r="W499" s="1" t="s">
        <v>3201</v>
      </c>
      <c r="X499" s="1" t="s">
        <v>667</v>
      </c>
      <c r="Y499" s="3">
        <v>43825</v>
      </c>
      <c r="Z499" s="1">
        <v>2019</v>
      </c>
      <c r="AA499" s="2">
        <v>72558.42</v>
      </c>
      <c r="AB499" s="2"/>
      <c r="AC499" s="2">
        <v>21767.53</v>
      </c>
      <c r="AD499" s="1">
        <v>1</v>
      </c>
      <c r="AG499" s="1" t="s">
        <v>21</v>
      </c>
      <c r="AI499" s="2">
        <v>21767.53</v>
      </c>
      <c r="AK499" s="1"/>
    </row>
    <row r="500" spans="1:38" ht="15" customHeight="1" x14ac:dyDescent="0.2">
      <c r="A500" s="1" t="s">
        <v>19</v>
      </c>
      <c r="B500" s="5" t="s">
        <v>109</v>
      </c>
      <c r="C500" s="1" t="s">
        <v>37</v>
      </c>
      <c r="D500" s="1" t="s">
        <v>211</v>
      </c>
      <c r="E500" s="1" t="s">
        <v>35</v>
      </c>
      <c r="F500" s="1" t="s">
        <v>260</v>
      </c>
      <c r="G500" s="1" t="s">
        <v>259</v>
      </c>
      <c r="H500" s="1" t="s">
        <v>130</v>
      </c>
      <c r="I500" s="1" t="s">
        <v>3200</v>
      </c>
      <c r="J500" s="1" t="s">
        <v>316</v>
      </c>
      <c r="K500" s="1" t="s">
        <v>3198</v>
      </c>
      <c r="P500" s="1" t="s">
        <v>3199</v>
      </c>
      <c r="Q500" s="1" t="s">
        <v>27</v>
      </c>
      <c r="R500" s="1" t="s">
        <v>26</v>
      </c>
      <c r="S500" s="1" t="s">
        <v>2624</v>
      </c>
      <c r="T500" s="1" t="s">
        <v>2623</v>
      </c>
      <c r="U500" s="1">
        <v>2</v>
      </c>
      <c r="V500" s="1" t="s">
        <v>2439</v>
      </c>
      <c r="W500" s="1" t="s">
        <v>3198</v>
      </c>
      <c r="X500" s="1" t="s">
        <v>529</v>
      </c>
      <c r="Y500" s="3">
        <v>44802</v>
      </c>
      <c r="Z500" s="1">
        <v>2022</v>
      </c>
      <c r="AA500" s="2">
        <v>30000</v>
      </c>
      <c r="AB500" s="2"/>
      <c r="AC500" s="2">
        <v>4500</v>
      </c>
      <c r="AD500" s="1">
        <v>1</v>
      </c>
      <c r="AG500" s="1" t="s">
        <v>106</v>
      </c>
      <c r="AH500" s="1" t="s">
        <v>310</v>
      </c>
      <c r="AI500" s="2">
        <v>0</v>
      </c>
      <c r="AK500" s="1"/>
    </row>
    <row r="501" spans="1:38" ht="15" customHeight="1" x14ac:dyDescent="0.2">
      <c r="A501" s="1" t="s">
        <v>19</v>
      </c>
      <c r="B501" s="5" t="s">
        <v>18</v>
      </c>
      <c r="C501" s="1" t="s">
        <v>37</v>
      </c>
      <c r="D501" s="1" t="s">
        <v>211</v>
      </c>
      <c r="E501" s="1" t="s">
        <v>35</v>
      </c>
      <c r="F501" s="1" t="s">
        <v>260</v>
      </c>
      <c r="G501" s="1" t="s">
        <v>259</v>
      </c>
      <c r="H501" s="1" t="s">
        <v>130</v>
      </c>
      <c r="I501" s="1" t="s">
        <v>3197</v>
      </c>
      <c r="J501" s="1" t="s">
        <v>316</v>
      </c>
      <c r="K501" s="1" t="s">
        <v>3196</v>
      </c>
      <c r="L501" s="1" t="s">
        <v>3195</v>
      </c>
      <c r="P501" s="1" t="s">
        <v>3194</v>
      </c>
      <c r="Q501" s="1" t="s">
        <v>27</v>
      </c>
      <c r="R501" s="1" t="s">
        <v>26</v>
      </c>
      <c r="S501" s="1" t="s">
        <v>2624</v>
      </c>
      <c r="T501" s="1" t="s">
        <v>2623</v>
      </c>
      <c r="U501" s="1">
        <v>2</v>
      </c>
      <c r="V501" s="1" t="s">
        <v>2439</v>
      </c>
      <c r="W501" s="1" t="s">
        <v>3193</v>
      </c>
      <c r="X501" s="1" t="s">
        <v>667</v>
      </c>
      <c r="Y501" s="3">
        <v>43825</v>
      </c>
      <c r="Z501" s="1">
        <v>2019</v>
      </c>
      <c r="AA501" s="2">
        <v>74455</v>
      </c>
      <c r="AB501" s="2"/>
      <c r="AC501" s="2">
        <v>11168.25</v>
      </c>
      <c r="AD501" s="1">
        <v>1</v>
      </c>
      <c r="AG501" s="1" t="s">
        <v>21</v>
      </c>
      <c r="AI501" s="2">
        <v>11168.25</v>
      </c>
      <c r="AK501" s="1"/>
    </row>
    <row r="502" spans="1:38" ht="15" customHeight="1" x14ac:dyDescent="0.2">
      <c r="A502" s="1" t="s">
        <v>19</v>
      </c>
      <c r="B502" s="5" t="s">
        <v>18</v>
      </c>
      <c r="C502" s="1" t="s">
        <v>37</v>
      </c>
      <c r="D502" s="1" t="s">
        <v>211</v>
      </c>
      <c r="E502" s="1" t="s">
        <v>35</v>
      </c>
      <c r="F502" s="1" t="s">
        <v>260</v>
      </c>
      <c r="G502" s="1" t="s">
        <v>259</v>
      </c>
      <c r="H502" s="1" t="s">
        <v>130</v>
      </c>
      <c r="I502" s="1" t="s">
        <v>3192</v>
      </c>
      <c r="J502" s="1" t="s">
        <v>316</v>
      </c>
      <c r="K502" s="1" t="s">
        <v>3191</v>
      </c>
      <c r="L502" s="1" t="s">
        <v>3190</v>
      </c>
      <c r="M502" s="1" t="s">
        <v>3189</v>
      </c>
      <c r="P502" s="1" t="s">
        <v>3188</v>
      </c>
      <c r="Q502" s="1" t="s">
        <v>27</v>
      </c>
      <c r="R502" s="1" t="s">
        <v>26</v>
      </c>
      <c r="S502" s="1" t="s">
        <v>2666</v>
      </c>
      <c r="T502" s="1" t="s">
        <v>2665</v>
      </c>
      <c r="U502" s="1">
        <v>2</v>
      </c>
      <c r="V502" s="1" t="s">
        <v>2439</v>
      </c>
      <c r="W502" s="1" t="s">
        <v>3187</v>
      </c>
      <c r="X502" s="1" t="s">
        <v>52</v>
      </c>
      <c r="Y502" s="3">
        <v>43825</v>
      </c>
      <c r="Z502" s="1">
        <v>2019</v>
      </c>
      <c r="AA502" s="2">
        <v>96821.53</v>
      </c>
      <c r="AB502" s="2"/>
      <c r="AC502" s="2">
        <v>14523.23</v>
      </c>
      <c r="AD502" s="1">
        <v>0</v>
      </c>
      <c r="AG502" s="1" t="s">
        <v>21</v>
      </c>
      <c r="AI502" s="2">
        <v>14523.23</v>
      </c>
      <c r="AK502" s="1"/>
    </row>
    <row r="503" spans="1:38" ht="15" customHeight="1" x14ac:dyDescent="0.2">
      <c r="A503" s="1" t="s">
        <v>19</v>
      </c>
      <c r="B503" s="5" t="s">
        <v>18</v>
      </c>
      <c r="C503" s="1" t="s">
        <v>37</v>
      </c>
      <c r="D503" s="1" t="s">
        <v>211</v>
      </c>
      <c r="E503" s="1" t="s">
        <v>35</v>
      </c>
      <c r="F503" s="1" t="s">
        <v>260</v>
      </c>
      <c r="G503" s="1" t="s">
        <v>259</v>
      </c>
      <c r="H503" s="1" t="s">
        <v>130</v>
      </c>
      <c r="I503" s="1" t="s">
        <v>3186</v>
      </c>
      <c r="J503" s="1" t="s">
        <v>316</v>
      </c>
      <c r="K503" s="1" t="s">
        <v>3185</v>
      </c>
      <c r="L503" s="1" t="s">
        <v>3184</v>
      </c>
      <c r="M503" s="1" t="s">
        <v>3183</v>
      </c>
      <c r="P503" s="1" t="s">
        <v>3182</v>
      </c>
      <c r="Q503" s="1" t="s">
        <v>27</v>
      </c>
      <c r="R503" s="1" t="s">
        <v>26</v>
      </c>
      <c r="S503" s="1" t="s">
        <v>2624</v>
      </c>
      <c r="T503" s="1" t="s">
        <v>2623</v>
      </c>
      <c r="U503" s="1">
        <v>2</v>
      </c>
      <c r="V503" s="1" t="s">
        <v>2439</v>
      </c>
      <c r="W503" s="1" t="s">
        <v>3181</v>
      </c>
      <c r="X503" s="1" t="s">
        <v>52</v>
      </c>
      <c r="Y503" s="3">
        <v>43825</v>
      </c>
      <c r="Z503" s="1">
        <v>2019</v>
      </c>
      <c r="AA503" s="2">
        <v>324230.53999999998</v>
      </c>
      <c r="AB503" s="2"/>
      <c r="AC503" s="2">
        <v>62634.58</v>
      </c>
      <c r="AD503" s="1">
        <v>2</v>
      </c>
      <c r="AG503" s="1" t="s">
        <v>21</v>
      </c>
      <c r="AI503" s="2">
        <v>62634.58</v>
      </c>
      <c r="AK503" s="1"/>
      <c r="AL503" s="1" t="s">
        <v>3097</v>
      </c>
    </row>
    <row r="504" spans="1:38" ht="15" customHeight="1" x14ac:dyDescent="0.2">
      <c r="A504" s="1" t="s">
        <v>19</v>
      </c>
      <c r="B504" s="5" t="s">
        <v>109</v>
      </c>
      <c r="C504" s="1" t="s">
        <v>37</v>
      </c>
      <c r="D504" s="1" t="s">
        <v>211</v>
      </c>
      <c r="E504" s="1" t="s">
        <v>35</v>
      </c>
      <c r="F504" s="1" t="s">
        <v>260</v>
      </c>
      <c r="G504" s="1" t="s">
        <v>259</v>
      </c>
      <c r="H504" s="1" t="s">
        <v>130</v>
      </c>
      <c r="I504" s="1" t="s">
        <v>3180</v>
      </c>
      <c r="J504" s="1" t="s">
        <v>316</v>
      </c>
      <c r="K504" s="1" t="s">
        <v>3179</v>
      </c>
      <c r="P504" s="1" t="s">
        <v>3178</v>
      </c>
      <c r="Q504" s="1" t="s">
        <v>27</v>
      </c>
      <c r="R504" s="1" t="s">
        <v>26</v>
      </c>
      <c r="S504" s="1" t="s">
        <v>2624</v>
      </c>
      <c r="T504" s="1" t="s">
        <v>2623</v>
      </c>
      <c r="U504" s="1">
        <v>2</v>
      </c>
      <c r="V504" s="1" t="s">
        <v>2439</v>
      </c>
      <c r="W504" s="1" t="s">
        <v>3177</v>
      </c>
      <c r="X504" s="1" t="s">
        <v>52</v>
      </c>
      <c r="Y504" s="3">
        <v>44991</v>
      </c>
      <c r="Z504" s="1">
        <v>2023</v>
      </c>
      <c r="AA504" s="2">
        <v>213935</v>
      </c>
      <c r="AB504" s="2"/>
      <c r="AC504" s="2">
        <v>60090.25</v>
      </c>
      <c r="AD504" s="1">
        <v>4</v>
      </c>
      <c r="AE504" s="1">
        <v>1</v>
      </c>
      <c r="AG504" s="1" t="s">
        <v>106</v>
      </c>
      <c r="AH504" s="1" t="s">
        <v>310</v>
      </c>
      <c r="AI504" s="2">
        <v>0</v>
      </c>
      <c r="AK504" s="1"/>
      <c r="AL504" s="1" t="s">
        <v>3176</v>
      </c>
    </row>
    <row r="505" spans="1:38" ht="15" customHeight="1" x14ac:dyDescent="0.2">
      <c r="A505" s="1" t="s">
        <v>19</v>
      </c>
      <c r="B505" s="5" t="s">
        <v>109</v>
      </c>
      <c r="C505" s="1" t="s">
        <v>37</v>
      </c>
      <c r="D505" s="1" t="s">
        <v>211</v>
      </c>
      <c r="E505" s="1" t="s">
        <v>35</v>
      </c>
      <c r="F505" s="1" t="s">
        <v>260</v>
      </c>
      <c r="G505" s="1" t="s">
        <v>259</v>
      </c>
      <c r="H505" s="1" t="s">
        <v>130</v>
      </c>
      <c r="I505" s="1" t="s">
        <v>3175</v>
      </c>
      <c r="J505" s="1" t="s">
        <v>316</v>
      </c>
      <c r="K505" s="1" t="s">
        <v>3174</v>
      </c>
      <c r="P505" s="1" t="s">
        <v>3173</v>
      </c>
      <c r="Q505" s="1" t="s">
        <v>27</v>
      </c>
      <c r="R505" s="1" t="s">
        <v>26</v>
      </c>
      <c r="S505" s="1" t="s">
        <v>2624</v>
      </c>
      <c r="T505" s="1" t="s">
        <v>2623</v>
      </c>
      <c r="U505" s="1">
        <v>2</v>
      </c>
      <c r="V505" s="1" t="s">
        <v>2439</v>
      </c>
      <c r="W505" s="1" t="s">
        <v>3172</v>
      </c>
      <c r="X505" s="1" t="s">
        <v>319</v>
      </c>
      <c r="Y505" s="3">
        <v>44795</v>
      </c>
      <c r="Z505" s="1">
        <v>2022</v>
      </c>
      <c r="AA505" s="2">
        <v>107000</v>
      </c>
      <c r="AB505" s="2"/>
      <c r="AC505" s="2">
        <v>16050</v>
      </c>
      <c r="AD505" s="1">
        <v>0</v>
      </c>
      <c r="AG505" s="1" t="s">
        <v>106</v>
      </c>
      <c r="AH505" s="1" t="s">
        <v>1250</v>
      </c>
      <c r="AI505" s="2">
        <v>0</v>
      </c>
      <c r="AK505" s="1"/>
    </row>
    <row r="506" spans="1:38" ht="15" customHeight="1" x14ac:dyDescent="0.2">
      <c r="A506" s="1" t="s">
        <v>19</v>
      </c>
      <c r="B506" s="5" t="s">
        <v>18</v>
      </c>
      <c r="C506" s="1" t="s">
        <v>37</v>
      </c>
      <c r="D506" s="1" t="s">
        <v>211</v>
      </c>
      <c r="E506" s="1" t="s">
        <v>35</v>
      </c>
      <c r="F506" s="1" t="s">
        <v>260</v>
      </c>
      <c r="G506" s="1" t="s">
        <v>259</v>
      </c>
      <c r="H506" s="1" t="s">
        <v>130</v>
      </c>
      <c r="I506" s="1" t="s">
        <v>3171</v>
      </c>
      <c r="J506" s="1" t="s">
        <v>316</v>
      </c>
      <c r="K506" s="1" t="s">
        <v>3170</v>
      </c>
      <c r="L506" s="1" t="s">
        <v>3169</v>
      </c>
      <c r="N506" s="1" t="s">
        <v>3168</v>
      </c>
      <c r="P506" s="1" t="s">
        <v>3167</v>
      </c>
      <c r="Q506" s="1" t="s">
        <v>27</v>
      </c>
      <c r="R506" s="1" t="s">
        <v>26</v>
      </c>
      <c r="S506" s="1" t="s">
        <v>2624</v>
      </c>
      <c r="T506" s="1" t="s">
        <v>2623</v>
      </c>
      <c r="U506" s="1">
        <v>2</v>
      </c>
      <c r="V506" s="1" t="s">
        <v>2439</v>
      </c>
      <c r="W506" s="1" t="s">
        <v>3166</v>
      </c>
      <c r="X506" s="1" t="s">
        <v>304</v>
      </c>
      <c r="Y506" s="3">
        <v>43825</v>
      </c>
      <c r="Z506" s="1">
        <v>2019</v>
      </c>
      <c r="AA506" s="2">
        <v>122959.33</v>
      </c>
      <c r="AB506" s="2"/>
      <c r="AC506" s="2">
        <v>18443.900000000001</v>
      </c>
      <c r="AD506" s="1">
        <v>0</v>
      </c>
      <c r="AG506" s="1" t="s">
        <v>21</v>
      </c>
      <c r="AI506" s="2">
        <v>18443.900000000001</v>
      </c>
      <c r="AK506" s="1"/>
    </row>
    <row r="507" spans="1:38" ht="15" customHeight="1" x14ac:dyDescent="0.2">
      <c r="A507" s="1" t="s">
        <v>19</v>
      </c>
      <c r="B507" s="5" t="s">
        <v>18</v>
      </c>
      <c r="C507" s="1" t="s">
        <v>37</v>
      </c>
      <c r="D507" s="1" t="s">
        <v>211</v>
      </c>
      <c r="E507" s="1" t="s">
        <v>35</v>
      </c>
      <c r="F507" s="1" t="s">
        <v>260</v>
      </c>
      <c r="G507" s="1" t="s">
        <v>259</v>
      </c>
      <c r="H507" s="1" t="s">
        <v>130</v>
      </c>
      <c r="I507" s="1" t="s">
        <v>3165</v>
      </c>
      <c r="J507" s="1" t="s">
        <v>316</v>
      </c>
      <c r="K507" s="1" t="s">
        <v>3164</v>
      </c>
      <c r="L507" s="1" t="s">
        <v>3163</v>
      </c>
      <c r="M507" s="1" t="s">
        <v>3162</v>
      </c>
      <c r="P507" s="1" t="s">
        <v>3161</v>
      </c>
      <c r="Q507" s="1" t="s">
        <v>27</v>
      </c>
      <c r="R507" s="1" t="s">
        <v>26</v>
      </c>
      <c r="S507" s="1" t="s">
        <v>2677</v>
      </c>
      <c r="T507" s="1" t="s">
        <v>2676</v>
      </c>
      <c r="U507" s="1">
        <v>2</v>
      </c>
      <c r="V507" s="1" t="s">
        <v>2439</v>
      </c>
      <c r="W507" s="1" t="s">
        <v>3160</v>
      </c>
      <c r="X507" s="1" t="s">
        <v>52</v>
      </c>
      <c r="Y507" s="3">
        <v>44127</v>
      </c>
      <c r="Z507" s="1">
        <v>2020</v>
      </c>
      <c r="AA507" s="2">
        <v>147122.23999999999</v>
      </c>
      <c r="AB507" s="2"/>
      <c r="AC507" s="2">
        <v>22068.34</v>
      </c>
      <c r="AD507" s="1">
        <v>0</v>
      </c>
      <c r="AG507" s="1" t="s">
        <v>21</v>
      </c>
      <c r="AI507" s="2">
        <v>22068.34</v>
      </c>
      <c r="AK507" s="1" t="s">
        <v>1335</v>
      </c>
    </row>
    <row r="508" spans="1:38" ht="15" customHeight="1" x14ac:dyDescent="0.2">
      <c r="A508" s="1" t="s">
        <v>19</v>
      </c>
      <c r="B508" s="5" t="s">
        <v>18</v>
      </c>
      <c r="C508" s="1" t="s">
        <v>37</v>
      </c>
      <c r="D508" s="1" t="s">
        <v>211</v>
      </c>
      <c r="E508" s="1" t="s">
        <v>35</v>
      </c>
      <c r="F508" s="1" t="s">
        <v>260</v>
      </c>
      <c r="G508" s="1" t="s">
        <v>259</v>
      </c>
      <c r="H508" s="1" t="s">
        <v>130</v>
      </c>
      <c r="I508" s="1" t="s">
        <v>3159</v>
      </c>
      <c r="J508" s="1" t="s">
        <v>316</v>
      </c>
      <c r="K508" s="1" t="s">
        <v>3158</v>
      </c>
      <c r="L508" s="1" t="s">
        <v>3157</v>
      </c>
      <c r="M508" s="1" t="s">
        <v>2832</v>
      </c>
      <c r="P508" s="1" t="s">
        <v>3032</v>
      </c>
      <c r="Q508" s="1" t="s">
        <v>27</v>
      </c>
      <c r="R508" s="1" t="s">
        <v>26</v>
      </c>
      <c r="S508" s="1" t="s">
        <v>2624</v>
      </c>
      <c r="T508" s="1" t="s">
        <v>2623</v>
      </c>
      <c r="U508" s="1">
        <v>2</v>
      </c>
      <c r="V508" s="1" t="s">
        <v>2439</v>
      </c>
      <c r="W508" s="1" t="s">
        <v>3156</v>
      </c>
      <c r="X508" s="1" t="s">
        <v>667</v>
      </c>
      <c r="Y508" s="3">
        <v>43825</v>
      </c>
      <c r="Z508" s="1">
        <v>2019</v>
      </c>
      <c r="AA508" s="2">
        <v>50044.51</v>
      </c>
      <c r="AB508" s="2"/>
      <c r="AC508" s="2">
        <v>14506.68</v>
      </c>
      <c r="AD508" s="1">
        <v>1</v>
      </c>
      <c r="AE508" s="1">
        <v>1</v>
      </c>
      <c r="AG508" s="1" t="s">
        <v>21</v>
      </c>
      <c r="AI508" s="2">
        <v>14506.68</v>
      </c>
      <c r="AK508" s="1"/>
    </row>
    <row r="509" spans="1:38" ht="15" customHeight="1" x14ac:dyDescent="0.2">
      <c r="A509" s="1" t="s">
        <v>19</v>
      </c>
      <c r="B509" s="5" t="s">
        <v>18</v>
      </c>
      <c r="C509" s="1" t="s">
        <v>37</v>
      </c>
      <c r="D509" s="1" t="s">
        <v>211</v>
      </c>
      <c r="E509" s="1" t="s">
        <v>35</v>
      </c>
      <c r="F509" s="1" t="s">
        <v>260</v>
      </c>
      <c r="G509" s="1" t="s">
        <v>259</v>
      </c>
      <c r="H509" s="1" t="s">
        <v>130</v>
      </c>
      <c r="I509" s="1" t="s">
        <v>3155</v>
      </c>
      <c r="J509" s="1" t="s">
        <v>316</v>
      </c>
      <c r="K509" s="1" t="s">
        <v>3154</v>
      </c>
      <c r="L509" s="1" t="s">
        <v>3153</v>
      </c>
      <c r="P509" s="1" t="s">
        <v>3152</v>
      </c>
      <c r="Q509" s="1" t="s">
        <v>27</v>
      </c>
      <c r="R509" s="1" t="s">
        <v>26</v>
      </c>
      <c r="S509" s="1" t="s">
        <v>2624</v>
      </c>
      <c r="T509" s="1" t="s">
        <v>2623</v>
      </c>
      <c r="U509" s="1">
        <v>2</v>
      </c>
      <c r="V509" s="1" t="s">
        <v>2439</v>
      </c>
      <c r="W509" s="1" t="s">
        <v>3151</v>
      </c>
      <c r="X509" s="1" t="s">
        <v>304</v>
      </c>
      <c r="Y509" s="3">
        <v>43825</v>
      </c>
      <c r="Z509" s="1">
        <v>2019</v>
      </c>
      <c r="AA509" s="2">
        <v>290393.37</v>
      </c>
      <c r="AB509" s="2"/>
      <c r="AC509" s="2">
        <v>39000</v>
      </c>
      <c r="AD509" s="1">
        <v>1</v>
      </c>
      <c r="AG509" s="1" t="s">
        <v>21</v>
      </c>
      <c r="AI509" s="2">
        <v>39000</v>
      </c>
      <c r="AK509" s="1"/>
    </row>
    <row r="510" spans="1:38" ht="15" customHeight="1" x14ac:dyDescent="0.2">
      <c r="A510" s="1" t="s">
        <v>19</v>
      </c>
      <c r="B510" s="5" t="s">
        <v>18</v>
      </c>
      <c r="C510" s="1" t="s">
        <v>37</v>
      </c>
      <c r="D510" s="1" t="s">
        <v>211</v>
      </c>
      <c r="E510" s="1" t="s">
        <v>35</v>
      </c>
      <c r="F510" s="1" t="s">
        <v>260</v>
      </c>
      <c r="G510" s="1" t="s">
        <v>259</v>
      </c>
      <c r="H510" s="1" t="s">
        <v>130</v>
      </c>
      <c r="I510" s="1" t="s">
        <v>3150</v>
      </c>
      <c r="J510" s="1" t="s">
        <v>316</v>
      </c>
      <c r="K510" s="1" t="s">
        <v>3149</v>
      </c>
      <c r="L510" s="1" t="s">
        <v>3148</v>
      </c>
      <c r="P510" s="1" t="s">
        <v>3147</v>
      </c>
      <c r="Q510" s="1" t="s">
        <v>27</v>
      </c>
      <c r="R510" s="1" t="s">
        <v>26</v>
      </c>
      <c r="S510" s="1" t="s">
        <v>2624</v>
      </c>
      <c r="T510" s="1" t="s">
        <v>2623</v>
      </c>
      <c r="U510" s="1">
        <v>2</v>
      </c>
      <c r="V510" s="1" t="s">
        <v>2439</v>
      </c>
      <c r="W510" s="1" t="s">
        <v>3146</v>
      </c>
      <c r="X510" s="1" t="s">
        <v>319</v>
      </c>
      <c r="Y510" s="3">
        <v>43825</v>
      </c>
      <c r="Z510" s="1">
        <v>2019</v>
      </c>
      <c r="AA510" s="2">
        <v>193838.7</v>
      </c>
      <c r="AB510" s="2"/>
      <c r="AC510" s="2">
        <v>50075.81</v>
      </c>
      <c r="AD510" s="1">
        <v>3</v>
      </c>
      <c r="AG510" s="1" t="s">
        <v>21</v>
      </c>
      <c r="AI510" s="2">
        <v>50075.81</v>
      </c>
      <c r="AK510" s="1"/>
      <c r="AL510" s="1" t="s">
        <v>3145</v>
      </c>
    </row>
    <row r="511" spans="1:38" ht="15" customHeight="1" x14ac:dyDescent="0.2">
      <c r="A511" s="1" t="s">
        <v>19</v>
      </c>
      <c r="B511" s="5" t="s">
        <v>18</v>
      </c>
      <c r="C511" s="1" t="s">
        <v>37</v>
      </c>
      <c r="D511" s="1" t="s">
        <v>211</v>
      </c>
      <c r="E511" s="1" t="s">
        <v>35</v>
      </c>
      <c r="F511" s="1" t="s">
        <v>260</v>
      </c>
      <c r="G511" s="1" t="s">
        <v>259</v>
      </c>
      <c r="H511" s="1" t="s">
        <v>130</v>
      </c>
      <c r="I511" s="1" t="s">
        <v>3144</v>
      </c>
      <c r="J511" s="1" t="s">
        <v>316</v>
      </c>
      <c r="K511" s="1" t="s">
        <v>3143</v>
      </c>
      <c r="L511" s="1" t="s">
        <v>3142</v>
      </c>
      <c r="P511" s="1" t="s">
        <v>3141</v>
      </c>
      <c r="Q511" s="1" t="s">
        <v>27</v>
      </c>
      <c r="R511" s="1" t="s">
        <v>26</v>
      </c>
      <c r="S511" s="1" t="s">
        <v>2624</v>
      </c>
      <c r="T511" s="1" t="s">
        <v>2623</v>
      </c>
      <c r="U511" s="1">
        <v>2</v>
      </c>
      <c r="V511" s="1" t="s">
        <v>2439</v>
      </c>
      <c r="W511" s="1" t="s">
        <v>3140</v>
      </c>
      <c r="X511" s="1" t="s">
        <v>319</v>
      </c>
      <c r="Y511" s="3">
        <v>43825</v>
      </c>
      <c r="Z511" s="1">
        <v>2019</v>
      </c>
      <c r="AA511" s="2">
        <v>272191.99</v>
      </c>
      <c r="AB511" s="2"/>
      <c r="AC511" s="2">
        <v>40828.800000000003</v>
      </c>
      <c r="AD511" s="1">
        <v>0</v>
      </c>
      <c r="AG511" s="1" t="s">
        <v>21</v>
      </c>
      <c r="AI511" s="2">
        <v>40828.800000000003</v>
      </c>
      <c r="AK511" s="1"/>
    </row>
    <row r="512" spans="1:38" ht="15" customHeight="1" x14ac:dyDescent="0.2">
      <c r="A512" s="1" t="s">
        <v>19</v>
      </c>
      <c r="B512" s="5" t="s">
        <v>18</v>
      </c>
      <c r="C512" s="1" t="s">
        <v>37</v>
      </c>
      <c r="D512" s="1" t="s">
        <v>211</v>
      </c>
      <c r="E512" s="1" t="s">
        <v>35</v>
      </c>
      <c r="F512" s="1" t="s">
        <v>260</v>
      </c>
      <c r="G512" s="1" t="s">
        <v>259</v>
      </c>
      <c r="H512" s="1" t="s">
        <v>130</v>
      </c>
      <c r="I512" s="1" t="s">
        <v>3139</v>
      </c>
      <c r="J512" s="1" t="s">
        <v>316</v>
      </c>
      <c r="K512" s="1" t="s">
        <v>3138</v>
      </c>
      <c r="L512" s="1" t="s">
        <v>3137</v>
      </c>
      <c r="P512" s="1" t="s">
        <v>3136</v>
      </c>
      <c r="Q512" s="1" t="s">
        <v>27</v>
      </c>
      <c r="R512" s="1" t="s">
        <v>26</v>
      </c>
      <c r="S512" s="1" t="s">
        <v>2666</v>
      </c>
      <c r="T512" s="1" t="s">
        <v>2665</v>
      </c>
      <c r="U512" s="1">
        <v>2</v>
      </c>
      <c r="V512" s="1" t="s">
        <v>2439</v>
      </c>
      <c r="W512" s="1" t="s">
        <v>3135</v>
      </c>
      <c r="X512" s="1" t="s">
        <v>319</v>
      </c>
      <c r="Y512" s="3">
        <v>43825</v>
      </c>
      <c r="Z512" s="1">
        <v>2019</v>
      </c>
      <c r="AA512" s="2">
        <v>125370.49</v>
      </c>
      <c r="AB512" s="2"/>
      <c r="AC512" s="2">
        <v>12537.05</v>
      </c>
      <c r="AD512" s="1">
        <v>1</v>
      </c>
      <c r="AG512" s="1" t="s">
        <v>21</v>
      </c>
      <c r="AI512" s="2">
        <v>12537.05</v>
      </c>
      <c r="AK512" s="1"/>
      <c r="AL512" s="1" t="s">
        <v>1868</v>
      </c>
    </row>
    <row r="513" spans="1:38" ht="15" customHeight="1" x14ac:dyDescent="0.2">
      <c r="A513" s="1" t="s">
        <v>19</v>
      </c>
      <c r="B513" s="5" t="s">
        <v>18</v>
      </c>
      <c r="C513" s="1" t="s">
        <v>37</v>
      </c>
      <c r="D513" s="1" t="s">
        <v>211</v>
      </c>
      <c r="E513" s="1" t="s">
        <v>35</v>
      </c>
      <c r="F513" s="1" t="s">
        <v>260</v>
      </c>
      <c r="G513" s="1" t="s">
        <v>259</v>
      </c>
      <c r="H513" s="1" t="s">
        <v>130</v>
      </c>
      <c r="I513" s="1" t="s">
        <v>3134</v>
      </c>
      <c r="J513" s="1" t="s">
        <v>316</v>
      </c>
      <c r="K513" s="1" t="s">
        <v>3133</v>
      </c>
      <c r="L513" s="1" t="s">
        <v>3132</v>
      </c>
      <c r="P513" s="1" t="s">
        <v>3131</v>
      </c>
      <c r="Q513" s="1" t="s">
        <v>27</v>
      </c>
      <c r="R513" s="1" t="s">
        <v>26</v>
      </c>
      <c r="S513" s="1" t="s">
        <v>2456</v>
      </c>
      <c r="T513" s="1" t="s">
        <v>2455</v>
      </c>
      <c r="U513" s="1">
        <v>1</v>
      </c>
      <c r="V513" s="1" t="s">
        <v>2439</v>
      </c>
      <c r="W513" s="1" t="s">
        <v>3130</v>
      </c>
      <c r="X513" s="1" t="s">
        <v>319</v>
      </c>
      <c r="Y513" s="3">
        <v>43825</v>
      </c>
      <c r="Z513" s="1">
        <v>2019</v>
      </c>
      <c r="AA513" s="2">
        <v>136000</v>
      </c>
      <c r="AB513" s="2"/>
      <c r="AC513" s="2">
        <v>54800</v>
      </c>
      <c r="AD513" s="1">
        <v>2</v>
      </c>
      <c r="AG513" s="1" t="s">
        <v>21</v>
      </c>
      <c r="AI513" s="2">
        <v>34652.94</v>
      </c>
      <c r="AK513" s="1"/>
    </row>
    <row r="514" spans="1:38" ht="15" customHeight="1" x14ac:dyDescent="0.2">
      <c r="A514" s="1" t="s">
        <v>19</v>
      </c>
      <c r="B514" s="5" t="s">
        <v>18</v>
      </c>
      <c r="C514" s="1" t="s">
        <v>37</v>
      </c>
      <c r="D514" s="1" t="s">
        <v>211</v>
      </c>
      <c r="E514" s="1" t="s">
        <v>35</v>
      </c>
      <c r="F514" s="1" t="s">
        <v>260</v>
      </c>
      <c r="G514" s="1" t="s">
        <v>259</v>
      </c>
      <c r="H514" s="1" t="s">
        <v>130</v>
      </c>
      <c r="I514" s="1" t="s">
        <v>3129</v>
      </c>
      <c r="J514" s="1" t="s">
        <v>316</v>
      </c>
      <c r="K514" s="1" t="s">
        <v>3128</v>
      </c>
      <c r="L514" s="1" t="s">
        <v>3127</v>
      </c>
      <c r="P514" s="1" t="s">
        <v>3126</v>
      </c>
      <c r="Q514" s="1" t="s">
        <v>27</v>
      </c>
      <c r="R514" s="1" t="s">
        <v>26</v>
      </c>
      <c r="S514" s="1" t="s">
        <v>2624</v>
      </c>
      <c r="T514" s="1" t="s">
        <v>2623</v>
      </c>
      <c r="U514" s="1">
        <v>2</v>
      </c>
      <c r="V514" s="1" t="s">
        <v>2439</v>
      </c>
      <c r="W514" s="1" t="s">
        <v>3125</v>
      </c>
      <c r="X514" s="1" t="s">
        <v>327</v>
      </c>
      <c r="Y514" s="3">
        <v>43825</v>
      </c>
      <c r="Z514" s="1">
        <v>2019</v>
      </c>
      <c r="AA514" s="2">
        <v>492926</v>
      </c>
      <c r="AB514" s="2"/>
      <c r="AC514" s="2">
        <v>49292.6</v>
      </c>
      <c r="AD514" s="1">
        <v>0</v>
      </c>
      <c r="AG514" s="1" t="s">
        <v>21</v>
      </c>
      <c r="AI514" s="2">
        <v>49292.6</v>
      </c>
      <c r="AK514" s="1"/>
    </row>
    <row r="515" spans="1:38" ht="15" customHeight="1" x14ac:dyDescent="0.2">
      <c r="A515" s="1" t="s">
        <v>19</v>
      </c>
      <c r="B515" s="5" t="s">
        <v>18</v>
      </c>
      <c r="C515" s="1" t="s">
        <v>37</v>
      </c>
      <c r="D515" s="1" t="s">
        <v>211</v>
      </c>
      <c r="E515" s="1" t="s">
        <v>35</v>
      </c>
      <c r="F515" s="1" t="s">
        <v>260</v>
      </c>
      <c r="G515" s="1" t="s">
        <v>259</v>
      </c>
      <c r="H515" s="1" t="s">
        <v>130</v>
      </c>
      <c r="I515" s="1" t="s">
        <v>3124</v>
      </c>
      <c r="J515" s="1" t="s">
        <v>316</v>
      </c>
      <c r="K515" s="1" t="s">
        <v>3123</v>
      </c>
      <c r="L515" s="1" t="s">
        <v>3122</v>
      </c>
      <c r="M515" s="1" t="s">
        <v>3121</v>
      </c>
      <c r="P515" s="1" t="s">
        <v>3120</v>
      </c>
      <c r="Q515" s="1" t="s">
        <v>27</v>
      </c>
      <c r="R515" s="1" t="s">
        <v>26</v>
      </c>
      <c r="S515" s="1" t="s">
        <v>2624</v>
      </c>
      <c r="T515" s="1" t="s">
        <v>2623</v>
      </c>
      <c r="U515" s="1">
        <v>2</v>
      </c>
      <c r="V515" s="1" t="s">
        <v>2439</v>
      </c>
      <c r="W515" s="1" t="s">
        <v>3119</v>
      </c>
      <c r="X515" s="1" t="s">
        <v>327</v>
      </c>
      <c r="Y515" s="3">
        <v>43825</v>
      </c>
      <c r="Z515" s="1">
        <v>2019</v>
      </c>
      <c r="AA515" s="2">
        <v>364619.37</v>
      </c>
      <c r="AB515" s="2"/>
      <c r="AC515" s="2">
        <v>96692.91</v>
      </c>
      <c r="AD515" s="1">
        <v>6</v>
      </c>
      <c r="AE515" s="1">
        <v>3</v>
      </c>
      <c r="AG515" s="1" t="s">
        <v>21</v>
      </c>
      <c r="AI515" s="2">
        <v>96692.91</v>
      </c>
      <c r="AK515" s="1"/>
    </row>
    <row r="516" spans="1:38" ht="15" customHeight="1" x14ac:dyDescent="0.2">
      <c r="A516" s="1" t="s">
        <v>19</v>
      </c>
      <c r="B516" s="5" t="s">
        <v>18</v>
      </c>
      <c r="C516" s="1" t="s">
        <v>37</v>
      </c>
      <c r="D516" s="1" t="s">
        <v>211</v>
      </c>
      <c r="E516" s="1" t="s">
        <v>35</v>
      </c>
      <c r="F516" s="1" t="s">
        <v>260</v>
      </c>
      <c r="G516" s="1" t="s">
        <v>259</v>
      </c>
      <c r="H516" s="1" t="s">
        <v>130</v>
      </c>
      <c r="I516" s="1" t="s">
        <v>3118</v>
      </c>
      <c r="J516" s="1" t="s">
        <v>316</v>
      </c>
      <c r="K516" s="1" t="s">
        <v>3117</v>
      </c>
      <c r="L516" s="1" t="s">
        <v>3116</v>
      </c>
      <c r="P516" s="1" t="s">
        <v>3115</v>
      </c>
      <c r="Q516" s="1" t="s">
        <v>27</v>
      </c>
      <c r="R516" s="1" t="s">
        <v>26</v>
      </c>
      <c r="S516" s="1" t="s">
        <v>2677</v>
      </c>
      <c r="T516" s="1" t="s">
        <v>2676</v>
      </c>
      <c r="U516" s="1">
        <v>2</v>
      </c>
      <c r="V516" s="1" t="s">
        <v>2439</v>
      </c>
      <c r="W516" s="1" t="s">
        <v>3114</v>
      </c>
      <c r="X516" s="1" t="s">
        <v>430</v>
      </c>
      <c r="Y516" s="3">
        <v>44127</v>
      </c>
      <c r="Z516" s="1">
        <v>2020</v>
      </c>
      <c r="AA516" s="2">
        <v>60000</v>
      </c>
      <c r="AB516" s="2"/>
      <c r="AC516" s="2">
        <v>9000</v>
      </c>
      <c r="AD516" s="1">
        <v>0</v>
      </c>
      <c r="AG516" s="1" t="s">
        <v>21</v>
      </c>
      <c r="AI516" s="2">
        <v>8250</v>
      </c>
      <c r="AK516" s="1" t="s">
        <v>318</v>
      </c>
    </row>
    <row r="517" spans="1:38" ht="15" customHeight="1" x14ac:dyDescent="0.2">
      <c r="A517" s="1" t="s">
        <v>19</v>
      </c>
      <c r="B517" s="5" t="s">
        <v>18</v>
      </c>
      <c r="C517" s="1" t="s">
        <v>37</v>
      </c>
      <c r="D517" s="1" t="s">
        <v>211</v>
      </c>
      <c r="E517" s="1" t="s">
        <v>35</v>
      </c>
      <c r="F517" s="1" t="s">
        <v>260</v>
      </c>
      <c r="G517" s="1" t="s">
        <v>259</v>
      </c>
      <c r="H517" s="1" t="s">
        <v>130</v>
      </c>
      <c r="I517" s="1" t="s">
        <v>3113</v>
      </c>
      <c r="J517" s="1" t="s">
        <v>316</v>
      </c>
      <c r="K517" s="1" t="s">
        <v>3112</v>
      </c>
      <c r="L517" s="1" t="s">
        <v>3111</v>
      </c>
      <c r="M517" s="1" t="s">
        <v>3061</v>
      </c>
      <c r="P517" s="1" t="s">
        <v>2864</v>
      </c>
      <c r="Q517" s="1" t="s">
        <v>27</v>
      </c>
      <c r="R517" s="1" t="s">
        <v>26</v>
      </c>
      <c r="S517" s="1" t="s">
        <v>2666</v>
      </c>
      <c r="T517" s="1" t="s">
        <v>2665</v>
      </c>
      <c r="U517" s="1">
        <v>2</v>
      </c>
      <c r="V517" s="1" t="s">
        <v>2439</v>
      </c>
      <c r="W517" s="1" t="s">
        <v>3110</v>
      </c>
      <c r="X517" s="1" t="s">
        <v>319</v>
      </c>
      <c r="Y517" s="3">
        <v>43825</v>
      </c>
      <c r="Z517" s="1">
        <v>2019</v>
      </c>
      <c r="AA517" s="2">
        <v>168588.5</v>
      </c>
      <c r="AB517" s="2"/>
      <c r="AC517" s="2">
        <v>25288.28</v>
      </c>
      <c r="AD517" s="1">
        <v>0</v>
      </c>
      <c r="AG517" s="1" t="s">
        <v>21</v>
      </c>
      <c r="AI517" s="2">
        <v>25288.28</v>
      </c>
      <c r="AK517" s="1"/>
    </row>
    <row r="518" spans="1:38" ht="15" customHeight="1" x14ac:dyDescent="0.2">
      <c r="A518" s="1" t="s">
        <v>19</v>
      </c>
      <c r="B518" s="5" t="s">
        <v>109</v>
      </c>
      <c r="C518" s="1" t="s">
        <v>37</v>
      </c>
      <c r="D518" s="1" t="s">
        <v>211</v>
      </c>
      <c r="E518" s="1" t="s">
        <v>35</v>
      </c>
      <c r="F518" s="1" t="s">
        <v>260</v>
      </c>
      <c r="G518" s="1" t="s">
        <v>259</v>
      </c>
      <c r="H518" s="1" t="s">
        <v>130</v>
      </c>
      <c r="I518" s="1" t="s">
        <v>3109</v>
      </c>
      <c r="J518" s="1" t="s">
        <v>316</v>
      </c>
      <c r="K518" s="1" t="s">
        <v>3107</v>
      </c>
      <c r="P518" s="1" t="s">
        <v>3108</v>
      </c>
      <c r="Q518" s="1" t="s">
        <v>27</v>
      </c>
      <c r="R518" s="1" t="s">
        <v>26</v>
      </c>
      <c r="S518" s="1" t="s">
        <v>2624</v>
      </c>
      <c r="T518" s="1" t="s">
        <v>2623</v>
      </c>
      <c r="U518" s="1">
        <v>2</v>
      </c>
      <c r="V518" s="1" t="s">
        <v>2439</v>
      </c>
      <c r="W518" s="1" t="s">
        <v>3107</v>
      </c>
      <c r="X518" s="1" t="s">
        <v>667</v>
      </c>
      <c r="Y518" s="3">
        <v>44403</v>
      </c>
      <c r="Z518" s="1">
        <v>2021</v>
      </c>
      <c r="AA518" s="2">
        <v>40368.43</v>
      </c>
      <c r="AB518" s="2"/>
      <c r="AC518" s="2">
        <v>20184.22</v>
      </c>
      <c r="AD518" s="1">
        <v>4.13</v>
      </c>
      <c r="AE518" s="1">
        <v>2</v>
      </c>
      <c r="AG518" s="1" t="s">
        <v>106</v>
      </c>
      <c r="AH518" s="1" t="s">
        <v>1018</v>
      </c>
      <c r="AI518" s="2">
        <v>0</v>
      </c>
      <c r="AK518" s="1"/>
      <c r="AL518" s="7" t="s">
        <v>3106</v>
      </c>
    </row>
    <row r="519" spans="1:38" ht="15" customHeight="1" x14ac:dyDescent="0.2">
      <c r="A519" s="1" t="s">
        <v>19</v>
      </c>
      <c r="B519" s="5" t="s">
        <v>18</v>
      </c>
      <c r="C519" s="1" t="s">
        <v>37</v>
      </c>
      <c r="D519" s="1" t="s">
        <v>211</v>
      </c>
      <c r="E519" s="1" t="s">
        <v>35</v>
      </c>
      <c r="F519" s="1" t="s">
        <v>260</v>
      </c>
      <c r="G519" s="1" t="s">
        <v>259</v>
      </c>
      <c r="H519" s="1" t="s">
        <v>130</v>
      </c>
      <c r="I519" s="1" t="s">
        <v>3105</v>
      </c>
      <c r="J519" s="1" t="s">
        <v>316</v>
      </c>
      <c r="K519" s="1" t="s">
        <v>3101</v>
      </c>
      <c r="L519" s="1" t="s">
        <v>3104</v>
      </c>
      <c r="M519" s="1" t="s">
        <v>3103</v>
      </c>
      <c r="P519" s="1" t="s">
        <v>3102</v>
      </c>
      <c r="Q519" s="1" t="s">
        <v>27</v>
      </c>
      <c r="R519" s="1" t="s">
        <v>26</v>
      </c>
      <c r="S519" s="1" t="s">
        <v>2649</v>
      </c>
      <c r="T519" s="1" t="s">
        <v>2648</v>
      </c>
      <c r="U519" s="1">
        <v>2</v>
      </c>
      <c r="V519" s="1" t="s">
        <v>2439</v>
      </c>
      <c r="W519" s="1" t="s">
        <v>3101</v>
      </c>
      <c r="X519" s="1" t="s">
        <v>529</v>
      </c>
      <c r="Y519" s="3">
        <v>43825</v>
      </c>
      <c r="Z519" s="1">
        <v>2019</v>
      </c>
      <c r="AA519" s="2">
        <v>43800</v>
      </c>
      <c r="AB519" s="2"/>
      <c r="AC519" s="2">
        <v>13570</v>
      </c>
      <c r="AD519" s="1">
        <v>1</v>
      </c>
      <c r="AE519" s="1">
        <v>1</v>
      </c>
      <c r="AG519" s="1" t="s">
        <v>21</v>
      </c>
      <c r="AI519" s="2">
        <v>13570</v>
      </c>
      <c r="AK519" s="1"/>
    </row>
    <row r="520" spans="1:38" ht="15" customHeight="1" x14ac:dyDescent="0.2">
      <c r="A520" s="1" t="s">
        <v>19</v>
      </c>
      <c r="B520" s="5" t="s">
        <v>109</v>
      </c>
      <c r="C520" s="1" t="s">
        <v>37</v>
      </c>
      <c r="D520" s="1" t="s">
        <v>211</v>
      </c>
      <c r="E520" s="1" t="s">
        <v>35</v>
      </c>
      <c r="F520" s="1" t="s">
        <v>260</v>
      </c>
      <c r="G520" s="1" t="s">
        <v>259</v>
      </c>
      <c r="H520" s="1" t="s">
        <v>130</v>
      </c>
      <c r="I520" s="1" t="s">
        <v>3100</v>
      </c>
      <c r="J520" s="1" t="s">
        <v>316</v>
      </c>
      <c r="K520" s="1" t="s">
        <v>3098</v>
      </c>
      <c r="P520" s="1" t="s">
        <v>3099</v>
      </c>
      <c r="Q520" s="1" t="s">
        <v>27</v>
      </c>
      <c r="R520" s="1" t="s">
        <v>26</v>
      </c>
      <c r="S520" s="1" t="s">
        <v>2456</v>
      </c>
      <c r="T520" s="1" t="s">
        <v>2455</v>
      </c>
      <c r="U520" s="1">
        <v>1</v>
      </c>
      <c r="V520" s="1" t="s">
        <v>2439</v>
      </c>
      <c r="W520" s="1" t="s">
        <v>3098</v>
      </c>
      <c r="X520" s="1" t="s">
        <v>52</v>
      </c>
      <c r="Y520" s="3">
        <v>45132</v>
      </c>
      <c r="Z520" s="1">
        <v>2023</v>
      </c>
      <c r="AA520" s="2">
        <v>112685.56</v>
      </c>
      <c r="AB520" s="2"/>
      <c r="AC520" s="2">
        <v>54805.67</v>
      </c>
      <c r="AD520" s="1">
        <v>3</v>
      </c>
      <c r="AE520" s="1">
        <v>1</v>
      </c>
      <c r="AG520" s="1" t="s">
        <v>106</v>
      </c>
      <c r="AH520" s="1" t="s">
        <v>310</v>
      </c>
      <c r="AI520" s="2">
        <v>0</v>
      </c>
      <c r="AK520" s="1"/>
      <c r="AL520" s="1" t="s">
        <v>3097</v>
      </c>
    </row>
    <row r="521" spans="1:38" ht="15" customHeight="1" x14ac:dyDescent="0.2">
      <c r="A521" s="1" t="s">
        <v>19</v>
      </c>
      <c r="B521" s="5" t="s">
        <v>109</v>
      </c>
      <c r="C521" s="1" t="s">
        <v>37</v>
      </c>
      <c r="D521" s="1" t="s">
        <v>211</v>
      </c>
      <c r="E521" s="1" t="s">
        <v>35</v>
      </c>
      <c r="F521" s="1" t="s">
        <v>260</v>
      </c>
      <c r="G521" s="1" t="s">
        <v>259</v>
      </c>
      <c r="H521" s="1" t="s">
        <v>130</v>
      </c>
      <c r="I521" s="1" t="s">
        <v>3096</v>
      </c>
      <c r="J521" s="1" t="s">
        <v>316</v>
      </c>
      <c r="K521" s="1" t="s">
        <v>3094</v>
      </c>
      <c r="P521" s="1" t="s">
        <v>3095</v>
      </c>
      <c r="Q521" s="1" t="s">
        <v>27</v>
      </c>
      <c r="R521" s="1" t="s">
        <v>26</v>
      </c>
      <c r="S521" s="1" t="s">
        <v>2624</v>
      </c>
      <c r="T521" s="1" t="s">
        <v>2623</v>
      </c>
      <c r="U521" s="1">
        <v>2</v>
      </c>
      <c r="V521" s="1" t="s">
        <v>2439</v>
      </c>
      <c r="W521" s="1" t="s">
        <v>3094</v>
      </c>
      <c r="X521" s="1" t="s">
        <v>304</v>
      </c>
      <c r="Y521" s="3">
        <v>44993</v>
      </c>
      <c r="Z521" s="1">
        <v>2023</v>
      </c>
      <c r="AA521" s="2">
        <v>428189.98</v>
      </c>
      <c r="AB521" s="2"/>
      <c r="AC521" s="2">
        <v>30000</v>
      </c>
      <c r="AD521" s="1">
        <v>1</v>
      </c>
      <c r="AG521" s="1" t="s">
        <v>106</v>
      </c>
      <c r="AH521" s="1" t="s">
        <v>310</v>
      </c>
      <c r="AI521" s="2">
        <v>0</v>
      </c>
      <c r="AK521" s="1"/>
      <c r="AL521" s="1" t="s">
        <v>3093</v>
      </c>
    </row>
    <row r="522" spans="1:38" ht="15" customHeight="1" x14ac:dyDescent="0.2">
      <c r="A522" s="1" t="s">
        <v>19</v>
      </c>
      <c r="B522" s="5" t="s">
        <v>18</v>
      </c>
      <c r="C522" s="1" t="s">
        <v>37</v>
      </c>
      <c r="D522" s="1" t="s">
        <v>211</v>
      </c>
      <c r="E522" s="1" t="s">
        <v>35</v>
      </c>
      <c r="F522" s="1" t="s">
        <v>260</v>
      </c>
      <c r="G522" s="1" t="s">
        <v>259</v>
      </c>
      <c r="H522" s="1" t="s">
        <v>130</v>
      </c>
      <c r="I522" s="1" t="s">
        <v>3092</v>
      </c>
      <c r="J522" s="1" t="s">
        <v>316</v>
      </c>
      <c r="K522" s="1" t="s">
        <v>3091</v>
      </c>
      <c r="L522" s="1" t="s">
        <v>3090</v>
      </c>
      <c r="M522" s="1" t="s">
        <v>3089</v>
      </c>
      <c r="P522" s="1" t="s">
        <v>3088</v>
      </c>
      <c r="Q522" s="1" t="s">
        <v>27</v>
      </c>
      <c r="R522" s="1" t="s">
        <v>26</v>
      </c>
      <c r="S522" s="1" t="s">
        <v>2655</v>
      </c>
      <c r="T522" s="1" t="s">
        <v>2654</v>
      </c>
      <c r="U522" s="1">
        <v>2</v>
      </c>
      <c r="V522" s="1" t="s">
        <v>2439</v>
      </c>
      <c r="W522" s="1" t="s">
        <v>3087</v>
      </c>
      <c r="X522" s="1" t="s">
        <v>667</v>
      </c>
      <c r="Y522" s="3">
        <v>43825</v>
      </c>
      <c r="Z522" s="1">
        <v>2019</v>
      </c>
      <c r="AA522" s="2">
        <v>499998.15</v>
      </c>
      <c r="AB522" s="2"/>
      <c r="AC522" s="2">
        <v>100000</v>
      </c>
      <c r="AD522" s="1">
        <v>12</v>
      </c>
      <c r="AE522" s="1">
        <v>11</v>
      </c>
      <c r="AG522" s="1" t="s">
        <v>21</v>
      </c>
      <c r="AI522" s="2">
        <v>100000</v>
      </c>
      <c r="AK522" s="1"/>
    </row>
    <row r="523" spans="1:38" ht="15" customHeight="1" x14ac:dyDescent="0.2">
      <c r="A523" s="1" t="s">
        <v>19</v>
      </c>
      <c r="B523" s="5" t="s">
        <v>109</v>
      </c>
      <c r="C523" s="1" t="s">
        <v>37</v>
      </c>
      <c r="D523" s="1" t="s">
        <v>211</v>
      </c>
      <c r="E523" s="1" t="s">
        <v>35</v>
      </c>
      <c r="F523" s="1" t="s">
        <v>260</v>
      </c>
      <c r="G523" s="1" t="s">
        <v>259</v>
      </c>
      <c r="H523" s="1" t="s">
        <v>130</v>
      </c>
      <c r="I523" s="1" t="s">
        <v>3086</v>
      </c>
      <c r="J523" s="1" t="s">
        <v>316</v>
      </c>
      <c r="K523" s="1" t="s">
        <v>3084</v>
      </c>
      <c r="P523" s="1" t="s">
        <v>3085</v>
      </c>
      <c r="Q523" s="1" t="s">
        <v>27</v>
      </c>
      <c r="R523" s="1" t="s">
        <v>26</v>
      </c>
      <c r="S523" s="1" t="s">
        <v>2456</v>
      </c>
      <c r="T523" s="1" t="s">
        <v>2455</v>
      </c>
      <c r="U523" s="1">
        <v>1</v>
      </c>
      <c r="V523" s="1" t="s">
        <v>2439</v>
      </c>
      <c r="W523" s="1" t="s">
        <v>3084</v>
      </c>
      <c r="X523" s="1" t="s">
        <v>529</v>
      </c>
      <c r="Y523" s="3">
        <v>44435</v>
      </c>
      <c r="Z523" s="1">
        <v>2021</v>
      </c>
      <c r="AA523" s="2">
        <v>182255.86</v>
      </c>
      <c r="AB523" s="2"/>
      <c r="AC523" s="2">
        <v>50000</v>
      </c>
      <c r="AD523" s="1">
        <v>1</v>
      </c>
      <c r="AG523" s="1" t="s">
        <v>106</v>
      </c>
      <c r="AH523" s="1" t="s">
        <v>105</v>
      </c>
      <c r="AI523" s="2">
        <v>0</v>
      </c>
      <c r="AK523" s="1"/>
    </row>
    <row r="524" spans="1:38" ht="15" customHeight="1" x14ac:dyDescent="0.2">
      <c r="A524" s="1" t="s">
        <v>19</v>
      </c>
      <c r="B524" s="5" t="s">
        <v>18</v>
      </c>
      <c r="C524" s="1" t="s">
        <v>37</v>
      </c>
      <c r="D524" s="1" t="s">
        <v>211</v>
      </c>
      <c r="E524" s="1" t="s">
        <v>35</v>
      </c>
      <c r="F524" s="1" t="s">
        <v>637</v>
      </c>
      <c r="G524" s="1" t="s">
        <v>636</v>
      </c>
      <c r="H524" s="1" t="s">
        <v>130</v>
      </c>
      <c r="I524" s="1" t="s">
        <v>3083</v>
      </c>
      <c r="J524" s="1">
        <v>2021</v>
      </c>
      <c r="K524" s="1" t="s">
        <v>3082</v>
      </c>
      <c r="L524" s="1" t="s">
        <v>3081</v>
      </c>
      <c r="P524" s="1" t="s">
        <v>3080</v>
      </c>
      <c r="Q524" s="1" t="s">
        <v>27</v>
      </c>
      <c r="R524" s="1" t="s">
        <v>26</v>
      </c>
      <c r="S524" s="1" t="s">
        <v>2624</v>
      </c>
      <c r="T524" s="1" t="s">
        <v>2623</v>
      </c>
      <c r="U524" s="1">
        <v>2</v>
      </c>
      <c r="V524" s="1" t="s">
        <v>2439</v>
      </c>
      <c r="W524" s="1" t="s">
        <v>3079</v>
      </c>
      <c r="X524" s="1" t="s">
        <v>298</v>
      </c>
      <c r="Y524" s="3">
        <v>44557</v>
      </c>
      <c r="Z524" s="1">
        <v>2021</v>
      </c>
      <c r="AA524" s="2">
        <v>2941898.43</v>
      </c>
      <c r="AB524" s="2"/>
      <c r="AC524" s="2">
        <v>45000</v>
      </c>
      <c r="AD524" s="1">
        <v>3</v>
      </c>
      <c r="AG524" s="1" t="s">
        <v>21</v>
      </c>
      <c r="AI524" s="2">
        <v>45000</v>
      </c>
      <c r="AK524" s="1"/>
    </row>
    <row r="525" spans="1:38" ht="15" customHeight="1" x14ac:dyDescent="0.2">
      <c r="A525" s="1" t="s">
        <v>19</v>
      </c>
      <c r="B525" s="5" t="s">
        <v>18</v>
      </c>
      <c r="C525" s="1" t="s">
        <v>37</v>
      </c>
      <c r="D525" s="1" t="s">
        <v>211</v>
      </c>
      <c r="E525" s="1" t="s">
        <v>35</v>
      </c>
      <c r="F525" s="1" t="s">
        <v>637</v>
      </c>
      <c r="G525" s="1" t="s">
        <v>636</v>
      </c>
      <c r="H525" s="1" t="s">
        <v>130</v>
      </c>
      <c r="I525" s="1" t="s">
        <v>3078</v>
      </c>
      <c r="J525" s="1">
        <v>2021</v>
      </c>
      <c r="K525" s="1" t="s">
        <v>3077</v>
      </c>
      <c r="L525" s="1" t="s">
        <v>3076</v>
      </c>
      <c r="M525" s="1" t="s">
        <v>3075</v>
      </c>
      <c r="P525" s="1" t="s">
        <v>3074</v>
      </c>
      <c r="Q525" s="1" t="s">
        <v>27</v>
      </c>
      <c r="R525" s="1" t="s">
        <v>26</v>
      </c>
      <c r="S525" s="1" t="s">
        <v>2677</v>
      </c>
      <c r="T525" s="1" t="s">
        <v>2676</v>
      </c>
      <c r="U525" s="1">
        <v>2</v>
      </c>
      <c r="V525" s="1" t="s">
        <v>2439</v>
      </c>
      <c r="W525" s="1" t="s">
        <v>3073</v>
      </c>
      <c r="X525" s="1" t="s">
        <v>529</v>
      </c>
      <c r="Y525" s="3">
        <v>44557</v>
      </c>
      <c r="Z525" s="1">
        <v>2021</v>
      </c>
      <c r="AA525" s="2">
        <v>645210.09</v>
      </c>
      <c r="AB525" s="2"/>
      <c r="AC525" s="2">
        <v>96781.513500000015</v>
      </c>
      <c r="AD525" s="1">
        <v>4</v>
      </c>
      <c r="AE525" s="1">
        <v>4</v>
      </c>
      <c r="AG525" s="1" t="s">
        <v>21</v>
      </c>
      <c r="AI525" s="2">
        <v>96781.513500000015</v>
      </c>
      <c r="AK525" s="1"/>
    </row>
    <row r="526" spans="1:38" ht="15" customHeight="1" x14ac:dyDescent="0.2">
      <c r="A526" s="1" t="s">
        <v>19</v>
      </c>
      <c r="B526" s="5" t="s">
        <v>109</v>
      </c>
      <c r="C526" s="1" t="s">
        <v>37</v>
      </c>
      <c r="D526" s="1" t="s">
        <v>211</v>
      </c>
      <c r="E526" s="1" t="s">
        <v>35</v>
      </c>
      <c r="F526" s="1" t="s">
        <v>637</v>
      </c>
      <c r="G526" s="1" t="s">
        <v>636</v>
      </c>
      <c r="H526" s="1" t="s">
        <v>130</v>
      </c>
      <c r="I526" s="1" t="s">
        <v>3072</v>
      </c>
      <c r="J526" s="1">
        <v>2021</v>
      </c>
      <c r="K526" s="1" t="s">
        <v>3070</v>
      </c>
      <c r="P526" s="1" t="s">
        <v>3071</v>
      </c>
      <c r="Q526" s="1" t="s">
        <v>27</v>
      </c>
      <c r="R526" s="1" t="s">
        <v>26</v>
      </c>
      <c r="S526" s="1" t="s">
        <v>2590</v>
      </c>
      <c r="T526" s="1" t="s">
        <v>2589</v>
      </c>
      <c r="U526" s="1">
        <v>1</v>
      </c>
      <c r="V526" s="1" t="s">
        <v>2439</v>
      </c>
      <c r="W526" s="1" t="s">
        <v>3070</v>
      </c>
      <c r="X526" s="1" t="s">
        <v>304</v>
      </c>
      <c r="Y526" s="3">
        <v>45098</v>
      </c>
      <c r="Z526" s="1">
        <v>2023</v>
      </c>
      <c r="AA526" s="2">
        <v>1240814.19</v>
      </c>
      <c r="AB526" s="2"/>
      <c r="AC526" s="2">
        <v>160000</v>
      </c>
      <c r="AD526" s="1">
        <v>3</v>
      </c>
      <c r="AE526" s="1">
        <v>1</v>
      </c>
      <c r="AG526" s="1" t="s">
        <v>106</v>
      </c>
      <c r="AH526" s="1" t="s">
        <v>310</v>
      </c>
      <c r="AI526" s="2">
        <v>0</v>
      </c>
      <c r="AK526" s="1"/>
    </row>
    <row r="527" spans="1:38" ht="15" customHeight="1" x14ac:dyDescent="0.2">
      <c r="A527" s="1" t="s">
        <v>19</v>
      </c>
      <c r="B527" s="5" t="s">
        <v>18</v>
      </c>
      <c r="C527" s="1" t="s">
        <v>37</v>
      </c>
      <c r="D527" s="1" t="s">
        <v>211</v>
      </c>
      <c r="E527" s="1" t="s">
        <v>35</v>
      </c>
      <c r="F527" s="1" t="s">
        <v>260</v>
      </c>
      <c r="G527" s="1" t="s">
        <v>259</v>
      </c>
      <c r="H527" s="1" t="s">
        <v>130</v>
      </c>
      <c r="I527" s="1" t="s">
        <v>3069</v>
      </c>
      <c r="J527" s="1">
        <v>2021</v>
      </c>
      <c r="K527" s="1" t="s">
        <v>3068</v>
      </c>
      <c r="L527" s="1" t="s">
        <v>3067</v>
      </c>
      <c r="M527" s="1" t="s">
        <v>3066</v>
      </c>
      <c r="P527" s="1" t="s">
        <v>3065</v>
      </c>
      <c r="Q527" s="1" t="s">
        <v>27</v>
      </c>
      <c r="R527" s="1" t="s">
        <v>26</v>
      </c>
      <c r="S527" s="1" t="s">
        <v>2624</v>
      </c>
      <c r="T527" s="1" t="s">
        <v>2623</v>
      </c>
      <c r="U527" s="1">
        <v>2</v>
      </c>
      <c r="V527" s="1" t="s">
        <v>2439</v>
      </c>
      <c r="W527" s="1" t="s">
        <v>1957</v>
      </c>
      <c r="X527" s="1" t="s">
        <v>667</v>
      </c>
      <c r="Y527" s="3">
        <v>44557</v>
      </c>
      <c r="Z527" s="1">
        <v>2021</v>
      </c>
      <c r="AA527" s="2">
        <v>74408.03</v>
      </c>
      <c r="AB527" s="2"/>
      <c r="AC527" s="2">
        <v>11161.2</v>
      </c>
      <c r="AD527" s="1">
        <v>1</v>
      </c>
      <c r="AG527" s="1" t="s">
        <v>21</v>
      </c>
      <c r="AI527" s="2">
        <v>11161.2</v>
      </c>
      <c r="AK527" s="1"/>
    </row>
    <row r="528" spans="1:38" ht="15" customHeight="1" x14ac:dyDescent="0.2">
      <c r="A528" s="1" t="s">
        <v>19</v>
      </c>
      <c r="B528" s="5" t="s">
        <v>18</v>
      </c>
      <c r="C528" s="1" t="s">
        <v>37</v>
      </c>
      <c r="D528" s="1" t="s">
        <v>211</v>
      </c>
      <c r="E528" s="1" t="s">
        <v>35</v>
      </c>
      <c r="F528" s="1" t="s">
        <v>260</v>
      </c>
      <c r="G528" s="1" t="s">
        <v>259</v>
      </c>
      <c r="H528" s="1" t="s">
        <v>130</v>
      </c>
      <c r="I528" s="1" t="s">
        <v>3064</v>
      </c>
      <c r="J528" s="1">
        <v>2021</v>
      </c>
      <c r="K528" s="1" t="s">
        <v>3063</v>
      </c>
      <c r="L528" s="1" t="s">
        <v>3062</v>
      </c>
      <c r="M528" s="1" t="s">
        <v>3061</v>
      </c>
      <c r="P528" s="1" t="s">
        <v>2864</v>
      </c>
      <c r="Q528" s="1" t="s">
        <v>27</v>
      </c>
      <c r="R528" s="1" t="s">
        <v>26</v>
      </c>
      <c r="S528" s="1" t="s">
        <v>2666</v>
      </c>
      <c r="T528" s="1" t="s">
        <v>2665</v>
      </c>
      <c r="U528" s="1">
        <v>2</v>
      </c>
      <c r="V528" s="1" t="s">
        <v>2439</v>
      </c>
      <c r="W528" s="1" t="s">
        <v>3060</v>
      </c>
      <c r="X528" s="1" t="s">
        <v>529</v>
      </c>
      <c r="Y528" s="3">
        <v>44557</v>
      </c>
      <c r="Z528" s="1">
        <v>2021</v>
      </c>
      <c r="AA528" s="2">
        <v>498296.71</v>
      </c>
      <c r="AB528" s="2"/>
      <c r="AC528" s="2">
        <v>45000</v>
      </c>
      <c r="AD528" s="1">
        <v>0</v>
      </c>
      <c r="AG528" s="1" t="s">
        <v>21</v>
      </c>
      <c r="AI528" s="2">
        <v>45000</v>
      </c>
      <c r="AK528" s="1"/>
    </row>
    <row r="529" spans="1:38" ht="15" customHeight="1" x14ac:dyDescent="0.2">
      <c r="A529" s="1" t="s">
        <v>19</v>
      </c>
      <c r="B529" s="5" t="s">
        <v>18</v>
      </c>
      <c r="C529" s="1" t="s">
        <v>37</v>
      </c>
      <c r="D529" s="1" t="s">
        <v>211</v>
      </c>
      <c r="E529" s="1" t="s">
        <v>35</v>
      </c>
      <c r="F529" s="1" t="s">
        <v>260</v>
      </c>
      <c r="G529" s="1" t="s">
        <v>259</v>
      </c>
      <c r="H529" s="1" t="s">
        <v>130</v>
      </c>
      <c r="I529" s="1" t="s">
        <v>3059</v>
      </c>
      <c r="J529" s="1">
        <v>2021</v>
      </c>
      <c r="K529" s="1" t="s">
        <v>3056</v>
      </c>
      <c r="L529" s="1" t="s">
        <v>3058</v>
      </c>
      <c r="M529" s="1" t="s">
        <v>3057</v>
      </c>
      <c r="P529" s="1" t="s">
        <v>2785</v>
      </c>
      <c r="Q529" s="1" t="s">
        <v>27</v>
      </c>
      <c r="R529" s="1" t="s">
        <v>26</v>
      </c>
      <c r="S529" s="1" t="s">
        <v>2624</v>
      </c>
      <c r="T529" s="1" t="s">
        <v>2623</v>
      </c>
      <c r="U529" s="1">
        <v>2</v>
      </c>
      <c r="V529" s="1" t="s">
        <v>2439</v>
      </c>
      <c r="W529" s="1" t="s">
        <v>3056</v>
      </c>
      <c r="X529" s="1" t="s">
        <v>667</v>
      </c>
      <c r="Y529" s="3">
        <v>44557</v>
      </c>
      <c r="Z529" s="1">
        <v>2021</v>
      </c>
      <c r="AA529" s="2">
        <v>38353.54</v>
      </c>
      <c r="AB529" s="2"/>
      <c r="AC529" s="2">
        <v>5753.03</v>
      </c>
      <c r="AD529" s="1">
        <v>0</v>
      </c>
      <c r="AG529" s="1" t="s">
        <v>21</v>
      </c>
      <c r="AI529" s="2">
        <v>5753.03</v>
      </c>
      <c r="AK529" s="1"/>
    </row>
    <row r="530" spans="1:38" ht="15" customHeight="1" x14ac:dyDescent="0.2">
      <c r="A530" s="1" t="s">
        <v>19</v>
      </c>
      <c r="B530" s="5" t="s">
        <v>18</v>
      </c>
      <c r="C530" s="1" t="s">
        <v>37</v>
      </c>
      <c r="D530" s="1" t="s">
        <v>211</v>
      </c>
      <c r="E530" s="1" t="s">
        <v>35</v>
      </c>
      <c r="F530" s="1" t="s">
        <v>260</v>
      </c>
      <c r="G530" s="1" t="s">
        <v>259</v>
      </c>
      <c r="H530" s="1" t="s">
        <v>130</v>
      </c>
      <c r="I530" s="1" t="s">
        <v>3055</v>
      </c>
      <c r="J530" s="1">
        <v>2021</v>
      </c>
      <c r="K530" s="1" t="s">
        <v>3052</v>
      </c>
      <c r="L530" s="1" t="s">
        <v>3054</v>
      </c>
      <c r="P530" s="1" t="s">
        <v>3053</v>
      </c>
      <c r="Q530" s="1" t="s">
        <v>27</v>
      </c>
      <c r="R530" s="1" t="s">
        <v>26</v>
      </c>
      <c r="S530" s="1" t="s">
        <v>2624</v>
      </c>
      <c r="T530" s="1" t="s">
        <v>2623</v>
      </c>
      <c r="U530" s="1">
        <v>2</v>
      </c>
      <c r="V530" s="1" t="s">
        <v>2439</v>
      </c>
      <c r="W530" s="1" t="s">
        <v>3052</v>
      </c>
      <c r="X530" s="1" t="s">
        <v>667</v>
      </c>
      <c r="Y530" s="3">
        <v>44557</v>
      </c>
      <c r="Z530" s="1">
        <v>2021</v>
      </c>
      <c r="AA530" s="2">
        <v>66562</v>
      </c>
      <c r="AB530" s="2"/>
      <c r="AC530" s="2">
        <v>9984.2999999999993</v>
      </c>
      <c r="AD530" s="1">
        <v>1</v>
      </c>
      <c r="AG530" s="1" t="s">
        <v>21</v>
      </c>
      <c r="AI530" s="2">
        <v>9984.2999999999993</v>
      </c>
      <c r="AK530" s="1"/>
      <c r="AL530" s="29" t="s">
        <v>3051</v>
      </c>
    </row>
    <row r="531" spans="1:38" ht="15" customHeight="1" x14ac:dyDescent="0.2">
      <c r="A531" s="1" t="s">
        <v>19</v>
      </c>
      <c r="B531" s="5" t="s">
        <v>109</v>
      </c>
      <c r="C531" s="1" t="s">
        <v>37</v>
      </c>
      <c r="D531" s="1" t="s">
        <v>211</v>
      </c>
      <c r="E531" s="1" t="s">
        <v>35</v>
      </c>
      <c r="F531" s="1" t="s">
        <v>260</v>
      </c>
      <c r="G531" s="1" t="s">
        <v>259</v>
      </c>
      <c r="H531" s="1" t="s">
        <v>130</v>
      </c>
      <c r="I531" s="1" t="s">
        <v>3050</v>
      </c>
      <c r="J531" s="1">
        <v>2021</v>
      </c>
      <c r="K531" s="1" t="s">
        <v>3048</v>
      </c>
      <c r="P531" s="1" t="s">
        <v>3049</v>
      </c>
      <c r="Q531" s="1" t="s">
        <v>27</v>
      </c>
      <c r="R531" s="1" t="s">
        <v>26</v>
      </c>
      <c r="S531" s="1" t="s">
        <v>2624</v>
      </c>
      <c r="T531" s="1" t="s">
        <v>2623</v>
      </c>
      <c r="U531" s="1">
        <v>2</v>
      </c>
      <c r="V531" s="1" t="s">
        <v>2439</v>
      </c>
      <c r="W531" s="1" t="s">
        <v>3048</v>
      </c>
      <c r="X531" s="1" t="s">
        <v>298</v>
      </c>
      <c r="Y531" s="3">
        <v>44619</v>
      </c>
      <c r="Z531" s="1">
        <v>2022</v>
      </c>
      <c r="AA531" s="2">
        <v>150000</v>
      </c>
      <c r="AB531" s="2"/>
      <c r="AC531" s="2">
        <v>15000</v>
      </c>
      <c r="AD531" s="1">
        <v>0</v>
      </c>
      <c r="AG531" s="1" t="s">
        <v>106</v>
      </c>
      <c r="AH531" s="1" t="s">
        <v>105</v>
      </c>
      <c r="AI531" s="2">
        <v>0</v>
      </c>
      <c r="AK531" s="1"/>
    </row>
    <row r="532" spans="1:38" ht="15" customHeight="1" x14ac:dyDescent="0.2">
      <c r="A532" s="1" t="s">
        <v>19</v>
      </c>
      <c r="B532" s="5" t="s">
        <v>18</v>
      </c>
      <c r="C532" s="1" t="s">
        <v>37</v>
      </c>
      <c r="D532" s="1" t="s">
        <v>211</v>
      </c>
      <c r="E532" s="1" t="s">
        <v>35</v>
      </c>
      <c r="F532" s="1" t="s">
        <v>260</v>
      </c>
      <c r="G532" s="1" t="s">
        <v>259</v>
      </c>
      <c r="H532" s="1" t="s">
        <v>130</v>
      </c>
      <c r="I532" s="1" t="s">
        <v>3047</v>
      </c>
      <c r="J532" s="1">
        <v>2021</v>
      </c>
      <c r="K532" s="1" t="s">
        <v>3046</v>
      </c>
      <c r="L532" s="1" t="s">
        <v>3045</v>
      </c>
      <c r="M532" s="1" t="s">
        <v>3044</v>
      </c>
      <c r="P532" s="1" t="s">
        <v>2700</v>
      </c>
      <c r="Q532" s="1" t="s">
        <v>27</v>
      </c>
      <c r="R532" s="1" t="s">
        <v>26</v>
      </c>
      <c r="S532" s="1" t="s">
        <v>2456</v>
      </c>
      <c r="T532" s="1" t="s">
        <v>2455</v>
      </c>
      <c r="U532" s="1">
        <v>1</v>
      </c>
      <c r="V532" s="1" t="s">
        <v>2439</v>
      </c>
      <c r="W532" s="1" t="s">
        <v>3043</v>
      </c>
      <c r="X532" s="1" t="s">
        <v>298</v>
      </c>
      <c r="Y532" s="3">
        <v>44557</v>
      </c>
      <c r="Z532" s="1">
        <v>2021</v>
      </c>
      <c r="AA532" s="2">
        <v>81269</v>
      </c>
      <c r="AB532" s="2"/>
      <c r="AC532" s="2">
        <v>24380.7</v>
      </c>
      <c r="AD532" s="1">
        <v>2</v>
      </c>
      <c r="AG532" s="1" t="s">
        <v>21</v>
      </c>
      <c r="AI532" s="2">
        <v>24380.7</v>
      </c>
      <c r="AK532" s="1"/>
      <c r="AL532" s="29" t="s">
        <v>1131</v>
      </c>
    </row>
    <row r="533" spans="1:38" ht="15" customHeight="1" x14ac:dyDescent="0.2">
      <c r="A533" s="1" t="s">
        <v>19</v>
      </c>
      <c r="B533" s="5" t="s">
        <v>109</v>
      </c>
      <c r="C533" s="1" t="s">
        <v>37</v>
      </c>
      <c r="D533" s="1" t="s">
        <v>211</v>
      </c>
      <c r="E533" s="1" t="s">
        <v>35</v>
      </c>
      <c r="F533" s="1" t="s">
        <v>260</v>
      </c>
      <c r="G533" s="1" t="s">
        <v>259</v>
      </c>
      <c r="H533" s="1" t="s">
        <v>130</v>
      </c>
      <c r="I533" s="1" t="s">
        <v>3042</v>
      </c>
      <c r="J533" s="1">
        <v>2021</v>
      </c>
      <c r="K533" s="1" t="s">
        <v>3040</v>
      </c>
      <c r="P533" s="1" t="s">
        <v>3041</v>
      </c>
      <c r="Q533" s="1" t="s">
        <v>27</v>
      </c>
      <c r="R533" s="1" t="s">
        <v>26</v>
      </c>
      <c r="S533" s="1" t="s">
        <v>2624</v>
      </c>
      <c r="T533" s="1" t="s">
        <v>2623</v>
      </c>
      <c r="U533" s="1">
        <v>2</v>
      </c>
      <c r="V533" s="1" t="s">
        <v>2439</v>
      </c>
      <c r="W533" s="1" t="s">
        <v>3040</v>
      </c>
      <c r="X533" s="1" t="s">
        <v>319</v>
      </c>
      <c r="Y533" s="3">
        <v>44557</v>
      </c>
      <c r="Z533" s="1">
        <v>2021</v>
      </c>
      <c r="AA533" s="2">
        <v>43930</v>
      </c>
      <c r="AB533" s="2"/>
      <c r="AC533" s="2">
        <v>6589.5</v>
      </c>
      <c r="AD533" s="1">
        <v>0</v>
      </c>
      <c r="AG533" s="1" t="s">
        <v>106</v>
      </c>
      <c r="AH533" s="1" t="s">
        <v>310</v>
      </c>
      <c r="AI533" s="2">
        <v>0</v>
      </c>
      <c r="AK533" s="1"/>
    </row>
    <row r="534" spans="1:38" ht="15" customHeight="1" x14ac:dyDescent="0.2">
      <c r="A534" s="1" t="s">
        <v>19</v>
      </c>
      <c r="B534" s="5" t="s">
        <v>109</v>
      </c>
      <c r="C534" s="1" t="s">
        <v>37</v>
      </c>
      <c r="D534" s="1" t="s">
        <v>211</v>
      </c>
      <c r="E534" s="1" t="s">
        <v>35</v>
      </c>
      <c r="F534" s="1" t="s">
        <v>260</v>
      </c>
      <c r="G534" s="1" t="s">
        <v>259</v>
      </c>
      <c r="H534" s="1" t="s">
        <v>130</v>
      </c>
      <c r="I534" s="1" t="s">
        <v>3039</v>
      </c>
      <c r="J534" s="1">
        <v>2021</v>
      </c>
      <c r="K534" s="1" t="s">
        <v>3038</v>
      </c>
      <c r="P534" s="1" t="s">
        <v>3037</v>
      </c>
      <c r="Q534" s="1" t="s">
        <v>27</v>
      </c>
      <c r="R534" s="1" t="s">
        <v>26</v>
      </c>
      <c r="S534" s="1" t="s">
        <v>2624</v>
      </c>
      <c r="T534" s="1" t="s">
        <v>2623</v>
      </c>
      <c r="U534" s="1">
        <v>2</v>
      </c>
      <c r="V534" s="1" t="s">
        <v>2439</v>
      </c>
      <c r="W534" s="1" t="s">
        <v>3036</v>
      </c>
      <c r="X534" s="1" t="s">
        <v>298</v>
      </c>
      <c r="Y534" s="3">
        <v>44557</v>
      </c>
      <c r="Z534" s="1">
        <v>2021</v>
      </c>
      <c r="AA534" s="2">
        <v>67500</v>
      </c>
      <c r="AB534" s="2"/>
      <c r="AC534" s="2">
        <v>10125</v>
      </c>
      <c r="AD534" s="1">
        <v>1</v>
      </c>
      <c r="AG534" s="1" t="s">
        <v>106</v>
      </c>
      <c r="AH534" s="1" t="s">
        <v>310</v>
      </c>
      <c r="AI534" s="2">
        <v>0</v>
      </c>
      <c r="AK534" s="1"/>
    </row>
    <row r="535" spans="1:38" ht="15" customHeight="1" x14ac:dyDescent="0.2">
      <c r="A535" s="1" t="s">
        <v>19</v>
      </c>
      <c r="B535" s="5" t="s">
        <v>18</v>
      </c>
      <c r="C535" s="1" t="s">
        <v>37</v>
      </c>
      <c r="D535" s="1" t="s">
        <v>211</v>
      </c>
      <c r="E535" s="1" t="s">
        <v>35</v>
      </c>
      <c r="F535" s="1" t="s">
        <v>260</v>
      </c>
      <c r="G535" s="1" t="s">
        <v>259</v>
      </c>
      <c r="H535" s="1" t="s">
        <v>130</v>
      </c>
      <c r="I535" s="1" t="s">
        <v>3035</v>
      </c>
      <c r="J535" s="1">
        <v>2021</v>
      </c>
      <c r="K535" s="1" t="s">
        <v>3034</v>
      </c>
      <c r="L535" s="1" t="s">
        <v>3033</v>
      </c>
      <c r="P535" s="1" t="s">
        <v>3032</v>
      </c>
      <c r="Q535" s="1" t="s">
        <v>27</v>
      </c>
      <c r="R535" s="1" t="s">
        <v>26</v>
      </c>
      <c r="S535" s="1" t="s">
        <v>2624</v>
      </c>
      <c r="T535" s="1" t="s">
        <v>2623</v>
      </c>
      <c r="U535" s="1">
        <v>2</v>
      </c>
      <c r="V535" s="1" t="s">
        <v>2439</v>
      </c>
      <c r="W535" s="1" t="s">
        <v>3031</v>
      </c>
      <c r="X535" s="1" t="s">
        <v>667</v>
      </c>
      <c r="Y535" s="3">
        <v>44557</v>
      </c>
      <c r="Z535" s="1">
        <v>2021</v>
      </c>
      <c r="AA535" s="2">
        <v>445718.84</v>
      </c>
      <c r="AB535" s="2"/>
      <c r="AC535" s="2">
        <v>66857.83</v>
      </c>
      <c r="AD535" s="1">
        <v>3</v>
      </c>
      <c r="AE535" s="1">
        <v>3</v>
      </c>
      <c r="AG535" s="1" t="s">
        <v>21</v>
      </c>
      <c r="AI535" s="2">
        <v>66857.83</v>
      </c>
      <c r="AK535" s="1"/>
    </row>
    <row r="536" spans="1:38" ht="15" customHeight="1" x14ac:dyDescent="0.2">
      <c r="A536" s="1" t="s">
        <v>19</v>
      </c>
      <c r="B536" s="5" t="s">
        <v>109</v>
      </c>
      <c r="C536" s="1" t="s">
        <v>37</v>
      </c>
      <c r="D536" s="1" t="s">
        <v>211</v>
      </c>
      <c r="E536" s="1" t="s">
        <v>35</v>
      </c>
      <c r="F536" s="1" t="s">
        <v>260</v>
      </c>
      <c r="G536" s="1" t="s">
        <v>259</v>
      </c>
      <c r="H536" s="1" t="s">
        <v>130</v>
      </c>
      <c r="I536" s="1" t="s">
        <v>3030</v>
      </c>
      <c r="J536" s="1">
        <v>2021</v>
      </c>
      <c r="K536" s="1" t="s">
        <v>3028</v>
      </c>
      <c r="P536" s="1" t="s">
        <v>3029</v>
      </c>
      <c r="Q536" s="1" t="s">
        <v>27</v>
      </c>
      <c r="R536" s="1" t="s">
        <v>26</v>
      </c>
      <c r="S536" s="1" t="s">
        <v>2624</v>
      </c>
      <c r="T536" s="1" t="s">
        <v>2623</v>
      </c>
      <c r="U536" s="1">
        <v>2</v>
      </c>
      <c r="V536" s="1" t="s">
        <v>2439</v>
      </c>
      <c r="W536" s="1" t="s">
        <v>3028</v>
      </c>
      <c r="X536" s="1" t="s">
        <v>298</v>
      </c>
      <c r="Y536" s="3">
        <v>44557</v>
      </c>
      <c r="Z536" s="1">
        <v>2021</v>
      </c>
      <c r="AA536" s="2">
        <v>102000</v>
      </c>
      <c r="AB536" s="2"/>
      <c r="AC536" s="2">
        <v>15000</v>
      </c>
      <c r="AD536" s="1">
        <v>0</v>
      </c>
      <c r="AG536" s="1" t="s">
        <v>106</v>
      </c>
      <c r="AH536" s="1" t="s">
        <v>105</v>
      </c>
      <c r="AI536" s="2">
        <v>0</v>
      </c>
      <c r="AK536" s="1"/>
    </row>
    <row r="537" spans="1:38" ht="15" customHeight="1" x14ac:dyDescent="0.2">
      <c r="A537" s="1" t="s">
        <v>19</v>
      </c>
      <c r="B537" s="5" t="s">
        <v>18</v>
      </c>
      <c r="C537" s="1" t="s">
        <v>37</v>
      </c>
      <c r="D537" s="1" t="s">
        <v>211</v>
      </c>
      <c r="E537" s="1" t="s">
        <v>35</v>
      </c>
      <c r="F537" s="1" t="s">
        <v>260</v>
      </c>
      <c r="G537" s="1" t="s">
        <v>259</v>
      </c>
      <c r="H537" s="1" t="s">
        <v>130</v>
      </c>
      <c r="I537" s="1" t="s">
        <v>3027</v>
      </c>
      <c r="J537" s="1">
        <v>2021</v>
      </c>
      <c r="K537" s="1" t="s">
        <v>3026</v>
      </c>
      <c r="L537" s="1" t="s">
        <v>3025</v>
      </c>
      <c r="M537" s="1" t="s">
        <v>3024</v>
      </c>
      <c r="P537" s="1" t="s">
        <v>3023</v>
      </c>
      <c r="Q537" s="1" t="s">
        <v>27</v>
      </c>
      <c r="R537" s="1" t="s">
        <v>26</v>
      </c>
      <c r="S537" s="1" t="s">
        <v>2624</v>
      </c>
      <c r="T537" s="1" t="s">
        <v>2623</v>
      </c>
      <c r="U537" s="1">
        <v>2</v>
      </c>
      <c r="V537" s="1" t="s">
        <v>2439</v>
      </c>
      <c r="W537" s="1" t="s">
        <v>3022</v>
      </c>
      <c r="X537" s="1" t="s">
        <v>298</v>
      </c>
      <c r="Y537" s="3">
        <v>44557</v>
      </c>
      <c r="Z537" s="1">
        <v>2021</v>
      </c>
      <c r="AA537" s="2">
        <v>322663.69</v>
      </c>
      <c r="AB537" s="2"/>
      <c r="AC537" s="2">
        <v>32266.37</v>
      </c>
      <c r="AD537" s="1">
        <v>2</v>
      </c>
      <c r="AG537" s="1" t="s">
        <v>21</v>
      </c>
      <c r="AI537" s="2">
        <v>32266.37</v>
      </c>
      <c r="AK537" s="1"/>
    </row>
    <row r="538" spans="1:38" ht="15" customHeight="1" x14ac:dyDescent="0.2">
      <c r="A538" s="1" t="s">
        <v>19</v>
      </c>
      <c r="B538" s="5" t="s">
        <v>18</v>
      </c>
      <c r="C538" s="1" t="s">
        <v>37</v>
      </c>
      <c r="D538" s="1" t="s">
        <v>211</v>
      </c>
      <c r="E538" s="1" t="s">
        <v>35</v>
      </c>
      <c r="F538" s="1" t="s">
        <v>260</v>
      </c>
      <c r="G538" s="1" t="s">
        <v>259</v>
      </c>
      <c r="H538" s="1" t="s">
        <v>130</v>
      </c>
      <c r="I538" s="1" t="s">
        <v>3021</v>
      </c>
      <c r="J538" s="1">
        <v>2021</v>
      </c>
      <c r="K538" s="1" t="s">
        <v>3020</v>
      </c>
      <c r="L538" s="1" t="s">
        <v>3019</v>
      </c>
      <c r="M538" s="1" t="s">
        <v>3018</v>
      </c>
      <c r="P538" s="1" t="s">
        <v>3017</v>
      </c>
      <c r="Q538" s="1" t="s">
        <v>27</v>
      </c>
      <c r="R538" s="1" t="s">
        <v>26</v>
      </c>
      <c r="S538" s="1" t="s">
        <v>2624</v>
      </c>
      <c r="T538" s="1" t="s">
        <v>2623</v>
      </c>
      <c r="U538" s="1">
        <v>2</v>
      </c>
      <c r="V538" s="1" t="s">
        <v>2439</v>
      </c>
      <c r="W538" s="1" t="s">
        <v>3016</v>
      </c>
      <c r="X538" s="1" t="s">
        <v>689</v>
      </c>
      <c r="Y538" s="3">
        <v>44557</v>
      </c>
      <c r="Z538" s="1">
        <v>2021</v>
      </c>
      <c r="AA538" s="2">
        <v>86692.1</v>
      </c>
      <c r="AB538" s="2"/>
      <c r="AC538" s="2">
        <v>13003.82</v>
      </c>
      <c r="AD538" s="1">
        <v>1</v>
      </c>
      <c r="AE538" s="1">
        <v>1</v>
      </c>
      <c r="AG538" s="1" t="s">
        <v>21</v>
      </c>
      <c r="AI538" s="2">
        <v>13003.82</v>
      </c>
      <c r="AK538" s="1"/>
    </row>
    <row r="539" spans="1:38" ht="15" customHeight="1" x14ac:dyDescent="0.2">
      <c r="A539" s="1" t="s">
        <v>19</v>
      </c>
      <c r="B539" s="5" t="s">
        <v>109</v>
      </c>
      <c r="C539" s="1" t="s">
        <v>37</v>
      </c>
      <c r="D539" s="1" t="s">
        <v>211</v>
      </c>
      <c r="E539" s="1" t="s">
        <v>35</v>
      </c>
      <c r="F539" s="1" t="s">
        <v>260</v>
      </c>
      <c r="G539" s="1" t="s">
        <v>259</v>
      </c>
      <c r="H539" s="1" t="s">
        <v>130</v>
      </c>
      <c r="I539" s="1" t="s">
        <v>3015</v>
      </c>
      <c r="J539" s="1">
        <v>2021</v>
      </c>
      <c r="K539" s="1" t="s">
        <v>3013</v>
      </c>
      <c r="P539" s="1" t="s">
        <v>3014</v>
      </c>
      <c r="Q539" s="1" t="s">
        <v>27</v>
      </c>
      <c r="R539" s="1" t="s">
        <v>26</v>
      </c>
      <c r="S539" s="1" t="s">
        <v>2624</v>
      </c>
      <c r="T539" s="1" t="s">
        <v>2623</v>
      </c>
      <c r="U539" s="1">
        <v>2</v>
      </c>
      <c r="V539" s="1" t="s">
        <v>2439</v>
      </c>
      <c r="W539" s="1" t="s">
        <v>3013</v>
      </c>
      <c r="X539" s="1" t="s">
        <v>304</v>
      </c>
      <c r="Y539" s="3">
        <v>44557</v>
      </c>
      <c r="Z539" s="1">
        <v>2021</v>
      </c>
      <c r="AA539" s="2">
        <v>71712.45</v>
      </c>
      <c r="AB539" s="2"/>
      <c r="AC539" s="2">
        <v>21513.74</v>
      </c>
      <c r="AD539" s="1">
        <v>1.5</v>
      </c>
      <c r="AE539" s="1">
        <v>1.5</v>
      </c>
      <c r="AG539" s="1" t="s">
        <v>106</v>
      </c>
      <c r="AH539" s="1" t="s">
        <v>310</v>
      </c>
      <c r="AI539" s="2">
        <v>0</v>
      </c>
      <c r="AK539" s="1"/>
    </row>
    <row r="540" spans="1:38" ht="15" customHeight="1" x14ac:dyDescent="0.2">
      <c r="A540" s="1" t="s">
        <v>19</v>
      </c>
      <c r="B540" s="5" t="s">
        <v>18</v>
      </c>
      <c r="C540" s="1" t="s">
        <v>37</v>
      </c>
      <c r="D540" s="1" t="s">
        <v>211</v>
      </c>
      <c r="E540" s="1" t="s">
        <v>35</v>
      </c>
      <c r="F540" s="1" t="s">
        <v>260</v>
      </c>
      <c r="G540" s="1" t="s">
        <v>259</v>
      </c>
      <c r="H540" s="1" t="s">
        <v>130</v>
      </c>
      <c r="I540" s="1" t="s">
        <v>3012</v>
      </c>
      <c r="J540" s="1">
        <v>2021</v>
      </c>
      <c r="K540" s="1" t="s">
        <v>3011</v>
      </c>
      <c r="L540" s="1" t="s">
        <v>3010</v>
      </c>
      <c r="M540" s="1" t="s">
        <v>3009</v>
      </c>
      <c r="P540" s="1" t="s">
        <v>3008</v>
      </c>
      <c r="Q540" s="1" t="s">
        <v>27</v>
      </c>
      <c r="R540" s="1" t="s">
        <v>26</v>
      </c>
      <c r="S540" s="1" t="s">
        <v>2590</v>
      </c>
      <c r="T540" s="1" t="s">
        <v>2589</v>
      </c>
      <c r="U540" s="1">
        <v>1</v>
      </c>
      <c r="V540" s="1" t="s">
        <v>2439</v>
      </c>
      <c r="W540" s="1" t="s">
        <v>3007</v>
      </c>
      <c r="X540" s="1" t="s">
        <v>464</v>
      </c>
      <c r="Y540" s="3">
        <v>44557</v>
      </c>
      <c r="Z540" s="1">
        <v>2021</v>
      </c>
      <c r="AA540" s="2">
        <v>56797.49</v>
      </c>
      <c r="AB540" s="2"/>
      <c r="AC540" s="2">
        <v>17039.25</v>
      </c>
      <c r="AD540" s="1">
        <v>0</v>
      </c>
      <c r="AG540" s="1" t="s">
        <v>21</v>
      </c>
      <c r="AI540" s="2">
        <v>17039.25</v>
      </c>
      <c r="AK540" s="1"/>
    </row>
    <row r="541" spans="1:38" ht="15" customHeight="1" x14ac:dyDescent="0.2">
      <c r="A541" s="1" t="s">
        <v>19</v>
      </c>
      <c r="B541" s="5" t="s">
        <v>109</v>
      </c>
      <c r="C541" s="1" t="s">
        <v>37</v>
      </c>
      <c r="D541" s="1" t="s">
        <v>211</v>
      </c>
      <c r="E541" s="1" t="s">
        <v>35</v>
      </c>
      <c r="F541" s="1" t="s">
        <v>260</v>
      </c>
      <c r="G541" s="1" t="s">
        <v>259</v>
      </c>
      <c r="H541" s="1" t="s">
        <v>130</v>
      </c>
      <c r="I541" s="1" t="s">
        <v>3006</v>
      </c>
      <c r="J541" s="1">
        <v>2021</v>
      </c>
      <c r="K541" s="1" t="s">
        <v>3005</v>
      </c>
      <c r="P541" s="1" t="s">
        <v>3004</v>
      </c>
      <c r="Q541" s="1" t="s">
        <v>27</v>
      </c>
      <c r="R541" s="1" t="s">
        <v>26</v>
      </c>
      <c r="S541" s="1" t="s">
        <v>2624</v>
      </c>
      <c r="T541" s="1" t="s">
        <v>2623</v>
      </c>
      <c r="U541" s="1">
        <v>2</v>
      </c>
      <c r="V541" s="1" t="s">
        <v>2439</v>
      </c>
      <c r="W541" s="1" t="s">
        <v>3003</v>
      </c>
      <c r="X541" s="1" t="s">
        <v>298</v>
      </c>
      <c r="Y541" s="3">
        <v>44557</v>
      </c>
      <c r="Z541" s="1">
        <v>2021</v>
      </c>
      <c r="AA541" s="2">
        <v>129637.5</v>
      </c>
      <c r="AB541" s="2"/>
      <c r="AC541" s="2">
        <v>19445.63</v>
      </c>
      <c r="AD541" s="1">
        <v>0</v>
      </c>
      <c r="AG541" s="1" t="s">
        <v>106</v>
      </c>
      <c r="AH541" s="1" t="s">
        <v>310</v>
      </c>
      <c r="AI541" s="2">
        <v>0</v>
      </c>
      <c r="AK541" s="1"/>
    </row>
    <row r="542" spans="1:38" ht="15" customHeight="1" x14ac:dyDescent="0.2">
      <c r="A542" s="1" t="s">
        <v>19</v>
      </c>
      <c r="B542" s="5" t="s">
        <v>109</v>
      </c>
      <c r="C542" s="1" t="s">
        <v>37</v>
      </c>
      <c r="D542" s="1" t="s">
        <v>211</v>
      </c>
      <c r="E542" s="1" t="s">
        <v>35</v>
      </c>
      <c r="F542" s="1" t="s">
        <v>260</v>
      </c>
      <c r="G542" s="1" t="s">
        <v>259</v>
      </c>
      <c r="H542" s="1" t="s">
        <v>130</v>
      </c>
      <c r="I542" s="1" t="s">
        <v>3002</v>
      </c>
      <c r="J542" s="1">
        <v>2021</v>
      </c>
      <c r="K542" s="1" t="s">
        <v>3000</v>
      </c>
      <c r="P542" s="1" t="s">
        <v>3001</v>
      </c>
      <c r="Q542" s="1" t="s">
        <v>27</v>
      </c>
      <c r="R542" s="1" t="s">
        <v>26</v>
      </c>
      <c r="S542" s="1" t="s">
        <v>2456</v>
      </c>
      <c r="T542" s="1" t="s">
        <v>2455</v>
      </c>
      <c r="U542" s="1">
        <v>1</v>
      </c>
      <c r="V542" s="1" t="s">
        <v>2439</v>
      </c>
      <c r="W542" s="1" t="s">
        <v>3000</v>
      </c>
      <c r="X542" s="1" t="s">
        <v>529</v>
      </c>
      <c r="Y542" s="3">
        <v>44557</v>
      </c>
      <c r="Z542" s="1">
        <v>2021</v>
      </c>
      <c r="AA542" s="2">
        <v>49591</v>
      </c>
      <c r="AB542" s="2"/>
      <c r="AC542" s="2">
        <v>14877.3</v>
      </c>
      <c r="AD542" s="1">
        <v>0</v>
      </c>
      <c r="AG542" s="1" t="s">
        <v>106</v>
      </c>
      <c r="AH542" s="1" t="s">
        <v>310</v>
      </c>
      <c r="AI542" s="2">
        <v>0</v>
      </c>
      <c r="AK542" s="1"/>
    </row>
    <row r="543" spans="1:38" ht="15" customHeight="1" x14ac:dyDescent="0.2">
      <c r="A543" s="1" t="s">
        <v>19</v>
      </c>
      <c r="B543" s="5" t="s">
        <v>18</v>
      </c>
      <c r="C543" s="1" t="s">
        <v>37</v>
      </c>
      <c r="D543" s="1" t="s">
        <v>211</v>
      </c>
      <c r="E543" s="1" t="s">
        <v>35</v>
      </c>
      <c r="F543" s="1" t="s">
        <v>260</v>
      </c>
      <c r="G543" s="1" t="s">
        <v>259</v>
      </c>
      <c r="H543" s="1" t="s">
        <v>130</v>
      </c>
      <c r="I543" s="1" t="s">
        <v>2999</v>
      </c>
      <c r="J543" s="1">
        <v>2021</v>
      </c>
      <c r="K543" s="1" t="s">
        <v>2998</v>
      </c>
      <c r="L543" s="1" t="s">
        <v>2997</v>
      </c>
      <c r="M543" s="1" t="s">
        <v>2996</v>
      </c>
      <c r="P543" s="1" t="s">
        <v>2995</v>
      </c>
      <c r="Q543" s="1" t="s">
        <v>27</v>
      </c>
      <c r="R543" s="1" t="s">
        <v>26</v>
      </c>
      <c r="S543" s="1" t="s">
        <v>2624</v>
      </c>
      <c r="T543" s="1" t="s">
        <v>2623</v>
      </c>
      <c r="U543" s="1">
        <v>2</v>
      </c>
      <c r="V543" s="1" t="s">
        <v>2439</v>
      </c>
      <c r="W543" s="1" t="s">
        <v>2994</v>
      </c>
      <c r="X543" s="1" t="s">
        <v>667</v>
      </c>
      <c r="Y543" s="3">
        <v>44557</v>
      </c>
      <c r="Z543" s="1">
        <v>2021</v>
      </c>
      <c r="AA543" s="2">
        <v>187019.46</v>
      </c>
      <c r="AB543" s="2"/>
      <c r="AC543" s="2">
        <v>25000</v>
      </c>
      <c r="AD543" s="1">
        <v>1</v>
      </c>
      <c r="AE543" s="1">
        <v>1</v>
      </c>
      <c r="AG543" s="1" t="s">
        <v>21</v>
      </c>
      <c r="AI543" s="2">
        <v>25000</v>
      </c>
      <c r="AK543" s="1"/>
    </row>
    <row r="544" spans="1:38" ht="15" customHeight="1" x14ac:dyDescent="0.2">
      <c r="A544" s="1" t="s">
        <v>19</v>
      </c>
      <c r="B544" s="5" t="s">
        <v>109</v>
      </c>
      <c r="C544" s="1" t="s">
        <v>37</v>
      </c>
      <c r="D544" s="1" t="s">
        <v>211</v>
      </c>
      <c r="E544" s="1" t="s">
        <v>35</v>
      </c>
      <c r="F544" s="1" t="s">
        <v>260</v>
      </c>
      <c r="G544" s="1" t="s">
        <v>259</v>
      </c>
      <c r="H544" s="1" t="s">
        <v>130</v>
      </c>
      <c r="I544" s="1" t="s">
        <v>2993</v>
      </c>
      <c r="J544" s="1">
        <v>2021</v>
      </c>
      <c r="K544" s="1" t="s">
        <v>2992</v>
      </c>
      <c r="P544" s="1" t="s">
        <v>2656</v>
      </c>
      <c r="Q544" s="1" t="s">
        <v>27</v>
      </c>
      <c r="R544" s="1" t="s">
        <v>26</v>
      </c>
      <c r="S544" s="1" t="s">
        <v>2655</v>
      </c>
      <c r="T544" s="1" t="s">
        <v>2654</v>
      </c>
      <c r="U544" s="1">
        <v>2</v>
      </c>
      <c r="V544" s="1" t="s">
        <v>2439</v>
      </c>
      <c r="W544" s="1" t="s">
        <v>2991</v>
      </c>
      <c r="X544" s="1" t="s">
        <v>319</v>
      </c>
      <c r="Y544" s="3">
        <v>44557</v>
      </c>
      <c r="Z544" s="1">
        <v>2021</v>
      </c>
      <c r="AA544" s="2">
        <v>79800</v>
      </c>
      <c r="AB544" s="2"/>
      <c r="AC544" s="2">
        <v>11970</v>
      </c>
      <c r="AD544" s="1">
        <v>0</v>
      </c>
      <c r="AG544" s="1" t="s">
        <v>106</v>
      </c>
      <c r="AH544" s="1" t="s">
        <v>310</v>
      </c>
      <c r="AI544" s="2">
        <v>0</v>
      </c>
      <c r="AK544" s="1"/>
    </row>
    <row r="545" spans="1:35" s="1" customFormat="1" ht="15" customHeight="1" x14ac:dyDescent="0.2">
      <c r="A545" s="1" t="s">
        <v>19</v>
      </c>
      <c r="B545" s="5" t="s">
        <v>18</v>
      </c>
      <c r="C545" s="1" t="s">
        <v>37</v>
      </c>
      <c r="D545" s="1" t="s">
        <v>211</v>
      </c>
      <c r="E545" s="1" t="s">
        <v>35</v>
      </c>
      <c r="F545" s="1" t="s">
        <v>260</v>
      </c>
      <c r="G545" s="1" t="s">
        <v>259</v>
      </c>
      <c r="H545" s="1" t="s">
        <v>130</v>
      </c>
      <c r="I545" s="1" t="s">
        <v>2990</v>
      </c>
      <c r="J545" s="1">
        <v>2021</v>
      </c>
      <c r="K545" s="1" t="s">
        <v>2989</v>
      </c>
      <c r="L545" s="1" t="s">
        <v>2988</v>
      </c>
      <c r="P545" s="1" t="s">
        <v>2987</v>
      </c>
      <c r="Q545" s="1" t="s">
        <v>27</v>
      </c>
      <c r="R545" s="1" t="s">
        <v>26</v>
      </c>
      <c r="S545" s="1" t="s">
        <v>2624</v>
      </c>
      <c r="T545" s="1" t="s">
        <v>2623</v>
      </c>
      <c r="U545" s="1">
        <v>2</v>
      </c>
      <c r="V545" s="1" t="s">
        <v>2439</v>
      </c>
      <c r="W545" s="1" t="s">
        <v>2986</v>
      </c>
      <c r="X545" s="1" t="s">
        <v>298</v>
      </c>
      <c r="Y545" s="3">
        <v>44557</v>
      </c>
      <c r="Z545" s="1">
        <v>2021</v>
      </c>
      <c r="AA545" s="2">
        <v>100500</v>
      </c>
      <c r="AB545" s="2"/>
      <c r="AC545" s="2">
        <v>15000</v>
      </c>
      <c r="AD545" s="1">
        <v>0</v>
      </c>
      <c r="AG545" s="1" t="s">
        <v>21</v>
      </c>
      <c r="AI545" s="2">
        <v>15000</v>
      </c>
    </row>
    <row r="546" spans="1:35" s="1" customFormat="1" ht="15" customHeight="1" x14ac:dyDescent="0.2">
      <c r="A546" s="1" t="s">
        <v>19</v>
      </c>
      <c r="B546" s="5" t="s">
        <v>109</v>
      </c>
      <c r="C546" s="1" t="s">
        <v>37</v>
      </c>
      <c r="D546" s="1" t="s">
        <v>211</v>
      </c>
      <c r="E546" s="1" t="s">
        <v>35</v>
      </c>
      <c r="F546" s="1" t="s">
        <v>260</v>
      </c>
      <c r="G546" s="1" t="s">
        <v>259</v>
      </c>
      <c r="H546" s="1" t="s">
        <v>130</v>
      </c>
      <c r="I546" s="1" t="s">
        <v>2985</v>
      </c>
      <c r="J546" s="1">
        <v>2021</v>
      </c>
      <c r="K546" s="1" t="s">
        <v>2984</v>
      </c>
      <c r="P546" s="1" t="s">
        <v>2983</v>
      </c>
      <c r="Q546" s="1" t="s">
        <v>27</v>
      </c>
      <c r="R546" s="1" t="s">
        <v>26</v>
      </c>
      <c r="S546" s="1" t="s">
        <v>2456</v>
      </c>
      <c r="T546" s="1" t="s">
        <v>2455</v>
      </c>
      <c r="U546" s="1">
        <v>1</v>
      </c>
      <c r="V546" s="1" t="s">
        <v>2439</v>
      </c>
      <c r="W546" s="1" t="s">
        <v>2982</v>
      </c>
      <c r="X546" s="1" t="s">
        <v>298</v>
      </c>
      <c r="Y546" s="3">
        <v>44557</v>
      </c>
      <c r="Z546" s="1">
        <v>2021</v>
      </c>
      <c r="AA546" s="2">
        <v>495000</v>
      </c>
      <c r="AB546" s="2"/>
      <c r="AC546" s="2">
        <v>90000</v>
      </c>
      <c r="AD546" s="1">
        <v>0</v>
      </c>
      <c r="AG546" s="1" t="s">
        <v>106</v>
      </c>
      <c r="AH546" s="1" t="s">
        <v>105</v>
      </c>
      <c r="AI546" s="2">
        <v>0</v>
      </c>
    </row>
    <row r="547" spans="1:35" s="1" customFormat="1" ht="15" customHeight="1" x14ac:dyDescent="0.25">
      <c r="A547" s="1" t="s">
        <v>19</v>
      </c>
      <c r="B547" s="14" t="s">
        <v>18</v>
      </c>
      <c r="C547" s="12" t="s">
        <v>37</v>
      </c>
      <c r="D547" s="1" t="s">
        <v>63</v>
      </c>
      <c r="E547" s="1" t="s">
        <v>35</v>
      </c>
      <c r="F547" s="1" t="s">
        <v>2380</v>
      </c>
      <c r="G547" s="1" t="s">
        <v>288</v>
      </c>
      <c r="H547" s="1" t="s">
        <v>32</v>
      </c>
      <c r="I547" s="12" t="s">
        <v>2981</v>
      </c>
      <c r="J547" s="1">
        <v>2022</v>
      </c>
      <c r="K547" s="1" t="s">
        <v>2980</v>
      </c>
      <c r="L547" s="1" t="s">
        <v>2978</v>
      </c>
      <c r="M547" s="1" t="s">
        <v>0</v>
      </c>
      <c r="P547" s="1" t="s">
        <v>2979</v>
      </c>
      <c r="Q547" s="1" t="s">
        <v>27</v>
      </c>
      <c r="R547" s="1" t="s">
        <v>26</v>
      </c>
      <c r="S547" s="20" t="s">
        <v>2655</v>
      </c>
      <c r="T547" s="12" t="s">
        <v>2654</v>
      </c>
      <c r="U547" s="1">
        <v>2</v>
      </c>
      <c r="V547" s="12" t="s">
        <v>2439</v>
      </c>
      <c r="W547" s="12" t="s">
        <v>2978</v>
      </c>
      <c r="X547" s="12"/>
      <c r="Y547" s="13"/>
      <c r="Z547" s="12">
        <v>2025</v>
      </c>
      <c r="AA547" s="11">
        <v>375710.43</v>
      </c>
      <c r="AB547" s="11"/>
      <c r="AC547" s="11">
        <v>375710.43</v>
      </c>
      <c r="AD547" s="2"/>
      <c r="AG547" s="1" t="s">
        <v>21</v>
      </c>
      <c r="AI547" s="11">
        <v>375710.43</v>
      </c>
    </row>
    <row r="548" spans="1:35" s="1" customFormat="1" ht="15" customHeight="1" x14ac:dyDescent="0.2">
      <c r="A548" s="1" t="s">
        <v>19</v>
      </c>
      <c r="B548" s="5" t="s">
        <v>18</v>
      </c>
      <c r="C548" s="1" t="s">
        <v>37</v>
      </c>
      <c r="D548" s="1" t="s">
        <v>63</v>
      </c>
      <c r="E548" s="1" t="s">
        <v>35</v>
      </c>
      <c r="G548" s="1" t="s">
        <v>288</v>
      </c>
      <c r="H548" s="1" t="s">
        <v>32</v>
      </c>
      <c r="I548" s="1" t="s">
        <v>2977</v>
      </c>
      <c r="J548" s="1">
        <v>2022</v>
      </c>
      <c r="K548" s="1" t="s">
        <v>2976</v>
      </c>
      <c r="L548" s="1" t="s">
        <v>2975</v>
      </c>
      <c r="P548" s="1" t="s">
        <v>2974</v>
      </c>
      <c r="Q548" s="1" t="s">
        <v>27</v>
      </c>
      <c r="R548" s="1" t="s">
        <v>26</v>
      </c>
      <c r="S548" s="1" t="s">
        <v>2973</v>
      </c>
      <c r="T548" s="1" t="s">
        <v>2972</v>
      </c>
      <c r="U548" s="1">
        <v>2</v>
      </c>
      <c r="V548" s="1" t="s">
        <v>2439</v>
      </c>
      <c r="W548" s="1" t="s">
        <v>2971</v>
      </c>
      <c r="Y548" s="3">
        <v>45112</v>
      </c>
      <c r="Z548" s="1">
        <v>2023</v>
      </c>
      <c r="AA548" s="2">
        <v>262335.38</v>
      </c>
      <c r="AB548" s="2"/>
      <c r="AC548" s="2">
        <v>262335.38</v>
      </c>
      <c r="AG548" s="1" t="s">
        <v>21</v>
      </c>
      <c r="AI548" s="2">
        <v>262335.38</v>
      </c>
    </row>
    <row r="549" spans="1:35" s="1" customFormat="1" ht="15" customHeight="1" x14ac:dyDescent="0.2">
      <c r="A549" s="1" t="s">
        <v>19</v>
      </c>
      <c r="B549" s="5" t="s">
        <v>18</v>
      </c>
      <c r="C549" s="1" t="s">
        <v>37</v>
      </c>
      <c r="D549" s="1" t="s">
        <v>63</v>
      </c>
      <c r="E549" s="1" t="s">
        <v>35</v>
      </c>
      <c r="G549" s="1" t="s">
        <v>288</v>
      </c>
      <c r="H549" s="1" t="s">
        <v>32</v>
      </c>
      <c r="I549" s="1" t="s">
        <v>2970</v>
      </c>
      <c r="J549" s="1">
        <v>2022</v>
      </c>
      <c r="K549" s="1" t="s">
        <v>2969</v>
      </c>
      <c r="L549" s="1" t="s">
        <v>2968</v>
      </c>
      <c r="M549" s="1" t="s">
        <v>2967</v>
      </c>
      <c r="P549" s="1" t="s">
        <v>2491</v>
      </c>
      <c r="Q549" s="1" t="s">
        <v>27</v>
      </c>
      <c r="R549" s="1" t="s">
        <v>26</v>
      </c>
      <c r="S549" s="1" t="s">
        <v>2490</v>
      </c>
      <c r="T549" s="1" t="s">
        <v>2489</v>
      </c>
      <c r="U549" s="1">
        <v>1</v>
      </c>
      <c r="V549" s="1" t="s">
        <v>2439</v>
      </c>
      <c r="W549" s="1" t="s">
        <v>2966</v>
      </c>
      <c r="Y549" s="3">
        <v>45112</v>
      </c>
      <c r="Z549" s="1">
        <v>2023</v>
      </c>
      <c r="AA549" s="2">
        <v>1499832.96</v>
      </c>
      <c r="AB549" s="2"/>
      <c r="AC549" s="2">
        <v>1499832.96</v>
      </c>
      <c r="AG549" s="1" t="s">
        <v>21</v>
      </c>
      <c r="AI549" s="2">
        <v>1499832.96</v>
      </c>
    </row>
    <row r="550" spans="1:35" s="1" customFormat="1" ht="15" customHeight="1" x14ac:dyDescent="0.2">
      <c r="A550" s="1" t="s">
        <v>19</v>
      </c>
      <c r="B550" s="5" t="s">
        <v>18</v>
      </c>
      <c r="C550" s="1" t="s">
        <v>37</v>
      </c>
      <c r="D550" s="1" t="s">
        <v>63</v>
      </c>
      <c r="E550" s="1" t="s">
        <v>35</v>
      </c>
      <c r="G550" s="1" t="s">
        <v>288</v>
      </c>
      <c r="H550" s="1" t="s">
        <v>32</v>
      </c>
      <c r="I550" s="1" t="s">
        <v>2965</v>
      </c>
      <c r="J550" s="1">
        <v>2022</v>
      </c>
      <c r="K550" s="1" t="s">
        <v>2964</v>
      </c>
      <c r="L550" s="1" t="s">
        <v>2963</v>
      </c>
      <c r="P550" s="1" t="s">
        <v>2491</v>
      </c>
      <c r="Q550" s="1" t="s">
        <v>27</v>
      </c>
      <c r="R550" s="1" t="s">
        <v>26</v>
      </c>
      <c r="S550" s="1" t="s">
        <v>2490</v>
      </c>
      <c r="T550" s="1" t="s">
        <v>2489</v>
      </c>
      <c r="U550" s="1">
        <v>1</v>
      </c>
      <c r="V550" s="1" t="s">
        <v>2439</v>
      </c>
      <c r="W550" s="1" t="s">
        <v>2962</v>
      </c>
      <c r="Y550" s="3">
        <v>45112</v>
      </c>
      <c r="Z550" s="1">
        <v>2023</v>
      </c>
      <c r="AA550" s="2">
        <v>499990.16</v>
      </c>
      <c r="AB550" s="2"/>
      <c r="AC550" s="2">
        <v>499990.16</v>
      </c>
      <c r="AG550" s="1" t="s">
        <v>21</v>
      </c>
      <c r="AI550" s="2">
        <v>499990.16</v>
      </c>
    </row>
    <row r="551" spans="1:35" s="1" customFormat="1" ht="15" customHeight="1" x14ac:dyDescent="0.2">
      <c r="A551" s="1" t="s">
        <v>19</v>
      </c>
      <c r="B551" s="5" t="s">
        <v>18</v>
      </c>
      <c r="C551" s="1" t="s">
        <v>37</v>
      </c>
      <c r="D551" s="1" t="s">
        <v>63</v>
      </c>
      <c r="E551" s="1" t="s">
        <v>35</v>
      </c>
      <c r="G551" s="1" t="s">
        <v>288</v>
      </c>
      <c r="H551" s="1" t="s">
        <v>32</v>
      </c>
      <c r="I551" s="1" t="s">
        <v>2961</v>
      </c>
      <c r="J551" s="1">
        <v>2022</v>
      </c>
      <c r="K551" s="1" t="s">
        <v>2960</v>
      </c>
      <c r="L551" s="1" t="s">
        <v>2959</v>
      </c>
      <c r="P551" s="1" t="s">
        <v>2483</v>
      </c>
      <c r="Q551" s="1" t="s">
        <v>27</v>
      </c>
      <c r="R551" s="1" t="s">
        <v>26</v>
      </c>
      <c r="S551" s="1" t="s">
        <v>2448</v>
      </c>
      <c r="T551" s="1" t="s">
        <v>2447</v>
      </c>
      <c r="U551" s="1">
        <v>1</v>
      </c>
      <c r="V551" s="1" t="s">
        <v>2439</v>
      </c>
      <c r="W551" s="1" t="s">
        <v>2958</v>
      </c>
      <c r="Y551" s="3">
        <v>45112</v>
      </c>
      <c r="Z551" s="1">
        <v>2023</v>
      </c>
      <c r="AA551" s="2">
        <v>492744.63</v>
      </c>
      <c r="AB551" s="2"/>
      <c r="AC551" s="2">
        <v>492744.63</v>
      </c>
      <c r="AG551" s="1" t="s">
        <v>21</v>
      </c>
      <c r="AI551" s="2">
        <v>492744.63</v>
      </c>
    </row>
    <row r="552" spans="1:35" s="1" customFormat="1" ht="15" customHeight="1" x14ac:dyDescent="0.2">
      <c r="A552" s="1" t="s">
        <v>19</v>
      </c>
      <c r="B552" s="5" t="s">
        <v>18</v>
      </c>
      <c r="C552" s="1" t="s">
        <v>37</v>
      </c>
      <c r="D552" s="1" t="s">
        <v>63</v>
      </c>
      <c r="E552" s="1" t="s">
        <v>35</v>
      </c>
      <c r="G552" s="1" t="s">
        <v>288</v>
      </c>
      <c r="H552" s="1" t="s">
        <v>32</v>
      </c>
      <c r="I552" s="1" t="s">
        <v>2957</v>
      </c>
      <c r="J552" s="1">
        <v>2022</v>
      </c>
      <c r="K552" s="1" t="s">
        <v>2956</v>
      </c>
      <c r="L552" s="1" t="s">
        <v>2955</v>
      </c>
      <c r="P552" s="1" t="s">
        <v>2591</v>
      </c>
      <c r="Q552" s="1" t="s">
        <v>27</v>
      </c>
      <c r="R552" s="1" t="s">
        <v>26</v>
      </c>
      <c r="S552" s="1" t="s">
        <v>2590</v>
      </c>
      <c r="T552" s="1" t="s">
        <v>2589</v>
      </c>
      <c r="U552" s="1">
        <v>1</v>
      </c>
      <c r="V552" s="1" t="s">
        <v>2439</v>
      </c>
      <c r="W552" s="1" t="s">
        <v>2954</v>
      </c>
      <c r="Y552" s="3">
        <v>45112</v>
      </c>
      <c r="Z552" s="1">
        <v>2023</v>
      </c>
      <c r="AA552" s="2">
        <v>498986.03</v>
      </c>
      <c r="AB552" s="2"/>
      <c r="AC552" s="2">
        <v>498986.03</v>
      </c>
      <c r="AG552" s="1" t="s">
        <v>21</v>
      </c>
      <c r="AI552" s="2">
        <v>498986.03</v>
      </c>
    </row>
    <row r="553" spans="1:35" s="1" customFormat="1" ht="15" customHeight="1" x14ac:dyDescent="0.2">
      <c r="A553" s="1" t="s">
        <v>19</v>
      </c>
      <c r="B553" s="5" t="s">
        <v>18</v>
      </c>
      <c r="C553" s="1" t="s">
        <v>37</v>
      </c>
      <c r="D553" s="1" t="s">
        <v>63</v>
      </c>
      <c r="E553" s="1" t="s">
        <v>35</v>
      </c>
      <c r="G553" s="1" t="s">
        <v>288</v>
      </c>
      <c r="H553" s="1" t="s">
        <v>32</v>
      </c>
      <c r="I553" s="1" t="s">
        <v>2953</v>
      </c>
      <c r="J553" s="1">
        <v>2022</v>
      </c>
      <c r="K553" s="1" t="s">
        <v>2952</v>
      </c>
      <c r="L553" s="1" t="s">
        <v>2951</v>
      </c>
      <c r="P553" s="1" t="s">
        <v>2591</v>
      </c>
      <c r="Q553" s="1" t="s">
        <v>27</v>
      </c>
      <c r="R553" s="1" t="s">
        <v>26</v>
      </c>
      <c r="S553" s="1" t="s">
        <v>2590</v>
      </c>
      <c r="T553" s="1" t="s">
        <v>2589</v>
      </c>
      <c r="U553" s="1">
        <v>1</v>
      </c>
      <c r="V553" s="1" t="s">
        <v>2439</v>
      </c>
      <c r="W553" s="1" t="s">
        <v>2950</v>
      </c>
      <c r="Y553" s="3">
        <v>45112</v>
      </c>
      <c r="Z553" s="1">
        <v>2023</v>
      </c>
      <c r="AA553" s="2">
        <v>1498631.85</v>
      </c>
      <c r="AB553" s="2"/>
      <c r="AC553" s="2">
        <v>1498631.85</v>
      </c>
      <c r="AG553" s="1" t="s">
        <v>21</v>
      </c>
      <c r="AI553" s="2">
        <v>1498631.85</v>
      </c>
    </row>
    <row r="554" spans="1:35" s="1" customFormat="1" ht="15" customHeight="1" x14ac:dyDescent="0.2">
      <c r="A554" s="1" t="s">
        <v>19</v>
      </c>
      <c r="B554" s="5" t="s">
        <v>18</v>
      </c>
      <c r="C554" s="1" t="s">
        <v>37</v>
      </c>
      <c r="D554" s="1" t="s">
        <v>63</v>
      </c>
      <c r="E554" s="1" t="s">
        <v>35</v>
      </c>
      <c r="G554" s="1" t="s">
        <v>288</v>
      </c>
      <c r="H554" s="1" t="s">
        <v>32</v>
      </c>
      <c r="I554" s="1" t="s">
        <v>2949</v>
      </c>
      <c r="J554" s="1">
        <v>2022</v>
      </c>
      <c r="K554" s="1" t="s">
        <v>2948</v>
      </c>
      <c r="L554" s="1" t="s">
        <v>2947</v>
      </c>
      <c r="P554" s="1" t="s">
        <v>2469</v>
      </c>
      <c r="Q554" s="1" t="s">
        <v>27</v>
      </c>
      <c r="R554" s="1" t="s">
        <v>26</v>
      </c>
      <c r="S554" s="1" t="s">
        <v>2456</v>
      </c>
      <c r="T554" s="1" t="s">
        <v>2455</v>
      </c>
      <c r="U554" s="1">
        <v>1</v>
      </c>
      <c r="V554" s="1" t="s">
        <v>2439</v>
      </c>
      <c r="W554" s="1" t="s">
        <v>2946</v>
      </c>
      <c r="Y554" s="3">
        <v>45112</v>
      </c>
      <c r="Z554" s="1">
        <v>2023</v>
      </c>
      <c r="AA554" s="2">
        <v>440109.33</v>
      </c>
      <c r="AB554" s="2"/>
      <c r="AC554" s="2">
        <v>440109.33</v>
      </c>
      <c r="AG554" s="1" t="s">
        <v>21</v>
      </c>
      <c r="AI554" s="2">
        <v>440109.33</v>
      </c>
    </row>
    <row r="555" spans="1:35" s="1" customFormat="1" ht="15" customHeight="1" x14ac:dyDescent="0.25">
      <c r="A555" s="1" t="s">
        <v>19</v>
      </c>
      <c r="B555" s="14" t="s">
        <v>18</v>
      </c>
      <c r="C555" s="12" t="s">
        <v>37</v>
      </c>
      <c r="D555" s="1" t="s">
        <v>63</v>
      </c>
      <c r="E555" s="1" t="s">
        <v>35</v>
      </c>
      <c r="F555" s="1" t="s">
        <v>2380</v>
      </c>
      <c r="G555" s="1" t="s">
        <v>288</v>
      </c>
      <c r="H555" s="1" t="s">
        <v>32</v>
      </c>
      <c r="I555" s="12" t="s">
        <v>2945</v>
      </c>
      <c r="J555" s="1">
        <v>2022</v>
      </c>
      <c r="K555" s="1" t="s">
        <v>2944</v>
      </c>
      <c r="L555" s="1" t="s">
        <v>2943</v>
      </c>
      <c r="M555" s="1" t="s">
        <v>0</v>
      </c>
      <c r="P555" s="1" t="s">
        <v>2942</v>
      </c>
      <c r="Q555" s="1" t="s">
        <v>27</v>
      </c>
      <c r="R555" s="1" t="s">
        <v>26</v>
      </c>
      <c r="S555" s="45" t="s">
        <v>2666</v>
      </c>
      <c r="T555" s="12" t="s">
        <v>2665</v>
      </c>
      <c r="U555" s="1">
        <v>2</v>
      </c>
      <c r="V555" s="12" t="s">
        <v>2439</v>
      </c>
      <c r="W555" s="12" t="s">
        <v>2941</v>
      </c>
      <c r="X555" s="12"/>
      <c r="Y555" s="13"/>
      <c r="Z555" s="12">
        <v>2025</v>
      </c>
      <c r="AA555" s="11">
        <v>1026759.82</v>
      </c>
      <c r="AB555" s="11"/>
      <c r="AC555" s="11">
        <v>1026759.82</v>
      </c>
      <c r="AD555" s="2"/>
      <c r="AG555" s="1" t="s">
        <v>21</v>
      </c>
      <c r="AI555" s="11">
        <v>1026759.82</v>
      </c>
    </row>
    <row r="556" spans="1:35" s="1" customFormat="1" ht="15" customHeight="1" x14ac:dyDescent="0.2">
      <c r="A556" s="1" t="s">
        <v>19</v>
      </c>
      <c r="B556" s="5" t="s">
        <v>18</v>
      </c>
      <c r="C556" s="1" t="s">
        <v>37</v>
      </c>
      <c r="D556" s="1" t="s">
        <v>63</v>
      </c>
      <c r="E556" s="1" t="s">
        <v>35</v>
      </c>
      <c r="G556" s="1" t="s">
        <v>288</v>
      </c>
      <c r="H556" s="1" t="s">
        <v>32</v>
      </c>
      <c r="I556" s="1" t="s">
        <v>2940</v>
      </c>
      <c r="J556" s="1">
        <v>2022</v>
      </c>
      <c r="K556" s="1" t="s">
        <v>2939</v>
      </c>
      <c r="L556" s="1" t="s">
        <v>2938</v>
      </c>
      <c r="P556" s="1" t="s">
        <v>2464</v>
      </c>
      <c r="Q556" s="1" t="s">
        <v>27</v>
      </c>
      <c r="R556" s="1" t="s">
        <v>26</v>
      </c>
      <c r="S556" s="1" t="s">
        <v>2463</v>
      </c>
      <c r="T556" s="1" t="s">
        <v>2462</v>
      </c>
      <c r="U556" s="1">
        <v>1</v>
      </c>
      <c r="V556" s="1" t="s">
        <v>2439</v>
      </c>
      <c r="W556" s="1" t="s">
        <v>2937</v>
      </c>
      <c r="Y556" s="3">
        <v>45112</v>
      </c>
      <c r="Z556" s="1">
        <v>2023</v>
      </c>
      <c r="AA556" s="2">
        <v>500000</v>
      </c>
      <c r="AB556" s="2"/>
      <c r="AC556" s="2">
        <v>500000</v>
      </c>
      <c r="AG556" s="1" t="s">
        <v>21</v>
      </c>
      <c r="AI556" s="2">
        <v>500000</v>
      </c>
    </row>
    <row r="557" spans="1:35" s="1" customFormat="1" ht="15" customHeight="1" x14ac:dyDescent="0.2">
      <c r="A557" s="1" t="s">
        <v>19</v>
      </c>
      <c r="B557" s="5" t="s">
        <v>18</v>
      </c>
      <c r="C557" s="1" t="s">
        <v>37</v>
      </c>
      <c r="D557" s="1" t="s">
        <v>63</v>
      </c>
      <c r="E557" s="1" t="s">
        <v>35</v>
      </c>
      <c r="G557" s="1" t="s">
        <v>288</v>
      </c>
      <c r="H557" s="1" t="s">
        <v>32</v>
      </c>
      <c r="I557" s="1" t="s">
        <v>2936</v>
      </c>
      <c r="J557" s="1">
        <v>2022</v>
      </c>
      <c r="K557" s="1" t="s">
        <v>2935</v>
      </c>
      <c r="L557" s="1" t="s">
        <v>2934</v>
      </c>
      <c r="P557" s="1" t="s">
        <v>2929</v>
      </c>
      <c r="Q557" s="1" t="s">
        <v>27</v>
      </c>
      <c r="R557" s="1" t="s">
        <v>26</v>
      </c>
      <c r="S557" s="1" t="s">
        <v>2649</v>
      </c>
      <c r="T557" s="1" t="s">
        <v>2648</v>
      </c>
      <c r="U557" s="1">
        <v>2</v>
      </c>
      <c r="V557" s="1" t="s">
        <v>2439</v>
      </c>
      <c r="W557" s="1" t="s">
        <v>2933</v>
      </c>
      <c r="Y557" s="3">
        <v>45112</v>
      </c>
      <c r="Z557" s="1">
        <v>2023</v>
      </c>
      <c r="AA557" s="2">
        <v>498668.89</v>
      </c>
      <c r="AB557" s="2"/>
      <c r="AC557" s="2">
        <v>498668.89</v>
      </c>
      <c r="AG557" s="1" t="s">
        <v>21</v>
      </c>
      <c r="AI557" s="2">
        <v>498668.89</v>
      </c>
    </row>
    <row r="558" spans="1:35" s="1" customFormat="1" ht="15" customHeight="1" x14ac:dyDescent="0.2">
      <c r="A558" s="1" t="s">
        <v>19</v>
      </c>
      <c r="B558" s="5" t="s">
        <v>18</v>
      </c>
      <c r="C558" s="1" t="s">
        <v>37</v>
      </c>
      <c r="D558" s="1" t="s">
        <v>63</v>
      </c>
      <c r="E558" s="1" t="s">
        <v>35</v>
      </c>
      <c r="G558" s="1" t="s">
        <v>288</v>
      </c>
      <c r="H558" s="1" t="s">
        <v>32</v>
      </c>
      <c r="I558" s="1" t="s">
        <v>2932</v>
      </c>
      <c r="J558" s="1">
        <v>2022</v>
      </c>
      <c r="K558" s="1" t="s">
        <v>2931</v>
      </c>
      <c r="L558" s="1" t="s">
        <v>2930</v>
      </c>
      <c r="P558" s="1" t="s">
        <v>2929</v>
      </c>
      <c r="Q558" s="1" t="s">
        <v>27</v>
      </c>
      <c r="R558" s="1" t="s">
        <v>26</v>
      </c>
      <c r="S558" s="1" t="s">
        <v>2649</v>
      </c>
      <c r="T558" s="1" t="s">
        <v>2648</v>
      </c>
      <c r="U558" s="1">
        <v>2</v>
      </c>
      <c r="V558" s="1" t="s">
        <v>2439</v>
      </c>
      <c r="W558" s="1" t="s">
        <v>2928</v>
      </c>
      <c r="Y558" s="3">
        <v>45112</v>
      </c>
      <c r="Z558" s="1">
        <v>2023</v>
      </c>
      <c r="AA558" s="2">
        <v>1289185.69</v>
      </c>
      <c r="AB558" s="2"/>
      <c r="AC558" s="2">
        <v>1289185.69</v>
      </c>
      <c r="AG558" s="1" t="s">
        <v>21</v>
      </c>
      <c r="AI558" s="2">
        <v>1289185.69</v>
      </c>
    </row>
    <row r="559" spans="1:35" s="1" customFormat="1" ht="15" customHeight="1" x14ac:dyDescent="0.2">
      <c r="A559" s="1" t="s">
        <v>19</v>
      </c>
      <c r="B559" s="5" t="s">
        <v>18</v>
      </c>
      <c r="C559" s="1" t="s">
        <v>37</v>
      </c>
      <c r="D559" s="1" t="s">
        <v>211</v>
      </c>
      <c r="E559" s="1" t="s">
        <v>35</v>
      </c>
      <c r="F559" s="1" t="s">
        <v>637</v>
      </c>
      <c r="G559" s="1" t="s">
        <v>636</v>
      </c>
      <c r="H559" s="1" t="s">
        <v>258</v>
      </c>
      <c r="I559" s="1" t="s">
        <v>2927</v>
      </c>
      <c r="J559" s="1">
        <v>2023</v>
      </c>
      <c r="K559" s="1" t="s">
        <v>2926</v>
      </c>
      <c r="L559" s="1" t="s">
        <v>2926</v>
      </c>
      <c r="M559" s="1" t="s">
        <v>2925</v>
      </c>
      <c r="P559" s="1" t="s">
        <v>2924</v>
      </c>
      <c r="Q559" s="1" t="s">
        <v>27</v>
      </c>
      <c r="R559" s="1" t="s">
        <v>26</v>
      </c>
      <c r="S559" s="1" t="s">
        <v>2624</v>
      </c>
      <c r="T559" s="1" t="s">
        <v>2623</v>
      </c>
      <c r="U559" s="1">
        <v>2</v>
      </c>
      <c r="V559" s="1" t="s">
        <v>2439</v>
      </c>
      <c r="W559" s="1" t="s">
        <v>2923</v>
      </c>
      <c r="Y559" s="3">
        <v>45802</v>
      </c>
      <c r="Z559" s="1">
        <v>2025</v>
      </c>
      <c r="AA559" s="2">
        <v>778054</v>
      </c>
      <c r="AB559" s="2"/>
      <c r="AC559" s="2">
        <v>136159.45000000001</v>
      </c>
      <c r="AD559" s="18">
        <v>3</v>
      </c>
      <c r="AE559" s="1">
        <v>0</v>
      </c>
      <c r="AG559" s="1" t="s">
        <v>21</v>
      </c>
      <c r="AI559" s="2">
        <v>136159.45000000001</v>
      </c>
    </row>
    <row r="560" spans="1:35" s="1" customFormat="1" ht="15" customHeight="1" x14ac:dyDescent="0.2">
      <c r="A560" s="1" t="s">
        <v>19</v>
      </c>
      <c r="B560" s="5" t="s">
        <v>18</v>
      </c>
      <c r="C560" s="1" t="s">
        <v>37</v>
      </c>
      <c r="D560" s="1" t="s">
        <v>211</v>
      </c>
      <c r="E560" s="1" t="s">
        <v>35</v>
      </c>
      <c r="F560" s="1" t="s">
        <v>637</v>
      </c>
      <c r="G560" s="1" t="s">
        <v>636</v>
      </c>
      <c r="H560" s="1" t="s">
        <v>258</v>
      </c>
      <c r="I560" s="1" t="s">
        <v>2922</v>
      </c>
      <c r="J560" s="1">
        <v>2023</v>
      </c>
      <c r="K560" s="1" t="s">
        <v>2921</v>
      </c>
      <c r="L560" s="1" t="s">
        <v>2921</v>
      </c>
      <c r="M560" s="1" t="s">
        <v>0</v>
      </c>
      <c r="P560" s="1" t="s">
        <v>2920</v>
      </c>
      <c r="Q560" s="1" t="s">
        <v>27</v>
      </c>
      <c r="R560" s="1" t="s">
        <v>26</v>
      </c>
      <c r="S560" s="1" t="s">
        <v>2624</v>
      </c>
      <c r="T560" s="1" t="s">
        <v>2623</v>
      </c>
      <c r="U560" s="1">
        <v>2</v>
      </c>
      <c r="V560" s="1" t="s">
        <v>2439</v>
      </c>
      <c r="W560" s="1" t="s">
        <v>2919</v>
      </c>
      <c r="Y560" s="3">
        <v>45802</v>
      </c>
      <c r="Z560" s="1">
        <v>2025</v>
      </c>
      <c r="AA560" s="2">
        <v>731443.96</v>
      </c>
      <c r="AB560" s="2"/>
      <c r="AC560" s="2">
        <v>128002.69</v>
      </c>
      <c r="AD560" s="18">
        <v>3</v>
      </c>
      <c r="AE560" s="1">
        <v>0</v>
      </c>
      <c r="AG560" s="1" t="s">
        <v>21</v>
      </c>
      <c r="AI560" s="2">
        <v>128002.69</v>
      </c>
    </row>
    <row r="561" spans="1:35" s="1" customFormat="1" ht="15" customHeight="1" x14ac:dyDescent="0.2">
      <c r="A561" s="1" t="s">
        <v>19</v>
      </c>
      <c r="B561" s="5" t="s">
        <v>18</v>
      </c>
      <c r="C561" s="1" t="s">
        <v>37</v>
      </c>
      <c r="D561" s="1" t="s">
        <v>211</v>
      </c>
      <c r="E561" s="1" t="s">
        <v>35</v>
      </c>
      <c r="F561" s="1" t="s">
        <v>637</v>
      </c>
      <c r="G561" s="1" t="s">
        <v>636</v>
      </c>
      <c r="H561" s="1" t="s">
        <v>258</v>
      </c>
      <c r="I561" s="1" t="s">
        <v>2918</v>
      </c>
      <c r="J561" s="1">
        <v>2023</v>
      </c>
      <c r="K561" s="1" t="s">
        <v>2917</v>
      </c>
      <c r="L561" s="1" t="s">
        <v>2917</v>
      </c>
      <c r="M561" s="1" t="s">
        <v>2916</v>
      </c>
      <c r="P561" s="1" t="s">
        <v>2915</v>
      </c>
      <c r="Q561" s="1" t="s">
        <v>27</v>
      </c>
      <c r="R561" s="1" t="s">
        <v>26</v>
      </c>
      <c r="S561" s="1" t="s">
        <v>2666</v>
      </c>
      <c r="T561" s="1" t="s">
        <v>2665</v>
      </c>
      <c r="U561" s="1">
        <v>2</v>
      </c>
      <c r="V561" s="1" t="s">
        <v>2439</v>
      </c>
      <c r="W561" s="1" t="s">
        <v>2914</v>
      </c>
      <c r="Y561" s="3">
        <v>45802</v>
      </c>
      <c r="Z561" s="1">
        <v>2025</v>
      </c>
      <c r="AA561" s="2">
        <v>1447460.63</v>
      </c>
      <c r="AB561" s="2"/>
      <c r="AC561" s="2">
        <v>180932.58</v>
      </c>
      <c r="AD561" s="18">
        <v>7</v>
      </c>
      <c r="AE561" s="1">
        <v>4</v>
      </c>
      <c r="AG561" s="1" t="s">
        <v>21</v>
      </c>
      <c r="AI561" s="2">
        <v>180932.58</v>
      </c>
    </row>
    <row r="562" spans="1:35" s="1" customFormat="1" ht="15" customHeight="1" x14ac:dyDescent="0.2">
      <c r="A562" s="1" t="s">
        <v>19</v>
      </c>
      <c r="B562" s="5" t="s">
        <v>18</v>
      </c>
      <c r="C562" s="1" t="s">
        <v>37</v>
      </c>
      <c r="D562" s="1" t="s">
        <v>211</v>
      </c>
      <c r="E562" s="1" t="s">
        <v>35</v>
      </c>
      <c r="F562" s="1" t="s">
        <v>637</v>
      </c>
      <c r="G562" s="1" t="s">
        <v>636</v>
      </c>
      <c r="H562" s="1" t="s">
        <v>258</v>
      </c>
      <c r="I562" s="1" t="s">
        <v>2913</v>
      </c>
      <c r="J562" s="1">
        <v>2023</v>
      </c>
      <c r="K562" s="1" t="s">
        <v>2912</v>
      </c>
      <c r="L562" s="1" t="s">
        <v>2912</v>
      </c>
      <c r="M562" s="1" t="s">
        <v>2911</v>
      </c>
      <c r="P562" s="1" t="s">
        <v>2910</v>
      </c>
      <c r="Q562" s="1" t="s">
        <v>27</v>
      </c>
      <c r="R562" s="1" t="s">
        <v>26</v>
      </c>
      <c r="S562" s="1" t="s">
        <v>2624</v>
      </c>
      <c r="T562" s="1" t="s">
        <v>2623</v>
      </c>
      <c r="U562" s="1">
        <v>2</v>
      </c>
      <c r="V562" s="1" t="s">
        <v>2439</v>
      </c>
      <c r="W562" s="1" t="s">
        <v>2909</v>
      </c>
      <c r="Y562" s="3">
        <v>45802</v>
      </c>
      <c r="Z562" s="1">
        <v>2025</v>
      </c>
      <c r="AA562" s="2">
        <v>1503409.65</v>
      </c>
      <c r="AB562" s="2"/>
      <c r="AC562" s="2">
        <v>150054.60999999999</v>
      </c>
      <c r="AD562" s="18">
        <v>3</v>
      </c>
      <c r="AE562" s="1">
        <v>0</v>
      </c>
      <c r="AG562" s="1" t="s">
        <v>21</v>
      </c>
      <c r="AI562" s="2">
        <v>150054.60999999999</v>
      </c>
    </row>
    <row r="563" spans="1:35" s="1" customFormat="1" ht="15" customHeight="1" x14ac:dyDescent="0.2">
      <c r="A563" s="1" t="s">
        <v>19</v>
      </c>
      <c r="B563" s="5" t="s">
        <v>18</v>
      </c>
      <c r="C563" s="1" t="s">
        <v>37</v>
      </c>
      <c r="D563" s="1" t="s">
        <v>211</v>
      </c>
      <c r="E563" s="1" t="s">
        <v>35</v>
      </c>
      <c r="F563" s="1" t="s">
        <v>637</v>
      </c>
      <c r="G563" s="1" t="s">
        <v>636</v>
      </c>
      <c r="H563" s="1" t="s">
        <v>258</v>
      </c>
      <c r="I563" s="1" t="s">
        <v>2908</v>
      </c>
      <c r="J563" s="1">
        <v>2023</v>
      </c>
      <c r="K563" s="1" t="s">
        <v>2907</v>
      </c>
      <c r="L563" s="1" t="s">
        <v>2907</v>
      </c>
      <c r="M563" s="1" t="s">
        <v>0</v>
      </c>
      <c r="P563" s="1" t="s">
        <v>2906</v>
      </c>
      <c r="Q563" s="1" t="s">
        <v>27</v>
      </c>
      <c r="R563" s="1" t="s">
        <v>26</v>
      </c>
      <c r="S563" s="1" t="s">
        <v>2624</v>
      </c>
      <c r="T563" s="1" t="s">
        <v>2623</v>
      </c>
      <c r="U563" s="1">
        <v>2</v>
      </c>
      <c r="V563" s="1" t="s">
        <v>2439</v>
      </c>
      <c r="W563" s="1" t="s">
        <v>2905</v>
      </c>
      <c r="Y563" s="3">
        <v>45802</v>
      </c>
      <c r="Z563" s="1">
        <v>2025</v>
      </c>
      <c r="AA563" s="2">
        <v>653755.14</v>
      </c>
      <c r="AB563" s="2"/>
      <c r="AC563" s="2">
        <v>81719.39</v>
      </c>
      <c r="AD563" s="18">
        <v>10</v>
      </c>
      <c r="AE563" s="1">
        <v>0</v>
      </c>
      <c r="AG563" s="1" t="s">
        <v>21</v>
      </c>
      <c r="AI563" s="2">
        <v>81719.39</v>
      </c>
    </row>
    <row r="564" spans="1:35" s="1" customFormat="1" ht="15" customHeight="1" x14ac:dyDescent="0.2">
      <c r="A564" s="1" t="s">
        <v>19</v>
      </c>
      <c r="B564" s="5" t="s">
        <v>18</v>
      </c>
      <c r="C564" s="1" t="s">
        <v>37</v>
      </c>
      <c r="D564" s="1" t="s">
        <v>211</v>
      </c>
      <c r="E564" s="1" t="s">
        <v>35</v>
      </c>
      <c r="F564" s="1" t="s">
        <v>637</v>
      </c>
      <c r="G564" s="1" t="s">
        <v>636</v>
      </c>
      <c r="H564" s="1" t="s">
        <v>258</v>
      </c>
      <c r="I564" s="1" t="s">
        <v>2904</v>
      </c>
      <c r="J564" s="1">
        <v>2023</v>
      </c>
      <c r="K564" s="1" t="s">
        <v>2903</v>
      </c>
      <c r="L564" s="1" t="s">
        <v>2903</v>
      </c>
      <c r="M564" s="1" t="s">
        <v>2902</v>
      </c>
      <c r="P564" s="1" t="s">
        <v>2901</v>
      </c>
      <c r="Q564" s="1" t="s">
        <v>27</v>
      </c>
      <c r="R564" s="1" t="s">
        <v>26</v>
      </c>
      <c r="S564" s="1" t="s">
        <v>2624</v>
      </c>
      <c r="T564" s="1" t="s">
        <v>2623</v>
      </c>
      <c r="U564" s="1">
        <v>2</v>
      </c>
      <c r="V564" s="1" t="s">
        <v>2439</v>
      </c>
      <c r="W564" s="1" t="s">
        <v>2900</v>
      </c>
      <c r="Y564" s="3">
        <v>45802</v>
      </c>
      <c r="Z564" s="1">
        <v>2025</v>
      </c>
      <c r="AA564" s="2">
        <v>7363496.8899999997</v>
      </c>
      <c r="AB564" s="2"/>
      <c r="AC564" s="2">
        <v>552262.27</v>
      </c>
      <c r="AD564" s="18">
        <v>33</v>
      </c>
      <c r="AE564" s="1">
        <v>6</v>
      </c>
      <c r="AG564" s="1" t="s">
        <v>21</v>
      </c>
      <c r="AI564" s="2">
        <v>552262.27</v>
      </c>
    </row>
    <row r="565" spans="1:35" s="1" customFormat="1" ht="15" customHeight="1" x14ac:dyDescent="0.2">
      <c r="A565" s="1" t="s">
        <v>19</v>
      </c>
      <c r="B565" s="5" t="s">
        <v>18</v>
      </c>
      <c r="C565" s="1" t="s">
        <v>37</v>
      </c>
      <c r="D565" s="1" t="s">
        <v>211</v>
      </c>
      <c r="E565" s="1" t="s">
        <v>35</v>
      </c>
      <c r="F565" s="1" t="s">
        <v>637</v>
      </c>
      <c r="G565" s="1" t="s">
        <v>636</v>
      </c>
      <c r="H565" s="1" t="s">
        <v>258</v>
      </c>
      <c r="I565" s="1" t="s">
        <v>2899</v>
      </c>
      <c r="J565" s="1">
        <v>2023</v>
      </c>
      <c r="K565" s="1" t="s">
        <v>2898</v>
      </c>
      <c r="L565" s="1" t="s">
        <v>2898</v>
      </c>
      <c r="M565" s="1" t="s">
        <v>2897</v>
      </c>
      <c r="P565" s="1" t="s">
        <v>2896</v>
      </c>
      <c r="Q565" s="1" t="s">
        <v>27</v>
      </c>
      <c r="R565" s="1" t="s">
        <v>26</v>
      </c>
      <c r="S565" s="1" t="s">
        <v>2666</v>
      </c>
      <c r="T565" s="1" t="s">
        <v>2665</v>
      </c>
      <c r="U565" s="1">
        <v>2</v>
      </c>
      <c r="V565" s="1" t="s">
        <v>2439</v>
      </c>
      <c r="W565" s="1" t="s">
        <v>2895</v>
      </c>
      <c r="Y565" s="3">
        <v>45802</v>
      </c>
      <c r="Z565" s="1">
        <v>2025</v>
      </c>
      <c r="AA565" s="2">
        <v>17291553.920000002</v>
      </c>
      <c r="AB565" s="2"/>
      <c r="AC565" s="2">
        <v>1296866.54</v>
      </c>
      <c r="AD565" s="18">
        <v>19</v>
      </c>
      <c r="AE565" s="1">
        <v>0</v>
      </c>
      <c r="AG565" s="1" t="s">
        <v>21</v>
      </c>
      <c r="AI565" s="2">
        <v>1296866.54</v>
      </c>
    </row>
    <row r="566" spans="1:35" s="1" customFormat="1" ht="15" customHeight="1" x14ac:dyDescent="0.2">
      <c r="A566" s="1" t="s">
        <v>19</v>
      </c>
      <c r="B566" s="5" t="s">
        <v>18</v>
      </c>
      <c r="C566" s="1" t="s">
        <v>37</v>
      </c>
      <c r="D566" s="1" t="s">
        <v>211</v>
      </c>
      <c r="E566" s="1" t="s">
        <v>35</v>
      </c>
      <c r="F566" s="1" t="s">
        <v>637</v>
      </c>
      <c r="G566" s="1" t="s">
        <v>636</v>
      </c>
      <c r="H566" s="1" t="s">
        <v>258</v>
      </c>
      <c r="I566" s="1" t="s">
        <v>2894</v>
      </c>
      <c r="J566" s="1">
        <v>2023</v>
      </c>
      <c r="K566" s="1" t="s">
        <v>2893</v>
      </c>
      <c r="L566" s="1" t="s">
        <v>2893</v>
      </c>
      <c r="M566" s="1" t="s">
        <v>2892</v>
      </c>
      <c r="P566" s="1" t="s">
        <v>2891</v>
      </c>
      <c r="Q566" s="1" t="s">
        <v>27</v>
      </c>
      <c r="R566" s="1" t="s">
        <v>26</v>
      </c>
      <c r="S566" s="1" t="s">
        <v>2655</v>
      </c>
      <c r="T566" s="1" t="s">
        <v>2654</v>
      </c>
      <c r="U566" s="1">
        <v>2</v>
      </c>
      <c r="V566" s="1" t="s">
        <v>2439</v>
      </c>
      <c r="W566" s="1" t="s">
        <v>2890</v>
      </c>
      <c r="Y566" s="3">
        <v>45802</v>
      </c>
      <c r="Z566" s="1">
        <v>2025</v>
      </c>
      <c r="AA566" s="2">
        <v>461121.5</v>
      </c>
      <c r="AB566" s="2"/>
      <c r="AC566" s="2">
        <v>80696.259999999995</v>
      </c>
      <c r="AD566" s="18">
        <v>8</v>
      </c>
      <c r="AE566" s="1">
        <v>7</v>
      </c>
      <c r="AG566" s="1" t="s">
        <v>21</v>
      </c>
      <c r="AI566" s="2">
        <v>80696.259999999995</v>
      </c>
    </row>
    <row r="567" spans="1:35" s="1" customFormat="1" ht="15" customHeight="1" x14ac:dyDescent="0.2">
      <c r="A567" s="1" t="s">
        <v>19</v>
      </c>
      <c r="B567" s="5" t="s">
        <v>18</v>
      </c>
      <c r="C567" s="1" t="s">
        <v>37</v>
      </c>
      <c r="D567" s="1" t="s">
        <v>211</v>
      </c>
      <c r="E567" s="1" t="s">
        <v>35</v>
      </c>
      <c r="F567" s="1" t="s">
        <v>637</v>
      </c>
      <c r="G567" s="1" t="s">
        <v>636</v>
      </c>
      <c r="H567" s="1" t="s">
        <v>258</v>
      </c>
      <c r="I567" s="1" t="s">
        <v>2889</v>
      </c>
      <c r="J567" s="1">
        <v>2023</v>
      </c>
      <c r="K567" s="1" t="s">
        <v>2888</v>
      </c>
      <c r="L567" s="1" t="s">
        <v>2888</v>
      </c>
      <c r="M567" s="1" t="s">
        <v>0</v>
      </c>
      <c r="P567" s="1" t="s">
        <v>2887</v>
      </c>
      <c r="Q567" s="1" t="s">
        <v>27</v>
      </c>
      <c r="R567" s="1" t="s">
        <v>26</v>
      </c>
      <c r="S567" s="1" t="s">
        <v>2624</v>
      </c>
      <c r="T567" s="1" t="s">
        <v>2623</v>
      </c>
      <c r="U567" s="1">
        <v>2</v>
      </c>
      <c r="V567" s="1" t="s">
        <v>2439</v>
      </c>
      <c r="W567" s="1" t="s">
        <v>2886</v>
      </c>
      <c r="Y567" s="3">
        <v>45802</v>
      </c>
      <c r="Z567" s="1">
        <v>2025</v>
      </c>
      <c r="AA567" s="2">
        <v>957721.48</v>
      </c>
      <c r="AB567" s="2"/>
      <c r="AC567" s="2">
        <v>167601.26</v>
      </c>
      <c r="AD567" s="18">
        <v>8</v>
      </c>
      <c r="AE567" s="1">
        <v>7</v>
      </c>
      <c r="AG567" s="1" t="s">
        <v>21</v>
      </c>
      <c r="AI567" s="2">
        <v>167601.26</v>
      </c>
    </row>
    <row r="568" spans="1:35" s="1" customFormat="1" ht="15" customHeight="1" x14ac:dyDescent="0.2">
      <c r="A568" s="1" t="s">
        <v>19</v>
      </c>
      <c r="B568" s="5" t="s">
        <v>18</v>
      </c>
      <c r="C568" s="1" t="s">
        <v>37</v>
      </c>
      <c r="D568" s="1" t="s">
        <v>211</v>
      </c>
      <c r="E568" s="1" t="s">
        <v>35</v>
      </c>
      <c r="F568" s="1" t="s">
        <v>637</v>
      </c>
      <c r="G568" s="1" t="s">
        <v>636</v>
      </c>
      <c r="H568" s="1" t="s">
        <v>258</v>
      </c>
      <c r="I568" s="1" t="s">
        <v>2885</v>
      </c>
      <c r="J568" s="1">
        <v>2023</v>
      </c>
      <c r="K568" s="1" t="s">
        <v>2884</v>
      </c>
      <c r="L568" s="1" t="s">
        <v>2884</v>
      </c>
      <c r="M568" s="1" t="s">
        <v>0</v>
      </c>
      <c r="P568" s="1" t="s">
        <v>2883</v>
      </c>
      <c r="Q568" s="1" t="s">
        <v>27</v>
      </c>
      <c r="R568" s="1" t="s">
        <v>26</v>
      </c>
      <c r="S568" s="1" t="s">
        <v>2624</v>
      </c>
      <c r="T568" s="1" t="s">
        <v>2623</v>
      </c>
      <c r="U568" s="1">
        <v>2</v>
      </c>
      <c r="V568" s="1" t="s">
        <v>2439</v>
      </c>
      <c r="W568" s="1" t="s">
        <v>2882</v>
      </c>
      <c r="Y568" s="3">
        <v>45802</v>
      </c>
      <c r="Z568" s="1">
        <v>2025</v>
      </c>
      <c r="AA568" s="2">
        <v>547273.25</v>
      </c>
      <c r="AB568" s="2"/>
      <c r="AC568" s="2">
        <v>95772.82</v>
      </c>
      <c r="AD568" s="18">
        <v>4</v>
      </c>
      <c r="AE568" s="1">
        <v>3</v>
      </c>
      <c r="AG568" s="1" t="s">
        <v>21</v>
      </c>
      <c r="AI568" s="2">
        <v>95772.82</v>
      </c>
    </row>
    <row r="569" spans="1:35" s="1" customFormat="1" ht="15" customHeight="1" x14ac:dyDescent="0.2">
      <c r="A569" s="1" t="s">
        <v>19</v>
      </c>
      <c r="B569" s="5" t="s">
        <v>18</v>
      </c>
      <c r="C569" s="1" t="s">
        <v>37</v>
      </c>
      <c r="D569" s="1" t="s">
        <v>211</v>
      </c>
      <c r="E569" s="1" t="s">
        <v>35</v>
      </c>
      <c r="F569" s="1" t="s">
        <v>637</v>
      </c>
      <c r="G569" s="1" t="s">
        <v>636</v>
      </c>
      <c r="H569" s="1" t="s">
        <v>258</v>
      </c>
      <c r="I569" s="1" t="s">
        <v>2881</v>
      </c>
      <c r="J569" s="1">
        <v>2023</v>
      </c>
      <c r="K569" s="1" t="s">
        <v>2880</v>
      </c>
      <c r="L569" s="1" t="s">
        <v>2880</v>
      </c>
      <c r="M569" s="1" t="s">
        <v>2879</v>
      </c>
      <c r="P569" s="1" t="s">
        <v>2878</v>
      </c>
      <c r="Q569" s="1" t="s">
        <v>27</v>
      </c>
      <c r="R569" s="1" t="s">
        <v>26</v>
      </c>
      <c r="S569" s="1" t="s">
        <v>2624</v>
      </c>
      <c r="T569" s="1" t="s">
        <v>2623</v>
      </c>
      <c r="U569" s="1">
        <v>2</v>
      </c>
      <c r="V569" s="1" t="s">
        <v>2439</v>
      </c>
      <c r="W569" s="1" t="s">
        <v>2877</v>
      </c>
      <c r="Y569" s="3">
        <v>45802</v>
      </c>
      <c r="Z569" s="1">
        <v>2025</v>
      </c>
      <c r="AA569" s="2">
        <v>2039212.03</v>
      </c>
      <c r="AB569" s="2"/>
      <c r="AC569" s="2">
        <v>254901.5</v>
      </c>
      <c r="AD569" s="18">
        <v>14</v>
      </c>
      <c r="AE569" s="1">
        <v>7</v>
      </c>
      <c r="AG569" s="1" t="s">
        <v>21</v>
      </c>
      <c r="AI569" s="2">
        <v>254901.5</v>
      </c>
    </row>
    <row r="570" spans="1:35" s="1" customFormat="1" ht="15" customHeight="1" x14ac:dyDescent="0.2">
      <c r="A570" s="1" t="s">
        <v>19</v>
      </c>
      <c r="B570" s="5" t="s">
        <v>18</v>
      </c>
      <c r="C570" s="1" t="s">
        <v>37</v>
      </c>
      <c r="D570" s="1" t="s">
        <v>211</v>
      </c>
      <c r="E570" s="1" t="s">
        <v>35</v>
      </c>
      <c r="F570" s="1" t="s">
        <v>637</v>
      </c>
      <c r="G570" s="1" t="s">
        <v>636</v>
      </c>
      <c r="H570" s="1" t="s">
        <v>258</v>
      </c>
      <c r="I570" s="1" t="s">
        <v>2876</v>
      </c>
      <c r="J570" s="1">
        <v>2023</v>
      </c>
      <c r="K570" s="1" t="s">
        <v>2875</v>
      </c>
      <c r="L570" s="1" t="s">
        <v>2875</v>
      </c>
      <c r="M570" s="1" t="s">
        <v>0</v>
      </c>
      <c r="P570" s="1" t="s">
        <v>2874</v>
      </c>
      <c r="Q570" s="1" t="s">
        <v>27</v>
      </c>
      <c r="R570" s="1" t="s">
        <v>26</v>
      </c>
      <c r="S570" s="1" t="s">
        <v>2666</v>
      </c>
      <c r="T570" s="1" t="s">
        <v>2665</v>
      </c>
      <c r="U570" s="1">
        <v>2</v>
      </c>
      <c r="V570" s="1" t="s">
        <v>2439</v>
      </c>
      <c r="W570" s="1" t="s">
        <v>2873</v>
      </c>
      <c r="Y570" s="3">
        <v>45802</v>
      </c>
      <c r="Z570" s="1">
        <v>2025</v>
      </c>
      <c r="AA570" s="2">
        <v>587489.97</v>
      </c>
      <c r="AB570" s="2"/>
      <c r="AC570" s="2">
        <v>73436.25</v>
      </c>
      <c r="AD570" s="18">
        <v>3</v>
      </c>
      <c r="AE570" s="1">
        <v>0</v>
      </c>
      <c r="AG570" s="1" t="s">
        <v>21</v>
      </c>
      <c r="AI570" s="2">
        <v>73436.25</v>
      </c>
    </row>
    <row r="571" spans="1:35" s="1" customFormat="1" ht="15" customHeight="1" x14ac:dyDescent="0.2">
      <c r="A571" s="1" t="s">
        <v>19</v>
      </c>
      <c r="B571" s="5" t="s">
        <v>18</v>
      </c>
      <c r="C571" s="1" t="s">
        <v>37</v>
      </c>
      <c r="D571" s="1" t="s">
        <v>211</v>
      </c>
      <c r="E571" s="1" t="s">
        <v>35</v>
      </c>
      <c r="F571" s="1" t="s">
        <v>637</v>
      </c>
      <c r="G571" s="1" t="s">
        <v>636</v>
      </c>
      <c r="H571" s="1" t="s">
        <v>258</v>
      </c>
      <c r="I571" s="1" t="s">
        <v>2872</v>
      </c>
      <c r="J571" s="1">
        <v>2023</v>
      </c>
      <c r="K571" s="1" t="s">
        <v>2871</v>
      </c>
      <c r="L571" s="1" t="s">
        <v>2871</v>
      </c>
      <c r="M571" s="1" t="s">
        <v>2870</v>
      </c>
      <c r="P571" s="1" t="s">
        <v>2869</v>
      </c>
      <c r="Q571" s="1" t="s">
        <v>27</v>
      </c>
      <c r="R571" s="1" t="s">
        <v>26</v>
      </c>
      <c r="S571" s="1" t="s">
        <v>2624</v>
      </c>
      <c r="T571" s="1" t="s">
        <v>2623</v>
      </c>
      <c r="U571" s="1">
        <v>2</v>
      </c>
      <c r="V571" s="1" t="s">
        <v>2439</v>
      </c>
      <c r="W571" s="1" t="s">
        <v>2868</v>
      </c>
      <c r="Y571" s="3">
        <v>45802</v>
      </c>
      <c r="Z571" s="1">
        <v>2025</v>
      </c>
      <c r="AA571" s="2">
        <v>1934039.05</v>
      </c>
      <c r="AB571" s="2"/>
      <c r="AC571" s="2">
        <v>225000</v>
      </c>
      <c r="AD571" s="18">
        <v>3</v>
      </c>
      <c r="AE571" s="1">
        <v>0</v>
      </c>
      <c r="AG571" s="1" t="s">
        <v>21</v>
      </c>
      <c r="AI571" s="2">
        <v>225000</v>
      </c>
    </row>
    <row r="572" spans="1:35" s="1" customFormat="1" ht="15" customHeight="1" x14ac:dyDescent="0.2">
      <c r="A572" s="1" t="s">
        <v>19</v>
      </c>
      <c r="B572" s="5" t="s">
        <v>18</v>
      </c>
      <c r="C572" s="1" t="s">
        <v>37</v>
      </c>
      <c r="D572" s="1" t="s">
        <v>211</v>
      </c>
      <c r="E572" s="1" t="s">
        <v>35</v>
      </c>
      <c r="F572" s="1" t="s">
        <v>637</v>
      </c>
      <c r="G572" s="1" t="s">
        <v>636</v>
      </c>
      <c r="H572" s="1" t="s">
        <v>258</v>
      </c>
      <c r="I572" s="1" t="s">
        <v>2867</v>
      </c>
      <c r="J572" s="1">
        <v>2023</v>
      </c>
      <c r="K572" s="1" t="s">
        <v>2866</v>
      </c>
      <c r="L572" s="1" t="s">
        <v>2866</v>
      </c>
      <c r="M572" s="1" t="s">
        <v>2865</v>
      </c>
      <c r="P572" s="1" t="s">
        <v>2864</v>
      </c>
      <c r="Q572" s="1" t="s">
        <v>27</v>
      </c>
      <c r="R572" s="1" t="s">
        <v>26</v>
      </c>
      <c r="S572" s="1" t="s">
        <v>2666</v>
      </c>
      <c r="T572" s="1" t="s">
        <v>2665</v>
      </c>
      <c r="U572" s="1">
        <v>2</v>
      </c>
      <c r="V572" s="1" t="s">
        <v>2439</v>
      </c>
      <c r="W572" s="1" t="s">
        <v>2863</v>
      </c>
      <c r="Y572" s="3">
        <v>45802</v>
      </c>
      <c r="Z572" s="1">
        <v>2025</v>
      </c>
      <c r="AA572" s="2">
        <v>938131.7</v>
      </c>
      <c r="AB572" s="2"/>
      <c r="AC572" s="2">
        <v>164173.04999999999</v>
      </c>
      <c r="AD572" s="18">
        <v>4</v>
      </c>
      <c r="AE572" s="1">
        <v>2</v>
      </c>
      <c r="AG572" s="1" t="s">
        <v>21</v>
      </c>
      <c r="AI572" s="2">
        <v>164173.04999999999</v>
      </c>
    </row>
    <row r="573" spans="1:35" s="1" customFormat="1" ht="15" customHeight="1" x14ac:dyDescent="0.2">
      <c r="A573" s="1" t="s">
        <v>19</v>
      </c>
      <c r="B573" s="5" t="s">
        <v>18</v>
      </c>
      <c r="C573" s="1" t="s">
        <v>37</v>
      </c>
      <c r="D573" s="1" t="s">
        <v>211</v>
      </c>
      <c r="E573" s="1" t="s">
        <v>35</v>
      </c>
      <c r="F573" s="1" t="s">
        <v>267</v>
      </c>
      <c r="G573" s="1" t="s">
        <v>266</v>
      </c>
      <c r="H573" s="1" t="s">
        <v>208</v>
      </c>
      <c r="I573" s="1" t="s">
        <v>2862</v>
      </c>
      <c r="J573" s="1">
        <v>2023</v>
      </c>
      <c r="K573" s="1" t="s">
        <v>2861</v>
      </c>
      <c r="L573" s="1" t="s">
        <v>2860</v>
      </c>
      <c r="P573" s="1" t="s">
        <v>2859</v>
      </c>
      <c r="Q573" s="1" t="s">
        <v>27</v>
      </c>
      <c r="R573" s="1" t="s">
        <v>26</v>
      </c>
      <c r="S573" s="1" t="s">
        <v>2624</v>
      </c>
      <c r="T573" s="1" t="s">
        <v>2623</v>
      </c>
      <c r="U573" s="1">
        <v>2</v>
      </c>
      <c r="V573" s="1" t="s">
        <v>2439</v>
      </c>
      <c r="W573" s="1" t="s">
        <v>2858</v>
      </c>
      <c r="Y573" s="3">
        <v>45462</v>
      </c>
      <c r="Z573" s="1">
        <v>2024</v>
      </c>
      <c r="AA573" s="2">
        <v>537203</v>
      </c>
      <c r="AB573" s="2"/>
      <c r="AC573" s="2">
        <v>188021.05</v>
      </c>
      <c r="AD573" s="1">
        <v>10</v>
      </c>
      <c r="AE573" s="1">
        <v>3</v>
      </c>
      <c r="AG573" s="1" t="s">
        <v>21</v>
      </c>
      <c r="AI573" s="2">
        <v>188021.05</v>
      </c>
    </row>
    <row r="574" spans="1:35" s="1" customFormat="1" ht="15" customHeight="1" x14ac:dyDescent="0.2">
      <c r="A574" s="1" t="s">
        <v>19</v>
      </c>
      <c r="B574" s="5" t="s">
        <v>109</v>
      </c>
      <c r="C574" s="1" t="s">
        <v>37</v>
      </c>
      <c r="D574" s="1" t="s">
        <v>211</v>
      </c>
      <c r="E574" s="1" t="s">
        <v>35</v>
      </c>
      <c r="F574" s="1" t="s">
        <v>267</v>
      </c>
      <c r="G574" s="1" t="s">
        <v>266</v>
      </c>
      <c r="H574" s="1" t="s">
        <v>208</v>
      </c>
      <c r="I574" s="1" t="s">
        <v>2857</v>
      </c>
      <c r="J574" s="1">
        <v>2023</v>
      </c>
      <c r="K574" s="1" t="s">
        <v>2856</v>
      </c>
      <c r="P574" s="1" t="s">
        <v>2855</v>
      </c>
      <c r="Q574" s="1" t="s">
        <v>27</v>
      </c>
      <c r="R574" s="1" t="s">
        <v>26</v>
      </c>
      <c r="S574" s="1" t="s">
        <v>2677</v>
      </c>
      <c r="T574" s="1" t="s">
        <v>2676</v>
      </c>
      <c r="U574" s="1">
        <v>2</v>
      </c>
      <c r="V574" s="1" t="s">
        <v>2439</v>
      </c>
      <c r="W574" s="1" t="s">
        <v>2854</v>
      </c>
      <c r="Y574" s="3">
        <v>45594</v>
      </c>
      <c r="Z574" s="1">
        <v>2024</v>
      </c>
      <c r="AA574" s="2">
        <v>4187960</v>
      </c>
      <c r="AB574" s="2"/>
      <c r="AC574" s="2">
        <v>845393</v>
      </c>
      <c r="AD574" s="1">
        <v>10</v>
      </c>
      <c r="AE574" s="1">
        <v>1</v>
      </c>
      <c r="AG574" s="1" t="s">
        <v>21</v>
      </c>
      <c r="AI574" s="2"/>
    </row>
    <row r="575" spans="1:35" s="1" customFormat="1" ht="15" customHeight="1" x14ac:dyDescent="0.2">
      <c r="A575" s="1" t="s">
        <v>19</v>
      </c>
      <c r="B575" s="5" t="s">
        <v>18</v>
      </c>
      <c r="C575" s="1" t="s">
        <v>37</v>
      </c>
      <c r="D575" s="1" t="s">
        <v>211</v>
      </c>
      <c r="E575" s="1" t="s">
        <v>35</v>
      </c>
      <c r="F575" s="1" t="s">
        <v>267</v>
      </c>
      <c r="G575" s="1" t="s">
        <v>266</v>
      </c>
      <c r="H575" s="1" t="s">
        <v>130</v>
      </c>
      <c r="I575" s="1" t="s">
        <v>2853</v>
      </c>
      <c r="J575" s="1">
        <v>2023</v>
      </c>
      <c r="K575" s="1" t="s">
        <v>2852</v>
      </c>
      <c r="L575" s="1" t="s">
        <v>2851</v>
      </c>
      <c r="P575" s="1" t="s">
        <v>2850</v>
      </c>
      <c r="Q575" s="1" t="s">
        <v>27</v>
      </c>
      <c r="R575" s="1" t="s">
        <v>26</v>
      </c>
      <c r="S575" s="1" t="s">
        <v>2456</v>
      </c>
      <c r="T575" s="1" t="s">
        <v>2455</v>
      </c>
      <c r="U575" s="1">
        <v>1</v>
      </c>
      <c r="V575" s="1" t="s">
        <v>2439</v>
      </c>
      <c r="W575" s="1" t="s">
        <v>2849</v>
      </c>
      <c r="Y575" s="3">
        <v>45462</v>
      </c>
      <c r="Z575" s="1">
        <v>2024</v>
      </c>
      <c r="AA575" s="2">
        <v>1368297.47</v>
      </c>
      <c r="AB575" s="2"/>
      <c r="AC575" s="2">
        <v>389452.06</v>
      </c>
      <c r="AD575" s="1">
        <v>10</v>
      </c>
      <c r="AE575" s="1">
        <v>5</v>
      </c>
      <c r="AG575" s="1" t="s">
        <v>21</v>
      </c>
      <c r="AI575" s="2">
        <v>389452.06</v>
      </c>
    </row>
    <row r="576" spans="1:35" s="1" customFormat="1" ht="15" customHeight="1" x14ac:dyDescent="0.2">
      <c r="A576" s="1" t="s">
        <v>19</v>
      </c>
      <c r="B576" s="5" t="s">
        <v>18</v>
      </c>
      <c r="C576" s="1" t="s">
        <v>37</v>
      </c>
      <c r="D576" s="1" t="s">
        <v>211</v>
      </c>
      <c r="E576" s="1" t="s">
        <v>35</v>
      </c>
      <c r="F576" s="1" t="s">
        <v>260</v>
      </c>
      <c r="G576" s="1" t="s">
        <v>259</v>
      </c>
      <c r="H576" s="1" t="s">
        <v>258</v>
      </c>
      <c r="I576" s="1" t="s">
        <v>2848</v>
      </c>
      <c r="J576" s="1">
        <v>2023</v>
      </c>
      <c r="K576" s="1" t="s">
        <v>2847</v>
      </c>
      <c r="L576" s="1" t="s">
        <v>2847</v>
      </c>
      <c r="M576" s="1" t="s">
        <v>2846</v>
      </c>
      <c r="P576" s="1" t="s">
        <v>2845</v>
      </c>
      <c r="Q576" s="1" t="s">
        <v>27</v>
      </c>
      <c r="R576" s="1" t="s">
        <v>26</v>
      </c>
      <c r="S576" s="1" t="s">
        <v>2677</v>
      </c>
      <c r="T576" s="1" t="s">
        <v>2676</v>
      </c>
      <c r="U576" s="1">
        <v>2</v>
      </c>
      <c r="V576" s="1" t="s">
        <v>2439</v>
      </c>
      <c r="W576" s="1" t="s">
        <v>2844</v>
      </c>
      <c r="Y576" s="3">
        <v>45802</v>
      </c>
      <c r="Z576" s="1">
        <v>2025</v>
      </c>
      <c r="AA576" s="16">
        <v>265997.21000000002</v>
      </c>
      <c r="AB576" s="2"/>
      <c r="AC576" s="16">
        <v>46549.51</v>
      </c>
      <c r="AD576" s="1">
        <v>0</v>
      </c>
      <c r="AE576" s="1">
        <v>0</v>
      </c>
      <c r="AG576" s="1" t="s">
        <v>21</v>
      </c>
      <c r="AI576" s="15">
        <v>46549.51</v>
      </c>
    </row>
    <row r="577" spans="1:35" s="1" customFormat="1" ht="15" customHeight="1" x14ac:dyDescent="0.2">
      <c r="A577" s="1" t="s">
        <v>19</v>
      </c>
      <c r="B577" s="5" t="s">
        <v>18</v>
      </c>
      <c r="C577" s="1" t="s">
        <v>37</v>
      </c>
      <c r="D577" s="1" t="s">
        <v>211</v>
      </c>
      <c r="E577" s="1" t="s">
        <v>35</v>
      </c>
      <c r="F577" s="1" t="s">
        <v>260</v>
      </c>
      <c r="G577" s="1" t="s">
        <v>259</v>
      </c>
      <c r="H577" s="1" t="s">
        <v>258</v>
      </c>
      <c r="I577" s="1" t="s">
        <v>2843</v>
      </c>
      <c r="J577" s="1">
        <v>2023</v>
      </c>
      <c r="K577" s="1" t="s">
        <v>2842</v>
      </c>
      <c r="L577" s="1" t="s">
        <v>2841</v>
      </c>
      <c r="M577" s="1" t="s">
        <v>2840</v>
      </c>
      <c r="P577" s="1" t="s">
        <v>2839</v>
      </c>
      <c r="Q577" s="1" t="s">
        <v>27</v>
      </c>
      <c r="R577" s="1" t="s">
        <v>26</v>
      </c>
      <c r="S577" s="1" t="s">
        <v>2624</v>
      </c>
      <c r="T577" s="1" t="s">
        <v>2623</v>
      </c>
      <c r="U577" s="1">
        <v>2</v>
      </c>
      <c r="V577" s="1" t="s">
        <v>2439</v>
      </c>
      <c r="W577" s="1" t="s">
        <v>2838</v>
      </c>
      <c r="Y577" s="3">
        <v>45802</v>
      </c>
      <c r="Z577" s="1">
        <v>2025</v>
      </c>
      <c r="AA577" s="16">
        <v>194468</v>
      </c>
      <c r="AB577" s="2"/>
      <c r="AC577" s="16">
        <v>34031.9</v>
      </c>
      <c r="AD577" s="1">
        <v>0</v>
      </c>
      <c r="AE577" s="1">
        <v>0</v>
      </c>
      <c r="AG577" s="1" t="s">
        <v>21</v>
      </c>
      <c r="AI577" s="15">
        <v>34031.9</v>
      </c>
    </row>
    <row r="578" spans="1:35" s="1" customFormat="1" ht="15" customHeight="1" x14ac:dyDescent="0.2">
      <c r="A578" s="1" t="s">
        <v>19</v>
      </c>
      <c r="B578" s="5" t="s">
        <v>18</v>
      </c>
      <c r="C578" s="1" t="s">
        <v>37</v>
      </c>
      <c r="D578" s="1" t="s">
        <v>211</v>
      </c>
      <c r="E578" s="1" t="s">
        <v>35</v>
      </c>
      <c r="F578" s="1" t="s">
        <v>260</v>
      </c>
      <c r="G578" s="1" t="s">
        <v>259</v>
      </c>
      <c r="H578" s="1" t="s">
        <v>258</v>
      </c>
      <c r="I578" s="1" t="s">
        <v>2837</v>
      </c>
      <c r="J578" s="1">
        <v>2023</v>
      </c>
      <c r="K578" s="1" t="s">
        <v>2836</v>
      </c>
      <c r="L578" s="1" t="s">
        <v>2836</v>
      </c>
      <c r="M578" s="1" t="s">
        <v>0</v>
      </c>
      <c r="P578" s="1" t="s">
        <v>2785</v>
      </c>
      <c r="Q578" s="1" t="s">
        <v>27</v>
      </c>
      <c r="R578" s="1" t="s">
        <v>26</v>
      </c>
      <c r="S578" s="1" t="s">
        <v>2624</v>
      </c>
      <c r="T578" s="1" t="s">
        <v>2623</v>
      </c>
      <c r="U578" s="1">
        <v>2</v>
      </c>
      <c r="V578" s="1" t="s">
        <v>2439</v>
      </c>
      <c r="W578" s="1" t="s">
        <v>2835</v>
      </c>
      <c r="Y578" s="3">
        <v>45802</v>
      </c>
      <c r="Z578" s="1">
        <v>2025</v>
      </c>
      <c r="AA578" s="16">
        <v>40379.14</v>
      </c>
      <c r="AB578" s="2"/>
      <c r="AC578" s="16">
        <v>7066.35</v>
      </c>
      <c r="AD578" s="1">
        <v>0</v>
      </c>
      <c r="AE578" s="1">
        <v>0</v>
      </c>
      <c r="AG578" s="1" t="s">
        <v>21</v>
      </c>
      <c r="AI578" s="15">
        <v>7066.35</v>
      </c>
    </row>
    <row r="579" spans="1:35" s="1" customFormat="1" ht="15" customHeight="1" x14ac:dyDescent="0.2">
      <c r="A579" s="1" t="s">
        <v>19</v>
      </c>
      <c r="B579" s="5" t="s">
        <v>18</v>
      </c>
      <c r="C579" s="1" t="s">
        <v>37</v>
      </c>
      <c r="D579" s="1" t="s">
        <v>211</v>
      </c>
      <c r="E579" s="1" t="s">
        <v>35</v>
      </c>
      <c r="F579" s="1" t="s">
        <v>260</v>
      </c>
      <c r="G579" s="1" t="s">
        <v>259</v>
      </c>
      <c r="H579" s="1" t="s">
        <v>258</v>
      </c>
      <c r="I579" s="1" t="s">
        <v>2834</v>
      </c>
      <c r="J579" s="1">
        <v>2023</v>
      </c>
      <c r="K579" s="1" t="s">
        <v>2833</v>
      </c>
      <c r="L579" s="1" t="s">
        <v>2833</v>
      </c>
      <c r="M579" s="1" t="s">
        <v>2832</v>
      </c>
      <c r="P579" s="1" t="s">
        <v>2831</v>
      </c>
      <c r="Q579" s="1" t="s">
        <v>27</v>
      </c>
      <c r="R579" s="1" t="s">
        <v>26</v>
      </c>
      <c r="S579" s="1" t="s">
        <v>2624</v>
      </c>
      <c r="T579" s="2" t="s">
        <v>2623</v>
      </c>
      <c r="U579" s="1">
        <v>2</v>
      </c>
      <c r="V579" s="1" t="s">
        <v>2439</v>
      </c>
      <c r="W579" s="1" t="s">
        <v>2830</v>
      </c>
      <c r="Y579" s="3">
        <v>45802</v>
      </c>
      <c r="Z579" s="1">
        <v>2025</v>
      </c>
      <c r="AA579" s="16">
        <v>438402</v>
      </c>
      <c r="AB579" s="2"/>
      <c r="AC579" s="16">
        <v>76720.350000000006</v>
      </c>
      <c r="AD579" s="1">
        <v>3</v>
      </c>
      <c r="AE579" s="1">
        <v>2</v>
      </c>
      <c r="AG579" s="1" t="s">
        <v>21</v>
      </c>
      <c r="AI579" s="15">
        <v>76720.350000000006</v>
      </c>
    </row>
    <row r="580" spans="1:35" s="1" customFormat="1" ht="15" customHeight="1" x14ac:dyDescent="0.2">
      <c r="A580" s="1" t="s">
        <v>19</v>
      </c>
      <c r="B580" s="5" t="s">
        <v>18</v>
      </c>
      <c r="C580" s="1" t="s">
        <v>37</v>
      </c>
      <c r="D580" s="1" t="s">
        <v>211</v>
      </c>
      <c r="E580" s="1" t="s">
        <v>35</v>
      </c>
      <c r="F580" s="1" t="s">
        <v>260</v>
      </c>
      <c r="G580" s="1" t="s">
        <v>259</v>
      </c>
      <c r="H580" s="1" t="s">
        <v>258</v>
      </c>
      <c r="I580" s="1" t="s">
        <v>2829</v>
      </c>
      <c r="J580" s="1">
        <v>2023</v>
      </c>
      <c r="K580" s="1" t="s">
        <v>2828</v>
      </c>
      <c r="L580" s="1" t="s">
        <v>2828</v>
      </c>
      <c r="M580" s="1" t="s">
        <v>2827</v>
      </c>
      <c r="P580" s="1" t="s">
        <v>2826</v>
      </c>
      <c r="Q580" s="1" t="s">
        <v>27</v>
      </c>
      <c r="R580" s="1" t="s">
        <v>26</v>
      </c>
      <c r="S580" s="1" t="s">
        <v>2624</v>
      </c>
      <c r="T580" s="1" t="s">
        <v>2623</v>
      </c>
      <c r="U580" s="1">
        <v>2</v>
      </c>
      <c r="V580" s="1" t="s">
        <v>2439</v>
      </c>
      <c r="W580" s="1" t="s">
        <v>2825</v>
      </c>
      <c r="Y580" s="3">
        <v>45802</v>
      </c>
      <c r="Z580" s="1">
        <v>2025</v>
      </c>
      <c r="AA580" s="16">
        <v>488500</v>
      </c>
      <c r="AB580" s="2"/>
      <c r="AC580" s="16">
        <v>85487.5</v>
      </c>
      <c r="AD580" s="1">
        <v>0</v>
      </c>
      <c r="AE580" s="1">
        <v>0</v>
      </c>
      <c r="AG580" s="1" t="s">
        <v>21</v>
      </c>
      <c r="AI580" s="15">
        <v>85487.5</v>
      </c>
    </row>
    <row r="581" spans="1:35" s="1" customFormat="1" ht="15" customHeight="1" x14ac:dyDescent="0.2">
      <c r="A581" s="1" t="s">
        <v>19</v>
      </c>
      <c r="B581" s="5" t="s">
        <v>18</v>
      </c>
      <c r="C581" s="1" t="s">
        <v>37</v>
      </c>
      <c r="D581" s="1" t="s">
        <v>211</v>
      </c>
      <c r="E581" s="1" t="s">
        <v>35</v>
      </c>
      <c r="F581" s="1" t="s">
        <v>260</v>
      </c>
      <c r="G581" s="1" t="s">
        <v>259</v>
      </c>
      <c r="H581" s="1" t="s">
        <v>258</v>
      </c>
      <c r="I581" s="1" t="s">
        <v>2824</v>
      </c>
      <c r="J581" s="1">
        <v>2023</v>
      </c>
      <c r="K581" s="1" t="s">
        <v>2823</v>
      </c>
      <c r="L581" s="1" t="s">
        <v>2823</v>
      </c>
      <c r="M581" s="1" t="s">
        <v>2822</v>
      </c>
      <c r="P581" s="1" t="s">
        <v>2705</v>
      </c>
      <c r="Q581" s="1" t="s">
        <v>27</v>
      </c>
      <c r="R581" s="1" t="s">
        <v>26</v>
      </c>
      <c r="S581" s="1" t="s">
        <v>2624</v>
      </c>
      <c r="T581" s="2" t="s">
        <v>2623</v>
      </c>
      <c r="U581" s="1">
        <v>2</v>
      </c>
      <c r="V581" s="1" t="s">
        <v>2439</v>
      </c>
      <c r="W581" s="1" t="s">
        <v>2821</v>
      </c>
      <c r="Y581" s="3">
        <v>45802</v>
      </c>
      <c r="Z581" s="1">
        <v>2025</v>
      </c>
      <c r="AA581" s="16">
        <v>145781.47</v>
      </c>
      <c r="AB581" s="2"/>
      <c r="AC581" s="16">
        <v>25511.759999999998</v>
      </c>
      <c r="AD581" s="1">
        <v>1</v>
      </c>
      <c r="AE581" s="1">
        <v>1</v>
      </c>
      <c r="AG581" s="1" t="s">
        <v>21</v>
      </c>
      <c r="AI581" s="15">
        <v>25511.759999999998</v>
      </c>
    </row>
    <row r="582" spans="1:35" s="1" customFormat="1" ht="15" customHeight="1" x14ac:dyDescent="0.2">
      <c r="A582" s="1" t="s">
        <v>19</v>
      </c>
      <c r="B582" s="5" t="s">
        <v>18</v>
      </c>
      <c r="C582" s="1" t="s">
        <v>37</v>
      </c>
      <c r="D582" s="1" t="s">
        <v>211</v>
      </c>
      <c r="E582" s="1" t="s">
        <v>35</v>
      </c>
      <c r="F582" s="1" t="s">
        <v>260</v>
      </c>
      <c r="G582" s="1" t="s">
        <v>259</v>
      </c>
      <c r="H582" s="1" t="s">
        <v>258</v>
      </c>
      <c r="I582" s="1" t="s">
        <v>2820</v>
      </c>
      <c r="J582" s="1">
        <v>2023</v>
      </c>
      <c r="K582" s="1" t="s">
        <v>2819</v>
      </c>
      <c r="L582" s="1" t="s">
        <v>2819</v>
      </c>
      <c r="M582" s="1" t="s">
        <v>2818</v>
      </c>
      <c r="P582" s="1" t="s">
        <v>2817</v>
      </c>
      <c r="Q582" s="1" t="s">
        <v>27</v>
      </c>
      <c r="R582" s="1" t="s">
        <v>26</v>
      </c>
      <c r="S582" s="1" t="s">
        <v>2677</v>
      </c>
      <c r="T582" s="2" t="s">
        <v>2676</v>
      </c>
      <c r="U582" s="1">
        <v>2</v>
      </c>
      <c r="V582" s="1" t="s">
        <v>2439</v>
      </c>
      <c r="W582" s="1" t="s">
        <v>2816</v>
      </c>
      <c r="Y582" s="3">
        <v>45802</v>
      </c>
      <c r="Z582" s="1">
        <v>2025</v>
      </c>
      <c r="AA582" s="16">
        <v>31000</v>
      </c>
      <c r="AB582" s="2"/>
      <c r="AC582" s="16">
        <v>5425</v>
      </c>
      <c r="AD582" s="1">
        <v>2</v>
      </c>
      <c r="AE582" s="1">
        <v>0</v>
      </c>
      <c r="AG582" s="1" t="s">
        <v>21</v>
      </c>
      <c r="AI582" s="15">
        <v>5425</v>
      </c>
    </row>
    <row r="583" spans="1:35" s="1" customFormat="1" ht="15" customHeight="1" x14ac:dyDescent="0.2">
      <c r="A583" s="1" t="s">
        <v>19</v>
      </c>
      <c r="B583" s="5" t="s">
        <v>18</v>
      </c>
      <c r="C583" s="1" t="s">
        <v>37</v>
      </c>
      <c r="D583" s="1" t="s">
        <v>211</v>
      </c>
      <c r="E583" s="1" t="s">
        <v>35</v>
      </c>
      <c r="F583" s="1" t="s">
        <v>260</v>
      </c>
      <c r="G583" s="1" t="s">
        <v>259</v>
      </c>
      <c r="H583" s="1" t="s">
        <v>258</v>
      </c>
      <c r="I583" s="1" t="s">
        <v>2815</v>
      </c>
      <c r="J583" s="1">
        <v>2023</v>
      </c>
      <c r="K583" s="1" t="s">
        <v>2814</v>
      </c>
      <c r="L583" s="1" t="s">
        <v>2814</v>
      </c>
      <c r="M583" s="1" t="s">
        <v>0</v>
      </c>
      <c r="P583" s="1" t="s">
        <v>2813</v>
      </c>
      <c r="Q583" s="1" t="s">
        <v>27</v>
      </c>
      <c r="R583" s="1" t="s">
        <v>26</v>
      </c>
      <c r="S583" s="1" t="s">
        <v>2666</v>
      </c>
      <c r="T583" s="1" t="s">
        <v>2665</v>
      </c>
      <c r="U583" s="1">
        <v>2</v>
      </c>
      <c r="V583" s="1" t="s">
        <v>2439</v>
      </c>
      <c r="W583" s="1" t="s">
        <v>2812</v>
      </c>
      <c r="Y583" s="3">
        <v>45802</v>
      </c>
      <c r="Z583" s="1">
        <v>2025</v>
      </c>
      <c r="AA583" s="16">
        <v>433189.36</v>
      </c>
      <c r="AB583" s="2"/>
      <c r="AC583" s="16">
        <v>75808.14</v>
      </c>
      <c r="AD583" s="1">
        <v>1</v>
      </c>
      <c r="AE583" s="1">
        <v>1</v>
      </c>
      <c r="AG583" s="1" t="s">
        <v>21</v>
      </c>
      <c r="AI583" s="15">
        <v>75808.14</v>
      </c>
    </row>
    <row r="584" spans="1:35" s="1" customFormat="1" ht="15" customHeight="1" x14ac:dyDescent="0.2">
      <c r="A584" s="1" t="s">
        <v>19</v>
      </c>
      <c r="B584" s="5" t="s">
        <v>18</v>
      </c>
      <c r="C584" s="1" t="s">
        <v>37</v>
      </c>
      <c r="D584" s="1" t="s">
        <v>211</v>
      </c>
      <c r="E584" s="1" t="s">
        <v>35</v>
      </c>
      <c r="F584" s="1" t="s">
        <v>260</v>
      </c>
      <c r="G584" s="1" t="s">
        <v>259</v>
      </c>
      <c r="H584" s="1" t="s">
        <v>258</v>
      </c>
      <c r="I584" s="1" t="s">
        <v>2811</v>
      </c>
      <c r="J584" s="1">
        <v>2023</v>
      </c>
      <c r="K584" s="1" t="s">
        <v>2810</v>
      </c>
      <c r="L584" s="1" t="s">
        <v>2810</v>
      </c>
      <c r="M584" s="1" t="s">
        <v>0</v>
      </c>
      <c r="P584" s="1" t="s">
        <v>2809</v>
      </c>
      <c r="Q584" s="1" t="s">
        <v>27</v>
      </c>
      <c r="R584" s="1" t="s">
        <v>26</v>
      </c>
      <c r="S584" s="1" t="s">
        <v>2649</v>
      </c>
      <c r="T584" s="2" t="s">
        <v>2648</v>
      </c>
      <c r="U584" s="1">
        <v>2</v>
      </c>
      <c r="V584" s="1" t="s">
        <v>2439</v>
      </c>
      <c r="W584" s="1" t="s">
        <v>2808</v>
      </c>
      <c r="Y584" s="3">
        <v>45802</v>
      </c>
      <c r="Z584" s="1">
        <v>2025</v>
      </c>
      <c r="AA584" s="16">
        <v>123938.19</v>
      </c>
      <c r="AB584" s="2"/>
      <c r="AC584" s="16">
        <v>21689.18</v>
      </c>
      <c r="AD584" s="1">
        <v>1</v>
      </c>
      <c r="AE584" s="1">
        <v>0</v>
      </c>
      <c r="AG584" s="1" t="s">
        <v>21</v>
      </c>
      <c r="AI584" s="15">
        <v>21689.18</v>
      </c>
    </row>
    <row r="585" spans="1:35" s="1" customFormat="1" ht="15" customHeight="1" x14ac:dyDescent="0.2">
      <c r="A585" s="1" t="s">
        <v>19</v>
      </c>
      <c r="B585" s="5" t="s">
        <v>18</v>
      </c>
      <c r="C585" s="1" t="s">
        <v>37</v>
      </c>
      <c r="D585" s="1" t="s">
        <v>211</v>
      </c>
      <c r="E585" s="1" t="s">
        <v>35</v>
      </c>
      <c r="F585" s="1" t="s">
        <v>260</v>
      </c>
      <c r="G585" s="1" t="s">
        <v>259</v>
      </c>
      <c r="H585" s="1" t="s">
        <v>258</v>
      </c>
      <c r="I585" s="1" t="s">
        <v>2807</v>
      </c>
      <c r="J585" s="1">
        <v>2023</v>
      </c>
      <c r="K585" s="1" t="s">
        <v>2806</v>
      </c>
      <c r="L585" s="1" t="s">
        <v>2806</v>
      </c>
      <c r="M585" s="1" t="s">
        <v>2805</v>
      </c>
      <c r="P585" s="1" t="s">
        <v>2804</v>
      </c>
      <c r="Q585" s="1" t="s">
        <v>27</v>
      </c>
      <c r="R585" s="1" t="s">
        <v>26</v>
      </c>
      <c r="S585" s="1" t="s">
        <v>2624</v>
      </c>
      <c r="T585" s="1" t="s">
        <v>2623</v>
      </c>
      <c r="U585" s="1">
        <v>2</v>
      </c>
      <c r="V585" s="1" t="s">
        <v>2439</v>
      </c>
      <c r="W585" s="1" t="s">
        <v>2803</v>
      </c>
      <c r="Y585" s="3">
        <v>45802</v>
      </c>
      <c r="Z585" s="1">
        <v>2025</v>
      </c>
      <c r="AA585" s="16">
        <v>99144.8</v>
      </c>
      <c r="AB585" s="2"/>
      <c r="AC585" s="16">
        <v>12393.1</v>
      </c>
      <c r="AD585" s="1">
        <v>0</v>
      </c>
      <c r="AE585" s="1">
        <v>0</v>
      </c>
      <c r="AG585" s="1" t="s">
        <v>21</v>
      </c>
      <c r="AI585" s="15">
        <v>12393.1</v>
      </c>
    </row>
    <row r="586" spans="1:35" s="1" customFormat="1" ht="15" customHeight="1" x14ac:dyDescent="0.2">
      <c r="A586" s="1" t="s">
        <v>19</v>
      </c>
      <c r="B586" s="5" t="s">
        <v>18</v>
      </c>
      <c r="C586" s="1" t="s">
        <v>37</v>
      </c>
      <c r="D586" s="1" t="s">
        <v>211</v>
      </c>
      <c r="E586" s="1" t="s">
        <v>35</v>
      </c>
      <c r="F586" s="1" t="s">
        <v>260</v>
      </c>
      <c r="G586" s="1" t="s">
        <v>259</v>
      </c>
      <c r="H586" s="1" t="s">
        <v>258</v>
      </c>
      <c r="I586" s="1" t="s">
        <v>2802</v>
      </c>
      <c r="J586" s="1">
        <v>2023</v>
      </c>
      <c r="K586" s="1" t="s">
        <v>2801</v>
      </c>
      <c r="L586" s="1" t="s">
        <v>2801</v>
      </c>
      <c r="M586" s="1" t="s">
        <v>2800</v>
      </c>
      <c r="P586" s="1" t="s">
        <v>2799</v>
      </c>
      <c r="Q586" s="1" t="s">
        <v>27</v>
      </c>
      <c r="R586" s="1" t="s">
        <v>26</v>
      </c>
      <c r="S586" s="1" t="s">
        <v>2666</v>
      </c>
      <c r="T586" s="2" t="s">
        <v>2665</v>
      </c>
      <c r="U586" s="1">
        <v>2</v>
      </c>
      <c r="V586" s="1" t="s">
        <v>2439</v>
      </c>
      <c r="W586" s="1" t="s">
        <v>2798</v>
      </c>
      <c r="Y586" s="3">
        <v>45802</v>
      </c>
      <c r="Z586" s="1">
        <v>2025</v>
      </c>
      <c r="AA586" s="16">
        <v>436644.86</v>
      </c>
      <c r="AB586" s="2"/>
      <c r="AC586" s="16">
        <v>54580.61</v>
      </c>
      <c r="AD586" s="1">
        <v>3</v>
      </c>
      <c r="AE586" s="1">
        <v>0</v>
      </c>
      <c r="AG586" s="1" t="s">
        <v>21</v>
      </c>
      <c r="AI586" s="15">
        <v>54580.61</v>
      </c>
    </row>
    <row r="587" spans="1:35" s="1" customFormat="1" ht="15" customHeight="1" x14ac:dyDescent="0.2">
      <c r="A587" s="1" t="s">
        <v>19</v>
      </c>
      <c r="B587" s="5" t="s">
        <v>18</v>
      </c>
      <c r="C587" s="1" t="s">
        <v>37</v>
      </c>
      <c r="D587" s="1" t="s">
        <v>211</v>
      </c>
      <c r="E587" s="1" t="s">
        <v>35</v>
      </c>
      <c r="F587" s="1" t="s">
        <v>260</v>
      </c>
      <c r="G587" s="1" t="s">
        <v>259</v>
      </c>
      <c r="H587" s="1" t="s">
        <v>258</v>
      </c>
      <c r="I587" s="1" t="s">
        <v>2797</v>
      </c>
      <c r="J587" s="1">
        <v>2023</v>
      </c>
      <c r="K587" s="1" t="s">
        <v>2796</v>
      </c>
      <c r="L587" s="1" t="s">
        <v>2796</v>
      </c>
      <c r="M587" s="1" t="s">
        <v>2795</v>
      </c>
      <c r="P587" s="1" t="s">
        <v>2794</v>
      </c>
      <c r="Q587" s="1" t="s">
        <v>27</v>
      </c>
      <c r="R587" s="1" t="s">
        <v>26</v>
      </c>
      <c r="S587" s="1" t="s">
        <v>2624</v>
      </c>
      <c r="T587" s="2" t="s">
        <v>2623</v>
      </c>
      <c r="U587" s="1">
        <v>2</v>
      </c>
      <c r="V587" s="1" t="s">
        <v>2439</v>
      </c>
      <c r="W587" s="1" t="s">
        <v>2793</v>
      </c>
      <c r="Y587" s="3">
        <v>45802</v>
      </c>
      <c r="Z587" s="1">
        <v>2025</v>
      </c>
      <c r="AA587" s="16">
        <v>214461.96</v>
      </c>
      <c r="AB587" s="2"/>
      <c r="AC587" s="16">
        <v>37530.839999999997</v>
      </c>
      <c r="AD587" s="1">
        <v>2</v>
      </c>
      <c r="AE587" s="1">
        <v>1</v>
      </c>
      <c r="AG587" s="1" t="s">
        <v>21</v>
      </c>
      <c r="AI587" s="15">
        <v>37530.839999999997</v>
      </c>
    </row>
    <row r="588" spans="1:35" s="1" customFormat="1" ht="15" customHeight="1" x14ac:dyDescent="0.2">
      <c r="A588" s="1" t="s">
        <v>19</v>
      </c>
      <c r="B588" s="5" t="s">
        <v>18</v>
      </c>
      <c r="C588" s="1" t="s">
        <v>37</v>
      </c>
      <c r="D588" s="1" t="s">
        <v>211</v>
      </c>
      <c r="E588" s="1" t="s">
        <v>35</v>
      </c>
      <c r="F588" s="1" t="s">
        <v>260</v>
      </c>
      <c r="G588" s="1" t="s">
        <v>259</v>
      </c>
      <c r="H588" s="1" t="s">
        <v>258</v>
      </c>
      <c r="I588" s="1" t="s">
        <v>2792</v>
      </c>
      <c r="J588" s="1">
        <v>2023</v>
      </c>
      <c r="K588" s="1" t="s">
        <v>2791</v>
      </c>
      <c r="L588" s="1" t="s">
        <v>2791</v>
      </c>
      <c r="M588" s="1" t="s">
        <v>0</v>
      </c>
      <c r="P588" s="1" t="s">
        <v>2790</v>
      </c>
      <c r="Q588" s="1" t="s">
        <v>27</v>
      </c>
      <c r="R588" s="1" t="s">
        <v>26</v>
      </c>
      <c r="S588" s="1" t="s">
        <v>2649</v>
      </c>
      <c r="T588" s="2" t="s">
        <v>2648</v>
      </c>
      <c r="U588" s="1">
        <v>2</v>
      </c>
      <c r="V588" s="1" t="s">
        <v>2439</v>
      </c>
      <c r="W588" s="1" t="s">
        <v>2789</v>
      </c>
      <c r="Y588" s="3">
        <v>45802</v>
      </c>
      <c r="Z588" s="1">
        <v>2025</v>
      </c>
      <c r="AA588" s="16">
        <v>180972.59</v>
      </c>
      <c r="AB588" s="2"/>
      <c r="AC588" s="16">
        <v>31670.2</v>
      </c>
      <c r="AD588" s="1">
        <v>2</v>
      </c>
      <c r="AE588" s="1">
        <v>0</v>
      </c>
      <c r="AG588" s="1" t="s">
        <v>21</v>
      </c>
      <c r="AI588" s="15">
        <v>31670.2</v>
      </c>
    </row>
    <row r="589" spans="1:35" s="1" customFormat="1" ht="15" customHeight="1" x14ac:dyDescent="0.2">
      <c r="A589" s="1" t="s">
        <v>19</v>
      </c>
      <c r="B589" s="5" t="s">
        <v>18</v>
      </c>
      <c r="C589" s="1" t="s">
        <v>37</v>
      </c>
      <c r="D589" s="1" t="s">
        <v>211</v>
      </c>
      <c r="E589" s="1" t="s">
        <v>35</v>
      </c>
      <c r="F589" s="1" t="s">
        <v>210</v>
      </c>
      <c r="G589" s="1" t="s">
        <v>209</v>
      </c>
      <c r="H589" s="1" t="s">
        <v>208</v>
      </c>
      <c r="I589" s="1" t="s">
        <v>2788</v>
      </c>
      <c r="J589" s="1">
        <v>2023</v>
      </c>
      <c r="K589" s="1" t="s">
        <v>2787</v>
      </c>
      <c r="L589" s="1" t="s">
        <v>2784</v>
      </c>
      <c r="M589" s="1" t="s">
        <v>2786</v>
      </c>
      <c r="P589" s="1" t="s">
        <v>2785</v>
      </c>
      <c r="Q589" s="1" t="s">
        <v>27</v>
      </c>
      <c r="R589" s="1" t="s">
        <v>26</v>
      </c>
      <c r="S589" s="1" t="s">
        <v>2624</v>
      </c>
      <c r="T589" s="1" t="s">
        <v>2623</v>
      </c>
      <c r="U589" s="1">
        <v>2</v>
      </c>
      <c r="V589" s="1" t="s">
        <v>2439</v>
      </c>
      <c r="W589" s="1" t="s">
        <v>2784</v>
      </c>
      <c r="Y589" s="3">
        <v>45478</v>
      </c>
      <c r="Z589" s="1">
        <v>2024</v>
      </c>
      <c r="AA589" s="2">
        <v>126764.36</v>
      </c>
      <c r="AB589" s="2"/>
      <c r="AC589" s="2">
        <v>31691.09</v>
      </c>
      <c r="AD589" s="1">
        <v>0</v>
      </c>
      <c r="AG589" s="1" t="s">
        <v>21</v>
      </c>
      <c r="AI589" s="2">
        <v>31691.09</v>
      </c>
    </row>
    <row r="590" spans="1:35" s="1" customFormat="1" ht="15" customHeight="1" x14ac:dyDescent="0.2">
      <c r="A590" s="1" t="s">
        <v>19</v>
      </c>
      <c r="B590" s="5" t="s">
        <v>18</v>
      </c>
      <c r="C590" s="1" t="s">
        <v>37</v>
      </c>
      <c r="D590" s="1" t="s">
        <v>211</v>
      </c>
      <c r="E590" s="1" t="s">
        <v>35</v>
      </c>
      <c r="F590" s="1" t="s">
        <v>210</v>
      </c>
      <c r="G590" s="1" t="s">
        <v>209</v>
      </c>
      <c r="H590" s="1" t="s">
        <v>208</v>
      </c>
      <c r="I590" s="1" t="s">
        <v>2783</v>
      </c>
      <c r="J590" s="1">
        <v>2023</v>
      </c>
      <c r="K590" s="1" t="s">
        <v>1917</v>
      </c>
      <c r="L590" s="1" t="s">
        <v>2782</v>
      </c>
      <c r="P590" s="1" t="s">
        <v>2781</v>
      </c>
      <c r="Q590" s="1" t="s">
        <v>27</v>
      </c>
      <c r="R590" s="1" t="s">
        <v>26</v>
      </c>
      <c r="S590" s="1" t="s">
        <v>2677</v>
      </c>
      <c r="T590" s="1" t="s">
        <v>2676</v>
      </c>
      <c r="U590" s="1">
        <v>2</v>
      </c>
      <c r="V590" s="1" t="s">
        <v>2439</v>
      </c>
      <c r="W590" s="1" t="s">
        <v>2780</v>
      </c>
      <c r="Y590" s="3">
        <v>45478</v>
      </c>
      <c r="Z590" s="1">
        <v>2024</v>
      </c>
      <c r="AA590" s="2">
        <v>499994</v>
      </c>
      <c r="AB590" s="2"/>
      <c r="AC590" s="2">
        <v>130000</v>
      </c>
      <c r="AD590" s="1">
        <v>1</v>
      </c>
      <c r="AG590" s="1" t="s">
        <v>21</v>
      </c>
      <c r="AI590" s="2">
        <v>130000</v>
      </c>
    </row>
    <row r="591" spans="1:35" s="1" customFormat="1" ht="15" customHeight="1" x14ac:dyDescent="0.2">
      <c r="A591" s="1" t="s">
        <v>19</v>
      </c>
      <c r="B591" s="5" t="s">
        <v>18</v>
      </c>
      <c r="C591" s="1" t="s">
        <v>37</v>
      </c>
      <c r="D591" s="1" t="s">
        <v>211</v>
      </c>
      <c r="E591" s="1" t="s">
        <v>35</v>
      </c>
      <c r="F591" s="1" t="s">
        <v>210</v>
      </c>
      <c r="G591" s="1" t="s">
        <v>209</v>
      </c>
      <c r="H591" s="1" t="s">
        <v>208</v>
      </c>
      <c r="I591" s="1" t="s">
        <v>2779</v>
      </c>
      <c r="J591" s="1">
        <v>2023</v>
      </c>
      <c r="K591" s="1" t="s">
        <v>2778</v>
      </c>
      <c r="L591" s="1" t="s">
        <v>2776</v>
      </c>
      <c r="P591" s="1" t="s">
        <v>2777</v>
      </c>
      <c r="Q591" s="1" t="s">
        <v>27</v>
      </c>
      <c r="R591" s="1" t="s">
        <v>26</v>
      </c>
      <c r="S591" s="1" t="s">
        <v>2624</v>
      </c>
      <c r="T591" s="1" t="s">
        <v>2623</v>
      </c>
      <c r="U591" s="1">
        <v>2</v>
      </c>
      <c r="V591" s="1" t="s">
        <v>2439</v>
      </c>
      <c r="W591" s="1" t="s">
        <v>2776</v>
      </c>
      <c r="Y591" s="3">
        <v>45478</v>
      </c>
      <c r="Z591" s="1">
        <v>2024</v>
      </c>
      <c r="AA591" s="2">
        <v>119000</v>
      </c>
      <c r="AB591" s="2"/>
      <c r="AC591" s="2">
        <v>29750</v>
      </c>
      <c r="AD591" s="1">
        <v>0</v>
      </c>
      <c r="AG591" s="1" t="s">
        <v>21</v>
      </c>
      <c r="AI591" s="2">
        <v>29750</v>
      </c>
    </row>
    <row r="592" spans="1:35" s="1" customFormat="1" ht="15" customHeight="1" x14ac:dyDescent="0.2">
      <c r="A592" s="1" t="s">
        <v>19</v>
      </c>
      <c r="B592" s="5" t="s">
        <v>18</v>
      </c>
      <c r="C592" s="1" t="s">
        <v>37</v>
      </c>
      <c r="D592" s="1" t="s">
        <v>211</v>
      </c>
      <c r="E592" s="1" t="s">
        <v>35</v>
      </c>
      <c r="F592" s="1" t="s">
        <v>210</v>
      </c>
      <c r="G592" s="1" t="s">
        <v>209</v>
      </c>
      <c r="H592" s="1" t="s">
        <v>208</v>
      </c>
      <c r="I592" s="1" t="s">
        <v>2775</v>
      </c>
      <c r="J592" s="1">
        <v>2023</v>
      </c>
      <c r="K592" s="1" t="s">
        <v>2774</v>
      </c>
      <c r="L592" s="1" t="s">
        <v>2773</v>
      </c>
      <c r="M592" s="1" t="s">
        <v>2772</v>
      </c>
      <c r="P592" s="1" t="s">
        <v>2771</v>
      </c>
      <c r="Q592" s="1" t="s">
        <v>27</v>
      </c>
      <c r="R592" s="1" t="s">
        <v>26</v>
      </c>
      <c r="S592" s="1" t="s">
        <v>2666</v>
      </c>
      <c r="T592" s="1" t="s">
        <v>2665</v>
      </c>
      <c r="U592" s="1">
        <v>2</v>
      </c>
      <c r="V592" s="1" t="s">
        <v>2439</v>
      </c>
      <c r="W592" s="1" t="s">
        <v>2770</v>
      </c>
      <c r="Y592" s="3">
        <v>45478</v>
      </c>
      <c r="Z592" s="1">
        <v>2024</v>
      </c>
      <c r="AA592" s="2">
        <v>125354.89</v>
      </c>
      <c r="AB592" s="2"/>
      <c r="AC592" s="2">
        <v>61338.720000000001</v>
      </c>
      <c r="AD592" s="1">
        <v>1</v>
      </c>
      <c r="AE592" s="1">
        <v>1</v>
      </c>
      <c r="AG592" s="1" t="s">
        <v>21</v>
      </c>
      <c r="AI592" s="2">
        <v>61338.720000000001</v>
      </c>
    </row>
    <row r="593" spans="1:35" s="1" customFormat="1" ht="15" customHeight="1" x14ac:dyDescent="0.2">
      <c r="A593" s="1" t="s">
        <v>19</v>
      </c>
      <c r="B593" s="5" t="s">
        <v>18</v>
      </c>
      <c r="C593" s="1" t="s">
        <v>37</v>
      </c>
      <c r="D593" s="1" t="s">
        <v>211</v>
      </c>
      <c r="E593" s="1" t="s">
        <v>35</v>
      </c>
      <c r="F593" s="1" t="s">
        <v>210</v>
      </c>
      <c r="G593" s="1" t="s">
        <v>209</v>
      </c>
      <c r="H593" s="1" t="s">
        <v>208</v>
      </c>
      <c r="I593" s="1" t="s">
        <v>2769</v>
      </c>
      <c r="J593" s="1">
        <v>2023</v>
      </c>
      <c r="K593" s="1" t="s">
        <v>2768</v>
      </c>
      <c r="L593" s="1" t="s">
        <v>2767</v>
      </c>
      <c r="P593" s="1" t="s">
        <v>2766</v>
      </c>
      <c r="Q593" s="1" t="s">
        <v>27</v>
      </c>
      <c r="R593" s="1" t="s">
        <v>26</v>
      </c>
      <c r="S593" s="1" t="s">
        <v>2624</v>
      </c>
      <c r="T593" s="1" t="s">
        <v>2623</v>
      </c>
      <c r="U593" s="1">
        <v>2</v>
      </c>
      <c r="V593" s="1" t="s">
        <v>2439</v>
      </c>
      <c r="W593" s="1" t="s">
        <v>2765</v>
      </c>
      <c r="Y593" s="3">
        <v>45478</v>
      </c>
      <c r="Z593" s="1">
        <v>2024</v>
      </c>
      <c r="AA593" s="2">
        <v>133139.82999999999</v>
      </c>
      <c r="AB593" s="2"/>
      <c r="AC593" s="2">
        <v>48284.959999999999</v>
      </c>
      <c r="AD593" s="1">
        <v>0.5</v>
      </c>
      <c r="AE593" s="1">
        <v>0.5</v>
      </c>
      <c r="AG593" s="1" t="s">
        <v>21</v>
      </c>
      <c r="AI593" s="2">
        <v>48284.959999999999</v>
      </c>
    </row>
    <row r="594" spans="1:35" s="1" customFormat="1" ht="15" customHeight="1" x14ac:dyDescent="0.2">
      <c r="A594" s="1" t="s">
        <v>19</v>
      </c>
      <c r="B594" s="5" t="s">
        <v>18</v>
      </c>
      <c r="C594" s="1" t="s">
        <v>37</v>
      </c>
      <c r="D594" s="1" t="s">
        <v>211</v>
      </c>
      <c r="E594" s="1" t="s">
        <v>35</v>
      </c>
      <c r="F594" s="1" t="s">
        <v>210</v>
      </c>
      <c r="G594" s="1" t="s">
        <v>209</v>
      </c>
      <c r="H594" s="1" t="s">
        <v>208</v>
      </c>
      <c r="I594" s="1" t="s">
        <v>2764</v>
      </c>
      <c r="J594" s="1">
        <v>2023</v>
      </c>
      <c r="K594" s="1" t="s">
        <v>2763</v>
      </c>
      <c r="L594" s="1" t="s">
        <v>2762</v>
      </c>
      <c r="P594" s="1" t="s">
        <v>2761</v>
      </c>
      <c r="Q594" s="1" t="s">
        <v>27</v>
      </c>
      <c r="R594" s="1" t="s">
        <v>26</v>
      </c>
      <c r="S594" s="1" t="s">
        <v>2677</v>
      </c>
      <c r="T594" s="1" t="s">
        <v>2676</v>
      </c>
      <c r="U594" s="1">
        <v>2</v>
      </c>
      <c r="V594" s="1" t="s">
        <v>2439</v>
      </c>
      <c r="W594" s="1" t="s">
        <v>2760</v>
      </c>
      <c r="Y594" s="3">
        <v>45478</v>
      </c>
      <c r="Z594" s="1">
        <v>2024</v>
      </c>
      <c r="AA594" s="2">
        <v>148447.5</v>
      </c>
      <c r="AB594" s="2"/>
      <c r="AC594" s="2">
        <v>74223.75</v>
      </c>
      <c r="AD594" s="1">
        <v>5</v>
      </c>
      <c r="AG594" s="1" t="s">
        <v>21</v>
      </c>
      <c r="AI594" s="2">
        <v>74223.75</v>
      </c>
    </row>
    <row r="595" spans="1:35" s="1" customFormat="1" ht="15" customHeight="1" x14ac:dyDescent="0.2">
      <c r="A595" s="1" t="s">
        <v>19</v>
      </c>
      <c r="B595" s="5" t="s">
        <v>18</v>
      </c>
      <c r="C595" s="1" t="s">
        <v>37</v>
      </c>
      <c r="D595" s="1" t="s">
        <v>211</v>
      </c>
      <c r="E595" s="1" t="s">
        <v>35</v>
      </c>
      <c r="F595" s="1" t="s">
        <v>210</v>
      </c>
      <c r="G595" s="1" t="s">
        <v>209</v>
      </c>
      <c r="H595" s="1" t="s">
        <v>208</v>
      </c>
      <c r="I595" s="1" t="s">
        <v>2759</v>
      </c>
      <c r="J595" s="1">
        <v>2023</v>
      </c>
      <c r="K595" s="1" t="s">
        <v>2758</v>
      </c>
      <c r="L595" s="1" t="s">
        <v>2757</v>
      </c>
      <c r="M595" s="1" t="s">
        <v>2756</v>
      </c>
      <c r="P595" s="1" t="s">
        <v>2755</v>
      </c>
      <c r="Q595" s="1" t="s">
        <v>27</v>
      </c>
      <c r="R595" s="1" t="s">
        <v>26</v>
      </c>
      <c r="S595" s="1" t="s">
        <v>2677</v>
      </c>
      <c r="T595" s="1" t="s">
        <v>2676</v>
      </c>
      <c r="U595" s="1">
        <v>2</v>
      </c>
      <c r="V595" s="1" t="s">
        <v>2439</v>
      </c>
      <c r="W595" s="1" t="s">
        <v>1917</v>
      </c>
      <c r="Y595" s="3">
        <v>45478</v>
      </c>
      <c r="Z595" s="1">
        <v>2024</v>
      </c>
      <c r="AA595" s="2">
        <v>447584</v>
      </c>
      <c r="AB595" s="2"/>
      <c r="AC595" s="2">
        <v>104396</v>
      </c>
      <c r="AD595" s="1">
        <v>6</v>
      </c>
      <c r="AG595" s="1" t="s">
        <v>21</v>
      </c>
      <c r="AI595" s="2">
        <v>104396</v>
      </c>
    </row>
    <row r="596" spans="1:35" s="1" customFormat="1" ht="15" customHeight="1" x14ac:dyDescent="0.2">
      <c r="A596" s="1" t="s">
        <v>19</v>
      </c>
      <c r="B596" s="5" t="s">
        <v>18</v>
      </c>
      <c r="C596" s="1" t="s">
        <v>37</v>
      </c>
      <c r="D596" s="1" t="s">
        <v>211</v>
      </c>
      <c r="E596" s="1" t="s">
        <v>35</v>
      </c>
      <c r="F596" s="1" t="s">
        <v>210</v>
      </c>
      <c r="G596" s="1" t="s">
        <v>209</v>
      </c>
      <c r="H596" s="1" t="s">
        <v>130</v>
      </c>
      <c r="I596" s="1" t="s">
        <v>2754</v>
      </c>
      <c r="J596" s="1">
        <v>2023</v>
      </c>
      <c r="K596" s="1" t="s">
        <v>2753</v>
      </c>
      <c r="L596" s="1" t="s">
        <v>2752</v>
      </c>
      <c r="P596" s="1" t="s">
        <v>2751</v>
      </c>
      <c r="Q596" s="1" t="s">
        <v>27</v>
      </c>
      <c r="R596" s="1" t="s">
        <v>26</v>
      </c>
      <c r="S596" s="1" t="s">
        <v>2490</v>
      </c>
      <c r="T596" s="1" t="s">
        <v>2489</v>
      </c>
      <c r="U596" s="1">
        <v>1</v>
      </c>
      <c r="V596" s="1" t="s">
        <v>2439</v>
      </c>
      <c r="W596" s="1" t="s">
        <v>2750</v>
      </c>
      <c r="Y596" s="3">
        <v>45478</v>
      </c>
      <c r="Z596" s="1">
        <v>2024</v>
      </c>
      <c r="AA596" s="2">
        <v>99608.53</v>
      </c>
      <c r="AB596" s="2"/>
      <c r="AC596" s="2">
        <v>49804.27</v>
      </c>
      <c r="AD596" s="1">
        <v>1</v>
      </c>
      <c r="AG596" s="1" t="s">
        <v>21</v>
      </c>
      <c r="AI596" s="2">
        <v>49804.27</v>
      </c>
    </row>
    <row r="597" spans="1:35" s="1" customFormat="1" ht="15" customHeight="1" x14ac:dyDescent="0.2">
      <c r="A597" s="1" t="s">
        <v>19</v>
      </c>
      <c r="B597" s="5" t="s">
        <v>18</v>
      </c>
      <c r="C597" s="1" t="s">
        <v>37</v>
      </c>
      <c r="D597" s="1" t="s">
        <v>211</v>
      </c>
      <c r="E597" s="1" t="s">
        <v>35</v>
      </c>
      <c r="F597" s="1" t="s">
        <v>210</v>
      </c>
      <c r="G597" s="1" t="s">
        <v>209</v>
      </c>
      <c r="H597" s="1" t="s">
        <v>130</v>
      </c>
      <c r="I597" s="1" t="s">
        <v>2749</v>
      </c>
      <c r="J597" s="1">
        <v>2023</v>
      </c>
      <c r="K597" s="1" t="s">
        <v>2748</v>
      </c>
      <c r="L597" s="1" t="s">
        <v>2747</v>
      </c>
      <c r="P597" s="1" t="s">
        <v>2746</v>
      </c>
      <c r="Q597" s="1" t="s">
        <v>27</v>
      </c>
      <c r="R597" s="1" t="s">
        <v>26</v>
      </c>
      <c r="S597" s="1" t="s">
        <v>2624</v>
      </c>
      <c r="T597" s="1" t="s">
        <v>2623</v>
      </c>
      <c r="U597" s="1">
        <v>2</v>
      </c>
      <c r="V597" s="1" t="s">
        <v>2439</v>
      </c>
      <c r="W597" s="1" t="s">
        <v>2745</v>
      </c>
      <c r="Y597" s="3">
        <v>45478</v>
      </c>
      <c r="Z597" s="1">
        <v>2024</v>
      </c>
      <c r="AA597" s="2">
        <v>150576</v>
      </c>
      <c r="AB597" s="2"/>
      <c r="AC597" s="2">
        <v>75288</v>
      </c>
      <c r="AD597" s="1">
        <v>4</v>
      </c>
      <c r="AE597" s="1">
        <v>4</v>
      </c>
      <c r="AG597" s="1" t="s">
        <v>21</v>
      </c>
      <c r="AI597" s="2">
        <v>75288</v>
      </c>
    </row>
    <row r="598" spans="1:35" s="1" customFormat="1" ht="15" customHeight="1" x14ac:dyDescent="0.2">
      <c r="A598" s="1" t="s">
        <v>19</v>
      </c>
      <c r="B598" s="5" t="s">
        <v>18</v>
      </c>
      <c r="C598" s="1" t="s">
        <v>37</v>
      </c>
      <c r="D598" s="1" t="s">
        <v>211</v>
      </c>
      <c r="E598" s="1" t="s">
        <v>35</v>
      </c>
      <c r="F598" s="1" t="s">
        <v>210</v>
      </c>
      <c r="G598" s="1" t="s">
        <v>209</v>
      </c>
      <c r="H598" s="1" t="s">
        <v>208</v>
      </c>
      <c r="I598" s="1" t="s">
        <v>2744</v>
      </c>
      <c r="J598" s="1">
        <v>2023</v>
      </c>
      <c r="K598" s="1" t="s">
        <v>2743</v>
      </c>
      <c r="L598" s="1" t="s">
        <v>2742</v>
      </c>
      <c r="P598" s="1" t="s">
        <v>2741</v>
      </c>
      <c r="Q598" s="1" t="s">
        <v>27</v>
      </c>
      <c r="R598" s="1" t="s">
        <v>26</v>
      </c>
      <c r="S598" s="1" t="s">
        <v>2624</v>
      </c>
      <c r="T598" s="1" t="s">
        <v>2623</v>
      </c>
      <c r="U598" s="1">
        <v>2</v>
      </c>
      <c r="V598" s="1" t="s">
        <v>2439</v>
      </c>
      <c r="W598" s="1" t="s">
        <v>2740</v>
      </c>
      <c r="Y598" s="3">
        <v>45478</v>
      </c>
      <c r="Z598" s="1">
        <v>2024</v>
      </c>
      <c r="AA598" s="2">
        <v>469250</v>
      </c>
      <c r="AB598" s="2"/>
      <c r="AC598" s="2">
        <v>100000</v>
      </c>
      <c r="AD598" s="1">
        <v>0</v>
      </c>
      <c r="AG598" s="1" t="s">
        <v>21</v>
      </c>
      <c r="AI598" s="2">
        <v>100000</v>
      </c>
    </row>
    <row r="599" spans="1:35" s="1" customFormat="1" ht="15" customHeight="1" x14ac:dyDescent="0.2">
      <c r="A599" s="1" t="s">
        <v>19</v>
      </c>
      <c r="B599" s="5" t="s">
        <v>18</v>
      </c>
      <c r="C599" s="1" t="s">
        <v>37</v>
      </c>
      <c r="D599" s="1" t="s">
        <v>211</v>
      </c>
      <c r="E599" s="1" t="s">
        <v>35</v>
      </c>
      <c r="F599" s="1" t="s">
        <v>210</v>
      </c>
      <c r="G599" s="1" t="s">
        <v>209</v>
      </c>
      <c r="H599" s="1" t="s">
        <v>208</v>
      </c>
      <c r="I599" s="1" t="s">
        <v>2739</v>
      </c>
      <c r="J599" s="1">
        <v>2023</v>
      </c>
      <c r="K599" s="1" t="s">
        <v>2738</v>
      </c>
      <c r="L599" s="1" t="s">
        <v>2737</v>
      </c>
      <c r="P599" s="1" t="s">
        <v>2736</v>
      </c>
      <c r="Q599" s="1" t="s">
        <v>27</v>
      </c>
      <c r="R599" s="1" t="s">
        <v>26</v>
      </c>
      <c r="S599" s="1" t="s">
        <v>2624</v>
      </c>
      <c r="T599" s="1" t="s">
        <v>2623</v>
      </c>
      <c r="U599" s="1">
        <v>2</v>
      </c>
      <c r="V599" s="1" t="s">
        <v>2439</v>
      </c>
      <c r="W599" s="1" t="s">
        <v>2735</v>
      </c>
      <c r="Y599" s="3">
        <v>45478</v>
      </c>
      <c r="Z599" s="1">
        <v>2024</v>
      </c>
      <c r="AA599" s="2">
        <v>280341.59999999998</v>
      </c>
      <c r="AB599" s="2"/>
      <c r="AC599" s="2">
        <v>70085.399999999994</v>
      </c>
      <c r="AD599" s="1">
        <v>0</v>
      </c>
      <c r="AG599" s="1" t="s">
        <v>21</v>
      </c>
      <c r="AI599" s="2">
        <v>70085.399999999994</v>
      </c>
    </row>
    <row r="600" spans="1:35" s="1" customFormat="1" ht="15" customHeight="1" x14ac:dyDescent="0.2">
      <c r="A600" s="1" t="s">
        <v>19</v>
      </c>
      <c r="B600" s="5" t="s">
        <v>18</v>
      </c>
      <c r="C600" s="1" t="s">
        <v>37</v>
      </c>
      <c r="D600" s="1" t="s">
        <v>211</v>
      </c>
      <c r="E600" s="1" t="s">
        <v>35</v>
      </c>
      <c r="F600" s="1" t="s">
        <v>210</v>
      </c>
      <c r="G600" s="1" t="s">
        <v>209</v>
      </c>
      <c r="H600" s="1" t="s">
        <v>208</v>
      </c>
      <c r="I600" s="1" t="s">
        <v>2734</v>
      </c>
      <c r="J600" s="1">
        <v>2023</v>
      </c>
      <c r="K600" s="1" t="s">
        <v>2733</v>
      </c>
      <c r="L600" s="1" t="s">
        <v>2732</v>
      </c>
      <c r="P600" s="1" t="s">
        <v>2731</v>
      </c>
      <c r="Q600" s="1" t="s">
        <v>27</v>
      </c>
      <c r="R600" s="1" t="s">
        <v>26</v>
      </c>
      <c r="S600" s="1" t="s">
        <v>2624</v>
      </c>
      <c r="T600" s="1" t="s">
        <v>2623</v>
      </c>
      <c r="U600" s="1">
        <v>2</v>
      </c>
      <c r="V600" s="1" t="s">
        <v>2439</v>
      </c>
      <c r="W600" s="1" t="s">
        <v>2730</v>
      </c>
      <c r="Y600" s="3">
        <v>45478</v>
      </c>
      <c r="Z600" s="1">
        <v>2024</v>
      </c>
      <c r="AA600" s="2">
        <v>196212.32</v>
      </c>
      <c r="AB600" s="2"/>
      <c r="AC600" s="2">
        <v>49053.08</v>
      </c>
      <c r="AD600" s="1">
        <v>0</v>
      </c>
      <c r="AG600" s="1" t="s">
        <v>21</v>
      </c>
      <c r="AI600" s="2">
        <v>49053.08</v>
      </c>
    </row>
    <row r="601" spans="1:35" s="1" customFormat="1" ht="15" customHeight="1" x14ac:dyDescent="0.2">
      <c r="A601" s="1" t="s">
        <v>19</v>
      </c>
      <c r="B601" s="5" t="s">
        <v>18</v>
      </c>
      <c r="C601" s="1" t="s">
        <v>37</v>
      </c>
      <c r="D601" s="1" t="s">
        <v>211</v>
      </c>
      <c r="E601" s="1" t="s">
        <v>35</v>
      </c>
      <c r="F601" s="1" t="s">
        <v>210</v>
      </c>
      <c r="G601" s="1" t="s">
        <v>209</v>
      </c>
      <c r="H601" s="1" t="s">
        <v>130</v>
      </c>
      <c r="I601" s="1" t="s">
        <v>2729</v>
      </c>
      <c r="J601" s="1">
        <v>2023</v>
      </c>
      <c r="K601" s="1" t="s">
        <v>2728</v>
      </c>
      <c r="L601" s="1" t="s">
        <v>2727</v>
      </c>
      <c r="P601" s="1" t="s">
        <v>2726</v>
      </c>
      <c r="Q601" s="1" t="s">
        <v>27</v>
      </c>
      <c r="R601" s="1" t="s">
        <v>26</v>
      </c>
      <c r="S601" s="1" t="s">
        <v>2490</v>
      </c>
      <c r="T601" s="1" t="s">
        <v>2489</v>
      </c>
      <c r="U601" s="1">
        <v>1</v>
      </c>
      <c r="V601" s="1" t="s">
        <v>2439</v>
      </c>
      <c r="W601" s="1" t="s">
        <v>2725</v>
      </c>
      <c r="Y601" s="3">
        <v>45478</v>
      </c>
      <c r="Z601" s="1">
        <v>2024</v>
      </c>
      <c r="AA601" s="2">
        <v>444865.7</v>
      </c>
      <c r="AB601" s="2"/>
      <c r="AC601" s="2">
        <v>133459.71</v>
      </c>
      <c r="AD601" s="1">
        <v>30</v>
      </c>
      <c r="AG601" s="1" t="s">
        <v>21</v>
      </c>
      <c r="AI601" s="2">
        <v>133459.71</v>
      </c>
    </row>
    <row r="602" spans="1:35" s="1" customFormat="1" ht="15" customHeight="1" x14ac:dyDescent="0.2">
      <c r="A602" s="1" t="s">
        <v>19</v>
      </c>
      <c r="B602" s="5" t="s">
        <v>18</v>
      </c>
      <c r="C602" s="1" t="s">
        <v>37</v>
      </c>
      <c r="D602" s="1" t="s">
        <v>211</v>
      </c>
      <c r="E602" s="1" t="s">
        <v>35</v>
      </c>
      <c r="F602" s="1" t="s">
        <v>210</v>
      </c>
      <c r="G602" s="1" t="s">
        <v>209</v>
      </c>
      <c r="H602" s="1" t="s">
        <v>208</v>
      </c>
      <c r="I602" s="1" t="s">
        <v>2724</v>
      </c>
      <c r="J602" s="1">
        <v>2023</v>
      </c>
      <c r="K602" s="1" t="s">
        <v>2723</v>
      </c>
      <c r="L602" s="1" t="s">
        <v>2722</v>
      </c>
      <c r="P602" s="1" t="s">
        <v>2721</v>
      </c>
      <c r="Q602" s="1" t="s">
        <v>27</v>
      </c>
      <c r="R602" s="1" t="s">
        <v>26</v>
      </c>
      <c r="S602" s="1" t="s">
        <v>2490</v>
      </c>
      <c r="T602" s="1" t="s">
        <v>2489</v>
      </c>
      <c r="U602" s="1">
        <v>1</v>
      </c>
      <c r="V602" s="1" t="s">
        <v>2439</v>
      </c>
      <c r="W602" s="1" t="s">
        <v>2720</v>
      </c>
      <c r="Y602" s="3">
        <v>45478</v>
      </c>
      <c r="Z602" s="1">
        <v>2024</v>
      </c>
      <c r="AA602" s="2">
        <v>488976.2</v>
      </c>
      <c r="AB602" s="2"/>
      <c r="AC602" s="2">
        <v>130000</v>
      </c>
      <c r="AD602" s="1">
        <v>1</v>
      </c>
      <c r="AG602" s="1" t="s">
        <v>21</v>
      </c>
      <c r="AI602" s="2">
        <v>130000</v>
      </c>
    </row>
    <row r="603" spans="1:35" s="1" customFormat="1" ht="15" customHeight="1" x14ac:dyDescent="0.2">
      <c r="A603" s="1" t="s">
        <v>19</v>
      </c>
      <c r="B603" s="5" t="s">
        <v>18</v>
      </c>
      <c r="C603" s="1" t="s">
        <v>37</v>
      </c>
      <c r="D603" s="1" t="s">
        <v>211</v>
      </c>
      <c r="E603" s="1" t="s">
        <v>35</v>
      </c>
      <c r="F603" s="1" t="s">
        <v>210</v>
      </c>
      <c r="G603" s="1" t="s">
        <v>209</v>
      </c>
      <c r="H603" s="1" t="s">
        <v>208</v>
      </c>
      <c r="I603" s="1" t="s">
        <v>2719</v>
      </c>
      <c r="J603" s="1">
        <v>2023</v>
      </c>
      <c r="K603" s="1" t="s">
        <v>2718</v>
      </c>
      <c r="L603" s="1" t="s">
        <v>2717</v>
      </c>
      <c r="P603" s="1" t="s">
        <v>2716</v>
      </c>
      <c r="Q603" s="1" t="s">
        <v>27</v>
      </c>
      <c r="R603" s="1" t="s">
        <v>26</v>
      </c>
      <c r="S603" s="1" t="s">
        <v>2624</v>
      </c>
      <c r="T603" s="1" t="s">
        <v>2623</v>
      </c>
      <c r="U603" s="1">
        <v>2</v>
      </c>
      <c r="V603" s="1" t="s">
        <v>2439</v>
      </c>
      <c r="W603" s="1" t="s">
        <v>2715</v>
      </c>
      <c r="Y603" s="3">
        <v>45478</v>
      </c>
      <c r="Z603" s="1">
        <v>2024</v>
      </c>
      <c r="AA603" s="2">
        <v>412879.14</v>
      </c>
      <c r="AB603" s="2"/>
      <c r="AC603" s="2">
        <v>200000</v>
      </c>
      <c r="AD603" s="1">
        <v>5</v>
      </c>
      <c r="AG603" s="1" t="s">
        <v>21</v>
      </c>
      <c r="AI603" s="2">
        <v>200000</v>
      </c>
    </row>
    <row r="604" spans="1:35" s="1" customFormat="1" ht="15" customHeight="1" x14ac:dyDescent="0.2">
      <c r="A604" s="1" t="s">
        <v>19</v>
      </c>
      <c r="B604" s="5" t="s">
        <v>18</v>
      </c>
      <c r="C604" s="1" t="s">
        <v>37</v>
      </c>
      <c r="D604" s="1" t="s">
        <v>211</v>
      </c>
      <c r="E604" s="1" t="s">
        <v>35</v>
      </c>
      <c r="F604" s="1" t="s">
        <v>210</v>
      </c>
      <c r="G604" s="1" t="s">
        <v>209</v>
      </c>
      <c r="H604" s="1" t="s">
        <v>208</v>
      </c>
      <c r="I604" s="1" t="s">
        <v>2714</v>
      </c>
      <c r="J604" s="1">
        <v>2023</v>
      </c>
      <c r="K604" s="1" t="s">
        <v>2713</v>
      </c>
      <c r="L604" s="1" t="s">
        <v>2712</v>
      </c>
      <c r="P604" s="1" t="s">
        <v>2711</v>
      </c>
      <c r="Q604" s="1" t="s">
        <v>27</v>
      </c>
      <c r="R604" s="1" t="s">
        <v>26</v>
      </c>
      <c r="S604" s="1" t="s">
        <v>2624</v>
      </c>
      <c r="T604" s="1" t="s">
        <v>2623</v>
      </c>
      <c r="U604" s="1">
        <v>2</v>
      </c>
      <c r="V604" s="1" t="s">
        <v>2439</v>
      </c>
      <c r="W604" s="1" t="s">
        <v>2710</v>
      </c>
      <c r="Y604" s="3">
        <v>45478</v>
      </c>
      <c r="Z604" s="1">
        <v>2024</v>
      </c>
      <c r="AA604" s="2">
        <v>77532.2</v>
      </c>
      <c r="AB604" s="2"/>
      <c r="AC604" s="2">
        <v>19383.05</v>
      </c>
      <c r="AD604" s="1">
        <v>0</v>
      </c>
      <c r="AG604" s="1" t="s">
        <v>21</v>
      </c>
      <c r="AI604" s="2">
        <v>19383.05</v>
      </c>
    </row>
    <row r="605" spans="1:35" s="1" customFormat="1" ht="15" customHeight="1" x14ac:dyDescent="0.2">
      <c r="A605" s="1" t="s">
        <v>19</v>
      </c>
      <c r="B605" s="5" t="s">
        <v>18</v>
      </c>
      <c r="C605" s="1" t="s">
        <v>37</v>
      </c>
      <c r="D605" s="1" t="s">
        <v>211</v>
      </c>
      <c r="E605" s="1" t="s">
        <v>35</v>
      </c>
      <c r="F605" s="1" t="s">
        <v>210</v>
      </c>
      <c r="G605" s="1" t="s">
        <v>209</v>
      </c>
      <c r="H605" s="1" t="s">
        <v>208</v>
      </c>
      <c r="I605" s="1" t="s">
        <v>2709</v>
      </c>
      <c r="J605" s="1">
        <v>2023</v>
      </c>
      <c r="K605" s="1" t="s">
        <v>2708</v>
      </c>
      <c r="L605" s="1" t="s">
        <v>2707</v>
      </c>
      <c r="M605" s="1" t="s">
        <v>2706</v>
      </c>
      <c r="P605" s="1" t="s">
        <v>2705</v>
      </c>
      <c r="Q605" s="1" t="s">
        <v>27</v>
      </c>
      <c r="R605" s="1" t="s">
        <v>26</v>
      </c>
      <c r="S605" s="1" t="s">
        <v>2624</v>
      </c>
      <c r="T605" s="1" t="s">
        <v>2623</v>
      </c>
      <c r="U605" s="1">
        <v>2</v>
      </c>
      <c r="V605" s="1" t="s">
        <v>2439</v>
      </c>
      <c r="W605" s="1" t="s">
        <v>2704</v>
      </c>
      <c r="Y605" s="3">
        <v>45478</v>
      </c>
      <c r="Z605" s="1">
        <v>2024</v>
      </c>
      <c r="AA605" s="2">
        <v>455334.54</v>
      </c>
      <c r="AB605" s="2"/>
      <c r="AC605" s="2">
        <v>160000</v>
      </c>
      <c r="AD605" s="1">
        <v>2</v>
      </c>
      <c r="AE605" s="1">
        <v>2</v>
      </c>
      <c r="AG605" s="1" t="s">
        <v>21</v>
      </c>
      <c r="AI605" s="2">
        <v>160000</v>
      </c>
    </row>
    <row r="606" spans="1:35" s="1" customFormat="1" ht="15" customHeight="1" x14ac:dyDescent="0.2">
      <c r="A606" s="1" t="s">
        <v>19</v>
      </c>
      <c r="B606" s="5" t="s">
        <v>18</v>
      </c>
      <c r="C606" s="1" t="s">
        <v>37</v>
      </c>
      <c r="D606" s="1" t="s">
        <v>211</v>
      </c>
      <c r="E606" s="1" t="s">
        <v>35</v>
      </c>
      <c r="F606" s="1" t="s">
        <v>210</v>
      </c>
      <c r="G606" s="1" t="s">
        <v>209</v>
      </c>
      <c r="H606" s="1" t="s">
        <v>208</v>
      </c>
      <c r="I606" s="1" t="s">
        <v>2703</v>
      </c>
      <c r="J606" s="1">
        <v>2023</v>
      </c>
      <c r="K606" s="1" t="s">
        <v>2702</v>
      </c>
      <c r="L606" s="1" t="s">
        <v>2701</v>
      </c>
      <c r="P606" s="1" t="s">
        <v>2700</v>
      </c>
      <c r="Q606" s="1" t="s">
        <v>27</v>
      </c>
      <c r="R606" s="1" t="s">
        <v>26</v>
      </c>
      <c r="S606" s="1" t="s">
        <v>2456</v>
      </c>
      <c r="T606" s="1" t="s">
        <v>2455</v>
      </c>
      <c r="U606" s="1">
        <v>1</v>
      </c>
      <c r="V606" s="1" t="s">
        <v>2439</v>
      </c>
      <c r="W606" s="1" t="s">
        <v>2699</v>
      </c>
      <c r="Y606" s="3">
        <v>45478</v>
      </c>
      <c r="Z606" s="1">
        <v>2024</v>
      </c>
      <c r="AA606" s="2">
        <v>100146.65</v>
      </c>
      <c r="AB606" s="2"/>
      <c r="AC606" s="2">
        <v>40036.660000000003</v>
      </c>
      <c r="AD606" s="1">
        <v>1</v>
      </c>
      <c r="AG606" s="1" t="s">
        <v>21</v>
      </c>
      <c r="AI606" s="2">
        <v>40036.660000000003</v>
      </c>
    </row>
    <row r="607" spans="1:35" s="1" customFormat="1" ht="15" customHeight="1" x14ac:dyDescent="0.2">
      <c r="A607" s="1" t="s">
        <v>19</v>
      </c>
      <c r="B607" s="5" t="s">
        <v>18</v>
      </c>
      <c r="C607" s="1" t="s">
        <v>37</v>
      </c>
      <c r="D607" s="1" t="s">
        <v>211</v>
      </c>
      <c r="E607" s="1" t="s">
        <v>35</v>
      </c>
      <c r="F607" s="1" t="s">
        <v>210</v>
      </c>
      <c r="G607" s="1" t="s">
        <v>209</v>
      </c>
      <c r="H607" s="1" t="s">
        <v>208</v>
      </c>
      <c r="I607" s="1" t="s">
        <v>2698</v>
      </c>
      <c r="J607" s="1">
        <v>2023</v>
      </c>
      <c r="K607" s="1" t="s">
        <v>2697</v>
      </c>
      <c r="L607" s="1" t="s">
        <v>2696</v>
      </c>
      <c r="M607" s="1" t="s">
        <v>2695</v>
      </c>
      <c r="P607" s="1" t="s">
        <v>2694</v>
      </c>
      <c r="Q607" s="1" t="s">
        <v>27</v>
      </c>
      <c r="R607" s="1" t="s">
        <v>26</v>
      </c>
      <c r="S607" s="1" t="s">
        <v>2649</v>
      </c>
      <c r="T607" s="1" t="s">
        <v>2648</v>
      </c>
      <c r="U607" s="1">
        <v>2</v>
      </c>
      <c r="V607" s="1" t="s">
        <v>2439</v>
      </c>
      <c r="W607" s="1" t="s">
        <v>2693</v>
      </c>
      <c r="Y607" s="3">
        <v>45478</v>
      </c>
      <c r="Z607" s="1">
        <v>2024</v>
      </c>
      <c r="AA607" s="2">
        <v>498352.75</v>
      </c>
      <c r="AB607" s="2"/>
      <c r="AC607" s="2">
        <v>130000</v>
      </c>
      <c r="AD607" s="1">
        <v>2</v>
      </c>
      <c r="AE607" s="1">
        <v>1</v>
      </c>
      <c r="AG607" s="1" t="s">
        <v>21</v>
      </c>
      <c r="AI607" s="2">
        <v>130000</v>
      </c>
    </row>
    <row r="608" spans="1:35" s="1" customFormat="1" ht="15" customHeight="1" x14ac:dyDescent="0.2">
      <c r="A608" s="1" t="s">
        <v>19</v>
      </c>
      <c r="B608" s="5" t="s">
        <v>18</v>
      </c>
      <c r="C608" s="1" t="s">
        <v>37</v>
      </c>
      <c r="D608" s="1" t="s">
        <v>211</v>
      </c>
      <c r="E608" s="1" t="s">
        <v>35</v>
      </c>
      <c r="F608" s="1" t="s">
        <v>210</v>
      </c>
      <c r="G608" s="1" t="s">
        <v>209</v>
      </c>
      <c r="H608" s="1" t="s">
        <v>208</v>
      </c>
      <c r="I608" s="1" t="s">
        <v>2692</v>
      </c>
      <c r="J608" s="1">
        <v>2023</v>
      </c>
      <c r="K608" s="1" t="s">
        <v>2691</v>
      </c>
      <c r="L608" s="1" t="s">
        <v>2690</v>
      </c>
      <c r="P608" s="1" t="s">
        <v>2689</v>
      </c>
      <c r="Q608" s="1" t="s">
        <v>27</v>
      </c>
      <c r="R608" s="1" t="s">
        <v>26</v>
      </c>
      <c r="S608" s="1" t="s">
        <v>2677</v>
      </c>
      <c r="T608" s="1" t="s">
        <v>2676</v>
      </c>
      <c r="U608" s="1">
        <v>2</v>
      </c>
      <c r="V608" s="1" t="s">
        <v>2439</v>
      </c>
      <c r="W608" s="1" t="s">
        <v>2688</v>
      </c>
      <c r="Y608" s="3">
        <v>45478</v>
      </c>
      <c r="Z608" s="1">
        <v>2024</v>
      </c>
      <c r="AA608" s="2">
        <v>44512</v>
      </c>
      <c r="AB608" s="2"/>
      <c r="AC608" s="2">
        <v>22256</v>
      </c>
      <c r="AD608" s="1">
        <v>2</v>
      </c>
      <c r="AE608" s="1">
        <v>1</v>
      </c>
      <c r="AG608" s="1" t="s">
        <v>21</v>
      </c>
      <c r="AI608" s="2">
        <v>22256</v>
      </c>
    </row>
    <row r="609" spans="1:38" ht="15" customHeight="1" x14ac:dyDescent="0.2">
      <c r="A609" s="1" t="s">
        <v>19</v>
      </c>
      <c r="B609" s="5" t="s">
        <v>18</v>
      </c>
      <c r="C609" s="1" t="s">
        <v>37</v>
      </c>
      <c r="D609" s="1" t="s">
        <v>211</v>
      </c>
      <c r="E609" s="1" t="s">
        <v>35</v>
      </c>
      <c r="F609" s="1" t="s">
        <v>210</v>
      </c>
      <c r="G609" s="1" t="s">
        <v>209</v>
      </c>
      <c r="H609" s="1" t="s">
        <v>208</v>
      </c>
      <c r="I609" s="1" t="s">
        <v>2687</v>
      </c>
      <c r="J609" s="1">
        <v>2023</v>
      </c>
      <c r="K609" s="1" t="s">
        <v>2686</v>
      </c>
      <c r="L609" s="1" t="s">
        <v>2685</v>
      </c>
      <c r="P609" s="1" t="s">
        <v>2684</v>
      </c>
      <c r="Q609" s="1" t="s">
        <v>27</v>
      </c>
      <c r="R609" s="1" t="s">
        <v>26</v>
      </c>
      <c r="S609" s="1" t="s">
        <v>2649</v>
      </c>
      <c r="T609" s="1" t="s">
        <v>2648</v>
      </c>
      <c r="U609" s="1">
        <v>2</v>
      </c>
      <c r="V609" s="1" t="s">
        <v>2439</v>
      </c>
      <c r="W609" s="1" t="s">
        <v>2683</v>
      </c>
      <c r="Y609" s="3">
        <v>45478</v>
      </c>
      <c r="Z609" s="1">
        <v>2024</v>
      </c>
      <c r="AA609" s="2">
        <v>210132.21</v>
      </c>
      <c r="AB609" s="2"/>
      <c r="AC609" s="2">
        <v>67533.05</v>
      </c>
      <c r="AD609" s="1">
        <v>1</v>
      </c>
      <c r="AG609" s="1" t="s">
        <v>21</v>
      </c>
      <c r="AI609" s="2">
        <v>67533.05</v>
      </c>
      <c r="AK609" s="1"/>
    </row>
    <row r="610" spans="1:38" ht="15" customHeight="1" x14ac:dyDescent="0.2">
      <c r="A610" s="1" t="s">
        <v>19</v>
      </c>
      <c r="B610" s="5" t="s">
        <v>18</v>
      </c>
      <c r="C610" s="1" t="s">
        <v>37</v>
      </c>
      <c r="D610" s="1" t="s">
        <v>211</v>
      </c>
      <c r="E610" s="1" t="s">
        <v>35</v>
      </c>
      <c r="F610" s="1" t="s">
        <v>210</v>
      </c>
      <c r="G610" s="1" t="s">
        <v>209</v>
      </c>
      <c r="H610" s="1" t="s">
        <v>208</v>
      </c>
      <c r="I610" s="1" t="s">
        <v>2682</v>
      </c>
      <c r="J610" s="1">
        <v>2023</v>
      </c>
      <c r="K610" s="1" t="s">
        <v>2681</v>
      </c>
      <c r="L610" s="1" t="s">
        <v>2680</v>
      </c>
      <c r="M610" s="1" t="s">
        <v>2679</v>
      </c>
      <c r="P610" s="1" t="s">
        <v>2678</v>
      </c>
      <c r="Q610" s="1" t="s">
        <v>27</v>
      </c>
      <c r="R610" s="1" t="s">
        <v>26</v>
      </c>
      <c r="S610" s="1" t="s">
        <v>2677</v>
      </c>
      <c r="T610" s="1" t="s">
        <v>2676</v>
      </c>
      <c r="U610" s="1">
        <v>2</v>
      </c>
      <c r="V610" s="1" t="s">
        <v>2439</v>
      </c>
      <c r="W610" s="1" t="s">
        <v>2675</v>
      </c>
      <c r="Y610" s="3">
        <v>45478</v>
      </c>
      <c r="Z610" s="1">
        <v>2024</v>
      </c>
      <c r="AA610" s="2">
        <v>366304.82</v>
      </c>
      <c r="AB610" s="2"/>
      <c r="AC610" s="2">
        <v>181576.21</v>
      </c>
      <c r="AD610" s="1">
        <v>3</v>
      </c>
      <c r="AE610" s="1">
        <v>2</v>
      </c>
      <c r="AG610" s="1" t="s">
        <v>21</v>
      </c>
      <c r="AI610" s="2">
        <v>181576.21</v>
      </c>
      <c r="AK610" s="1"/>
    </row>
    <row r="611" spans="1:38" ht="15" customHeight="1" x14ac:dyDescent="0.2">
      <c r="A611" s="1" t="s">
        <v>19</v>
      </c>
      <c r="B611" s="5" t="s">
        <v>18</v>
      </c>
      <c r="C611" s="1" t="s">
        <v>37</v>
      </c>
      <c r="D611" s="1" t="s">
        <v>211</v>
      </c>
      <c r="E611" s="1" t="s">
        <v>35</v>
      </c>
      <c r="F611" s="1" t="s">
        <v>210</v>
      </c>
      <c r="G611" s="1" t="s">
        <v>209</v>
      </c>
      <c r="H611" s="1" t="s">
        <v>208</v>
      </c>
      <c r="I611" s="1" t="s">
        <v>2674</v>
      </c>
      <c r="J611" s="1">
        <v>2023</v>
      </c>
      <c r="K611" s="1" t="s">
        <v>2673</v>
      </c>
      <c r="L611" s="1" t="s">
        <v>2672</v>
      </c>
      <c r="P611" s="1" t="s">
        <v>2671</v>
      </c>
      <c r="Q611" s="1" t="s">
        <v>27</v>
      </c>
      <c r="R611" s="1" t="s">
        <v>26</v>
      </c>
      <c r="S611" s="1" t="s">
        <v>2649</v>
      </c>
      <c r="T611" s="1" t="s">
        <v>2648</v>
      </c>
      <c r="U611" s="1">
        <v>2</v>
      </c>
      <c r="V611" s="1" t="s">
        <v>2439</v>
      </c>
      <c r="W611" s="1" t="s">
        <v>2670</v>
      </c>
      <c r="Y611" s="3">
        <v>45478</v>
      </c>
      <c r="Z611" s="1">
        <v>2024</v>
      </c>
      <c r="AA611" s="2">
        <v>379518.08</v>
      </c>
      <c r="AB611" s="2"/>
      <c r="AC611" s="2">
        <v>189759.04</v>
      </c>
      <c r="AD611" s="1">
        <v>7</v>
      </c>
      <c r="AE611" s="1">
        <v>2.4</v>
      </c>
      <c r="AG611" s="1" t="s">
        <v>21</v>
      </c>
      <c r="AI611" s="2">
        <v>189759.04</v>
      </c>
      <c r="AK611" s="1"/>
    </row>
    <row r="612" spans="1:38" ht="15" customHeight="1" x14ac:dyDescent="0.2">
      <c r="A612" s="1" t="s">
        <v>19</v>
      </c>
      <c r="B612" s="5" t="s">
        <v>18</v>
      </c>
      <c r="C612" s="1" t="s">
        <v>37</v>
      </c>
      <c r="D612" s="1" t="s">
        <v>211</v>
      </c>
      <c r="E612" s="1" t="s">
        <v>35</v>
      </c>
      <c r="F612" s="1" t="s">
        <v>210</v>
      </c>
      <c r="G612" s="1" t="s">
        <v>209</v>
      </c>
      <c r="H612" s="1" t="s">
        <v>208</v>
      </c>
      <c r="I612" s="1" t="s">
        <v>2669</v>
      </c>
      <c r="J612" s="1">
        <v>2023</v>
      </c>
      <c r="K612" s="1" t="s">
        <v>2668</v>
      </c>
      <c r="L612" s="1" t="s">
        <v>2667</v>
      </c>
      <c r="P612" s="1" t="s">
        <v>2661</v>
      </c>
      <c r="Q612" s="1" t="s">
        <v>27</v>
      </c>
      <c r="R612" s="1" t="s">
        <v>26</v>
      </c>
      <c r="S612" s="1" t="s">
        <v>2666</v>
      </c>
      <c r="T612" s="1" t="s">
        <v>2665</v>
      </c>
      <c r="U612" s="1">
        <v>2</v>
      </c>
      <c r="V612" s="1" t="s">
        <v>2439</v>
      </c>
      <c r="W612" s="1" t="s">
        <v>2664</v>
      </c>
      <c r="Y612" s="3">
        <v>45478</v>
      </c>
      <c r="Z612" s="1">
        <v>2024</v>
      </c>
      <c r="AA612" s="2">
        <v>87940.23</v>
      </c>
      <c r="AB612" s="2"/>
      <c r="AC612" s="2">
        <v>21985.06</v>
      </c>
      <c r="AD612" s="1">
        <v>0</v>
      </c>
      <c r="AG612" s="1" t="s">
        <v>21</v>
      </c>
      <c r="AI612" s="2">
        <v>21985.06</v>
      </c>
      <c r="AK612" s="1"/>
    </row>
    <row r="613" spans="1:38" ht="15" customHeight="1" x14ac:dyDescent="0.2">
      <c r="A613" s="1" t="s">
        <v>19</v>
      </c>
      <c r="B613" s="5" t="s">
        <v>18</v>
      </c>
      <c r="C613" s="1" t="s">
        <v>37</v>
      </c>
      <c r="D613" s="1" t="s">
        <v>211</v>
      </c>
      <c r="E613" s="1" t="s">
        <v>35</v>
      </c>
      <c r="F613" s="1" t="s">
        <v>210</v>
      </c>
      <c r="G613" s="1" t="s">
        <v>209</v>
      </c>
      <c r="H613" s="1" t="s">
        <v>130</v>
      </c>
      <c r="I613" s="1" t="s">
        <v>2663</v>
      </c>
      <c r="J613" s="1">
        <v>2023</v>
      </c>
      <c r="K613" s="1" t="s">
        <v>1917</v>
      </c>
      <c r="L613" s="1" t="s">
        <v>2662</v>
      </c>
      <c r="P613" s="1" t="s">
        <v>2661</v>
      </c>
      <c r="Q613" s="1" t="s">
        <v>27</v>
      </c>
      <c r="R613" s="1" t="s">
        <v>26</v>
      </c>
      <c r="S613" s="1" t="s">
        <v>2624</v>
      </c>
      <c r="T613" s="1" t="s">
        <v>2623</v>
      </c>
      <c r="U613" s="1">
        <v>2</v>
      </c>
      <c r="V613" s="1" t="s">
        <v>2439</v>
      </c>
      <c r="W613" s="1" t="s">
        <v>2660</v>
      </c>
      <c r="Y613" s="3">
        <v>45478</v>
      </c>
      <c r="Z613" s="1">
        <v>2024</v>
      </c>
      <c r="AA613" s="2">
        <v>336649</v>
      </c>
      <c r="AB613" s="2"/>
      <c r="AC613" s="2">
        <v>77779.62</v>
      </c>
      <c r="AD613" s="1">
        <v>0</v>
      </c>
      <c r="AG613" s="1" t="s">
        <v>21</v>
      </c>
      <c r="AI613" s="2">
        <v>77779.62</v>
      </c>
      <c r="AK613" s="1"/>
    </row>
    <row r="614" spans="1:38" ht="15" customHeight="1" x14ac:dyDescent="0.2">
      <c r="A614" s="1" t="s">
        <v>19</v>
      </c>
      <c r="B614" s="5" t="s">
        <v>18</v>
      </c>
      <c r="C614" s="1" t="s">
        <v>37</v>
      </c>
      <c r="D614" s="1" t="s">
        <v>211</v>
      </c>
      <c r="E614" s="1" t="s">
        <v>35</v>
      </c>
      <c r="F614" s="1" t="s">
        <v>210</v>
      </c>
      <c r="G614" s="1" t="s">
        <v>209</v>
      </c>
      <c r="H614" s="1" t="s">
        <v>208</v>
      </c>
      <c r="I614" s="1" t="s">
        <v>2659</v>
      </c>
      <c r="J614" s="1">
        <v>2023</v>
      </c>
      <c r="K614" s="1" t="s">
        <v>2658</v>
      </c>
      <c r="L614" s="1" t="s">
        <v>2657</v>
      </c>
      <c r="P614" s="1" t="s">
        <v>2656</v>
      </c>
      <c r="Q614" s="1" t="s">
        <v>27</v>
      </c>
      <c r="R614" s="1" t="s">
        <v>26</v>
      </c>
      <c r="S614" s="1" t="s">
        <v>2655</v>
      </c>
      <c r="T614" s="1" t="s">
        <v>2654</v>
      </c>
      <c r="U614" s="1">
        <v>2</v>
      </c>
      <c r="V614" s="1" t="s">
        <v>2439</v>
      </c>
      <c r="W614" s="1" t="s">
        <v>2653</v>
      </c>
      <c r="Y614" s="3">
        <v>45478</v>
      </c>
      <c r="Z614" s="1">
        <v>2024</v>
      </c>
      <c r="AA614" s="2">
        <v>142919.9</v>
      </c>
      <c r="AB614" s="2"/>
      <c r="AC614" s="2">
        <v>35729.980000000003</v>
      </c>
      <c r="AD614" s="1">
        <v>0</v>
      </c>
      <c r="AG614" s="1" t="s">
        <v>21</v>
      </c>
      <c r="AI614" s="2">
        <v>35729.980000000003</v>
      </c>
      <c r="AK614" s="1"/>
    </row>
    <row r="615" spans="1:38" ht="15" customHeight="1" x14ac:dyDescent="0.2">
      <c r="A615" s="1" t="s">
        <v>19</v>
      </c>
      <c r="B615" s="5" t="s">
        <v>18</v>
      </c>
      <c r="C615" s="1" t="s">
        <v>37</v>
      </c>
      <c r="D615" s="1" t="s">
        <v>211</v>
      </c>
      <c r="E615" s="1" t="s">
        <v>35</v>
      </c>
      <c r="F615" s="1" t="s">
        <v>210</v>
      </c>
      <c r="G615" s="1" t="s">
        <v>209</v>
      </c>
      <c r="H615" s="1" t="s">
        <v>208</v>
      </c>
      <c r="I615" s="1" t="s">
        <v>2652</v>
      </c>
      <c r="J615" s="1">
        <v>2023</v>
      </c>
      <c r="K615" s="1" t="s">
        <v>2651</v>
      </c>
      <c r="L615" s="1" t="s">
        <v>2647</v>
      </c>
      <c r="P615" s="1" t="s">
        <v>2650</v>
      </c>
      <c r="Q615" s="1" t="s">
        <v>27</v>
      </c>
      <c r="R615" s="1" t="s">
        <v>26</v>
      </c>
      <c r="S615" s="1" t="s">
        <v>2649</v>
      </c>
      <c r="T615" s="1" t="s">
        <v>2648</v>
      </c>
      <c r="U615" s="1">
        <v>2</v>
      </c>
      <c r="V615" s="1" t="s">
        <v>2439</v>
      </c>
      <c r="W615" s="1" t="s">
        <v>2647</v>
      </c>
      <c r="Y615" s="3">
        <v>45478</v>
      </c>
      <c r="Z615" s="1">
        <v>2024</v>
      </c>
      <c r="AA615" s="2">
        <v>338109.03</v>
      </c>
      <c r="AB615" s="2"/>
      <c r="AC615" s="2">
        <v>99527.26</v>
      </c>
      <c r="AD615" s="1">
        <v>0.5</v>
      </c>
      <c r="AE615" s="1">
        <v>0.5</v>
      </c>
      <c r="AG615" s="1" t="s">
        <v>21</v>
      </c>
      <c r="AI615" s="2">
        <v>99527.26</v>
      </c>
      <c r="AK615" s="1"/>
    </row>
    <row r="616" spans="1:38" ht="15" customHeight="1" x14ac:dyDescent="0.25">
      <c r="A616" s="1" t="s">
        <v>19</v>
      </c>
      <c r="B616" s="14" t="s">
        <v>18</v>
      </c>
      <c r="C616" s="12" t="s">
        <v>37</v>
      </c>
      <c r="D616" s="1" t="s">
        <v>63</v>
      </c>
      <c r="E616" s="1" t="s">
        <v>35</v>
      </c>
      <c r="G616" s="1" t="s">
        <v>202</v>
      </c>
      <c r="H616" s="1" t="s">
        <v>32</v>
      </c>
      <c r="I616" s="12" t="s">
        <v>2646</v>
      </c>
      <c r="J616" s="1">
        <v>2024</v>
      </c>
      <c r="K616" s="1" t="s">
        <v>2645</v>
      </c>
      <c r="L616" s="1" t="s">
        <v>2644</v>
      </c>
      <c r="M616" s="1" t="s">
        <v>0</v>
      </c>
      <c r="P616" s="1" t="s">
        <v>2612</v>
      </c>
      <c r="Q616" s="1" t="s">
        <v>27</v>
      </c>
      <c r="R616" s="1" t="s">
        <v>26</v>
      </c>
      <c r="S616" s="12" t="s">
        <v>2611</v>
      </c>
      <c r="T616" s="12" t="s">
        <v>2610</v>
      </c>
      <c r="U616" s="1">
        <v>1</v>
      </c>
      <c r="V616" s="12" t="s">
        <v>2439</v>
      </c>
      <c r="W616" s="12" t="s">
        <v>2644</v>
      </c>
      <c r="X616" s="12"/>
      <c r="Y616" s="13">
        <v>45799</v>
      </c>
      <c r="Z616" s="12">
        <v>2025</v>
      </c>
      <c r="AA616" s="11">
        <v>557878.41</v>
      </c>
      <c r="AB616" s="11"/>
      <c r="AC616" s="11">
        <v>557878.41</v>
      </c>
      <c r="AD616" s="2"/>
      <c r="AG616" s="1" t="s">
        <v>21</v>
      </c>
      <c r="AI616" s="11">
        <v>557878.41</v>
      </c>
      <c r="AK616" s="1"/>
    </row>
    <row r="617" spans="1:38" ht="15" customHeight="1" x14ac:dyDescent="0.2">
      <c r="A617" s="1" t="s">
        <v>19</v>
      </c>
      <c r="B617" s="5" t="s">
        <v>18</v>
      </c>
      <c r="C617" s="1" t="s">
        <v>37</v>
      </c>
      <c r="D617" s="1" t="s">
        <v>63</v>
      </c>
      <c r="E617" s="1" t="s">
        <v>35</v>
      </c>
      <c r="F617" s="1" t="s">
        <v>62</v>
      </c>
      <c r="G617" s="1" t="s">
        <v>61</v>
      </c>
      <c r="H617" s="1" t="s">
        <v>509</v>
      </c>
      <c r="I617" s="1" t="s">
        <v>2643</v>
      </c>
      <c r="J617" s="1">
        <v>2020</v>
      </c>
      <c r="K617" s="1" t="s">
        <v>2641</v>
      </c>
      <c r="L617" s="1" t="s">
        <v>2642</v>
      </c>
      <c r="P617" s="1" t="s">
        <v>2464</v>
      </c>
      <c r="Q617" s="1" t="s">
        <v>27</v>
      </c>
      <c r="R617" s="1" t="s">
        <v>26</v>
      </c>
      <c r="S617" s="1" t="s">
        <v>2463</v>
      </c>
      <c r="T617" s="1" t="s">
        <v>2462</v>
      </c>
      <c r="U617" s="1">
        <v>1</v>
      </c>
      <c r="V617" s="1" t="s">
        <v>2439</v>
      </c>
      <c r="W617" s="1" t="s">
        <v>2641</v>
      </c>
      <c r="X617" s="1" t="s">
        <v>52</v>
      </c>
      <c r="Y617" s="3">
        <v>44127</v>
      </c>
      <c r="Z617" s="1">
        <v>2020</v>
      </c>
      <c r="AA617" s="2">
        <v>5581159.4400000004</v>
      </c>
      <c r="AB617" s="2"/>
      <c r="AC617" s="2">
        <v>4185869.58</v>
      </c>
      <c r="AD617" s="1">
        <v>0</v>
      </c>
      <c r="AF617" s="1" t="s">
        <v>120</v>
      </c>
      <c r="AG617" s="1" t="s">
        <v>21</v>
      </c>
      <c r="AH617" s="1" t="s">
        <v>51</v>
      </c>
      <c r="AI617" s="2">
        <v>4185869.58</v>
      </c>
      <c r="AK617" s="1"/>
      <c r="AL617" s="1" t="s">
        <v>2640</v>
      </c>
    </row>
    <row r="618" spans="1:38" ht="15" customHeight="1" x14ac:dyDescent="0.2">
      <c r="A618" s="1" t="s">
        <v>19</v>
      </c>
      <c r="B618" s="5" t="s">
        <v>18</v>
      </c>
      <c r="C618" s="1" t="s">
        <v>37</v>
      </c>
      <c r="D618" s="1" t="s">
        <v>63</v>
      </c>
      <c r="E618" s="1" t="s">
        <v>35</v>
      </c>
      <c r="F618" s="1" t="s">
        <v>62</v>
      </c>
      <c r="G618" s="1" t="s">
        <v>61</v>
      </c>
      <c r="H618" s="1" t="s">
        <v>60</v>
      </c>
      <c r="I618" s="1" t="s">
        <v>543</v>
      </c>
      <c r="J618" s="1">
        <v>2020</v>
      </c>
      <c r="K618" s="1" t="s">
        <v>542</v>
      </c>
      <c r="L618" s="9" t="s">
        <v>2639</v>
      </c>
      <c r="P618" s="1" t="s">
        <v>2464</v>
      </c>
      <c r="Q618" s="1" t="s">
        <v>27</v>
      </c>
      <c r="R618" s="1" t="s">
        <v>26</v>
      </c>
      <c r="S618" s="1" t="s">
        <v>2463</v>
      </c>
      <c r="T618" s="1" t="s">
        <v>2462</v>
      </c>
      <c r="U618" s="1">
        <v>1</v>
      </c>
      <c r="V618" s="1" t="s">
        <v>2439</v>
      </c>
      <c r="W618" s="1" t="s">
        <v>2631</v>
      </c>
      <c r="X618" s="1" t="s">
        <v>52</v>
      </c>
      <c r="Y618" s="3">
        <v>44127</v>
      </c>
      <c r="Z618" s="1">
        <v>2020</v>
      </c>
      <c r="AA618" s="2">
        <v>213099.85</v>
      </c>
      <c r="AB618" s="2"/>
      <c r="AC618" s="2">
        <v>159824.89000000001</v>
      </c>
      <c r="AD618" s="1">
        <v>0</v>
      </c>
      <c r="AF618" s="1">
        <v>3</v>
      </c>
      <c r="AG618" s="1" t="s">
        <v>21</v>
      </c>
      <c r="AH618" s="1" t="s">
        <v>51</v>
      </c>
      <c r="AI618" s="2">
        <v>159824.89000000001</v>
      </c>
      <c r="AK618" s="1"/>
      <c r="AL618" s="9" t="s">
        <v>539</v>
      </c>
    </row>
    <row r="619" spans="1:38" ht="15" customHeight="1" x14ac:dyDescent="0.2">
      <c r="A619" s="5" t="s">
        <v>18</v>
      </c>
      <c r="B619" s="5" t="s">
        <v>18</v>
      </c>
      <c r="C619" s="1" t="s">
        <v>37</v>
      </c>
      <c r="D619" s="1" t="s">
        <v>63</v>
      </c>
      <c r="E619" s="1" t="s">
        <v>35</v>
      </c>
      <c r="F619" s="1" t="s">
        <v>62</v>
      </c>
      <c r="G619" s="1" t="s">
        <v>61</v>
      </c>
      <c r="H619" s="1" t="s">
        <v>60</v>
      </c>
      <c r="I619" s="1" t="s">
        <v>543</v>
      </c>
      <c r="J619" s="1">
        <v>2020</v>
      </c>
      <c r="K619" s="1" t="s">
        <v>542</v>
      </c>
      <c r="L619" s="9" t="s">
        <v>2638</v>
      </c>
      <c r="P619" s="1" t="s">
        <v>2469</v>
      </c>
      <c r="Q619" s="1" t="s">
        <v>27</v>
      </c>
      <c r="R619" s="1" t="s">
        <v>26</v>
      </c>
      <c r="S619" s="1" t="s">
        <v>2456</v>
      </c>
      <c r="T619" s="1" t="s">
        <v>2455</v>
      </c>
      <c r="U619" s="1">
        <v>1</v>
      </c>
      <c r="V619" s="1" t="s">
        <v>2439</v>
      </c>
      <c r="W619" s="9" t="s">
        <v>2637</v>
      </c>
      <c r="Y619" s="3">
        <v>44127</v>
      </c>
      <c r="Z619" s="1">
        <v>2020</v>
      </c>
      <c r="AA619" s="2">
        <v>1160489.07</v>
      </c>
      <c r="AB619" s="2"/>
      <c r="AC619" s="2">
        <v>870366.8</v>
      </c>
      <c r="AD619" s="1">
        <v>0</v>
      </c>
      <c r="AG619" s="1" t="s">
        <v>21</v>
      </c>
      <c r="AH619" s="1" t="s">
        <v>51</v>
      </c>
      <c r="AI619" s="2">
        <v>870366.8</v>
      </c>
      <c r="AK619" s="1"/>
      <c r="AL619" s="9" t="s">
        <v>539</v>
      </c>
    </row>
    <row r="620" spans="1:38" ht="15" customHeight="1" x14ac:dyDescent="0.2">
      <c r="A620" s="1" t="s">
        <v>19</v>
      </c>
      <c r="B620" s="5" t="s">
        <v>18</v>
      </c>
      <c r="C620" s="1" t="s">
        <v>37</v>
      </c>
      <c r="D620" s="1" t="s">
        <v>63</v>
      </c>
      <c r="E620" s="1" t="s">
        <v>35</v>
      </c>
      <c r="F620" s="1" t="s">
        <v>62</v>
      </c>
      <c r="G620" s="1" t="s">
        <v>61</v>
      </c>
      <c r="H620" s="1" t="s">
        <v>60</v>
      </c>
      <c r="I620" s="1" t="s">
        <v>2636</v>
      </c>
      <c r="J620" s="1">
        <v>2020</v>
      </c>
      <c r="K620" s="1" t="s">
        <v>2635</v>
      </c>
      <c r="L620" s="1" t="s">
        <v>2634</v>
      </c>
      <c r="M620" s="1" t="s">
        <v>2633</v>
      </c>
      <c r="N620" s="1" t="s">
        <v>2632</v>
      </c>
      <c r="P620" s="1" t="s">
        <v>2469</v>
      </c>
      <c r="Q620" s="1" t="s">
        <v>27</v>
      </c>
      <c r="R620" s="1" t="s">
        <v>26</v>
      </c>
      <c r="S620" s="1" t="s">
        <v>2456</v>
      </c>
      <c r="T620" s="1" t="s">
        <v>2455</v>
      </c>
      <c r="U620" s="1">
        <v>1</v>
      </c>
      <c r="V620" s="1" t="s">
        <v>2439</v>
      </c>
      <c r="W620" s="44" t="s">
        <v>2631</v>
      </c>
      <c r="X620" s="1" t="s">
        <v>52</v>
      </c>
      <c r="Y620" s="3">
        <v>44127</v>
      </c>
      <c r="Z620" s="1">
        <v>2020</v>
      </c>
      <c r="AA620" s="2">
        <v>3300000</v>
      </c>
      <c r="AB620" s="2"/>
      <c r="AC620" s="2">
        <v>2475000</v>
      </c>
      <c r="AD620" s="1">
        <v>0</v>
      </c>
      <c r="AF620" s="1">
        <v>0</v>
      </c>
      <c r="AG620" s="1" t="s">
        <v>21</v>
      </c>
      <c r="AH620" s="1" t="s">
        <v>65</v>
      </c>
      <c r="AI620" s="2">
        <v>2475000</v>
      </c>
      <c r="AK620" s="1"/>
      <c r="AL620" s="1" t="s">
        <v>88</v>
      </c>
    </row>
    <row r="621" spans="1:38" ht="15" customHeight="1" x14ac:dyDescent="0.2">
      <c r="A621" s="1" t="s">
        <v>19</v>
      </c>
      <c r="B621" s="5" t="s">
        <v>18</v>
      </c>
      <c r="C621" s="1" t="s">
        <v>37</v>
      </c>
      <c r="D621" s="1" t="s">
        <v>63</v>
      </c>
      <c r="E621" s="1" t="s">
        <v>35</v>
      </c>
      <c r="F621" s="1" t="s">
        <v>62</v>
      </c>
      <c r="G621" s="1" t="s">
        <v>61</v>
      </c>
      <c r="H621" s="1" t="s">
        <v>60</v>
      </c>
      <c r="I621" s="1" t="s">
        <v>2630</v>
      </c>
      <c r="J621" s="1">
        <v>2020</v>
      </c>
      <c r="K621" s="1" t="s">
        <v>2629</v>
      </c>
      <c r="L621" s="1" t="s">
        <v>2628</v>
      </c>
      <c r="M621" s="1" t="s">
        <v>2627</v>
      </c>
      <c r="N621" s="1" t="s">
        <v>2626</v>
      </c>
      <c r="P621" s="1" t="s">
        <v>2625</v>
      </c>
      <c r="Q621" s="1" t="s">
        <v>27</v>
      </c>
      <c r="R621" s="1" t="s">
        <v>26</v>
      </c>
      <c r="S621" s="1" t="s">
        <v>2624</v>
      </c>
      <c r="T621" s="1" t="s">
        <v>2623</v>
      </c>
      <c r="U621" s="1">
        <v>2</v>
      </c>
      <c r="V621" s="1" t="s">
        <v>2439</v>
      </c>
      <c r="W621" s="1" t="s">
        <v>2622</v>
      </c>
      <c r="X621" s="1" t="s">
        <v>529</v>
      </c>
      <c r="Y621" s="3">
        <v>44127</v>
      </c>
      <c r="Z621" s="1">
        <v>2020</v>
      </c>
      <c r="AA621" s="2">
        <v>1500000</v>
      </c>
      <c r="AB621" s="2"/>
      <c r="AC621" s="2">
        <v>1125000</v>
      </c>
      <c r="AD621" s="1">
        <v>1</v>
      </c>
      <c r="AF621" s="1">
        <v>0</v>
      </c>
      <c r="AG621" s="1" t="s">
        <v>21</v>
      </c>
      <c r="AH621" s="1" t="s">
        <v>51</v>
      </c>
      <c r="AI621" s="2">
        <v>1125000</v>
      </c>
      <c r="AK621" s="1"/>
      <c r="AL621" s="1" t="s">
        <v>2621</v>
      </c>
    </row>
    <row r="622" spans="1:38" ht="15" customHeight="1" x14ac:dyDescent="0.2">
      <c r="A622" s="1" t="s">
        <v>19</v>
      </c>
      <c r="B622" s="5" t="s">
        <v>18</v>
      </c>
      <c r="C622" s="1" t="s">
        <v>37</v>
      </c>
      <c r="D622" s="1" t="s">
        <v>63</v>
      </c>
      <c r="E622" s="1" t="s">
        <v>35</v>
      </c>
      <c r="F622" s="1" t="s">
        <v>62</v>
      </c>
      <c r="G622" s="1" t="s">
        <v>61</v>
      </c>
      <c r="H622" s="1" t="s">
        <v>60</v>
      </c>
      <c r="I622" s="1" t="s">
        <v>2620</v>
      </c>
      <c r="J622" s="1">
        <v>2020</v>
      </c>
      <c r="K622" s="1" t="s">
        <v>2617</v>
      </c>
      <c r="L622" s="1" t="s">
        <v>2619</v>
      </c>
      <c r="M622" s="1" t="s">
        <v>2618</v>
      </c>
      <c r="P622" s="1" t="s">
        <v>2469</v>
      </c>
      <c r="Q622" s="1" t="s">
        <v>27</v>
      </c>
      <c r="R622" s="1" t="s">
        <v>26</v>
      </c>
      <c r="S622" s="1" t="s">
        <v>2456</v>
      </c>
      <c r="T622" s="1" t="s">
        <v>2455</v>
      </c>
      <c r="U622" s="1">
        <v>1</v>
      </c>
      <c r="V622" s="1" t="s">
        <v>2439</v>
      </c>
      <c r="W622" s="1" t="s">
        <v>2617</v>
      </c>
      <c r="X622" s="1" t="s">
        <v>52</v>
      </c>
      <c r="Y622" s="3">
        <v>44127</v>
      </c>
      <c r="Z622" s="1">
        <v>2020</v>
      </c>
      <c r="AA622" s="2">
        <v>971000</v>
      </c>
      <c r="AB622" s="2"/>
      <c r="AC622" s="2">
        <v>728250</v>
      </c>
      <c r="AD622" s="1">
        <v>0</v>
      </c>
      <c r="AF622" s="1">
        <v>0</v>
      </c>
      <c r="AG622" s="1" t="s">
        <v>21</v>
      </c>
      <c r="AH622" s="1" t="s">
        <v>65</v>
      </c>
      <c r="AI622" s="2">
        <v>570646.43000000005</v>
      </c>
      <c r="AK622" s="1"/>
    </row>
    <row r="623" spans="1:38" ht="15" customHeight="1" x14ac:dyDescent="0.2">
      <c r="A623" s="1" t="s">
        <v>19</v>
      </c>
      <c r="B623" s="5" t="s">
        <v>18</v>
      </c>
      <c r="C623" s="1" t="s">
        <v>37</v>
      </c>
      <c r="D623" s="1" t="s">
        <v>63</v>
      </c>
      <c r="E623" s="1" t="s">
        <v>35</v>
      </c>
      <c r="F623" s="1" t="s">
        <v>62</v>
      </c>
      <c r="G623" s="1" t="s">
        <v>61</v>
      </c>
      <c r="H623" s="1" t="s">
        <v>60</v>
      </c>
      <c r="I623" s="1" t="s">
        <v>2616</v>
      </c>
      <c r="J623" s="1">
        <v>2020</v>
      </c>
      <c r="K623" s="1" t="s">
        <v>2615</v>
      </c>
      <c r="L623" s="1" t="s">
        <v>2614</v>
      </c>
      <c r="M623" s="1" t="s">
        <v>2613</v>
      </c>
      <c r="P623" s="1" t="s">
        <v>2612</v>
      </c>
      <c r="Q623" s="1" t="s">
        <v>27</v>
      </c>
      <c r="R623" s="1" t="s">
        <v>26</v>
      </c>
      <c r="S623" s="1" t="s">
        <v>2611</v>
      </c>
      <c r="T623" s="1" t="s">
        <v>2610</v>
      </c>
      <c r="U623" s="1">
        <v>1</v>
      </c>
      <c r="V623" s="1" t="s">
        <v>2439</v>
      </c>
      <c r="W623" s="1" t="s">
        <v>2609</v>
      </c>
      <c r="X623" s="1" t="s">
        <v>430</v>
      </c>
      <c r="Y623" s="3">
        <v>44127</v>
      </c>
      <c r="Z623" s="1">
        <v>2020</v>
      </c>
      <c r="AA623" s="2">
        <v>1023378.88</v>
      </c>
      <c r="AB623" s="2"/>
      <c r="AC623" s="2">
        <v>767534.16</v>
      </c>
      <c r="AD623" s="1">
        <v>0</v>
      </c>
      <c r="AF623" s="1">
        <v>0</v>
      </c>
      <c r="AG623" s="1" t="s">
        <v>21</v>
      </c>
      <c r="AH623" s="1" t="s">
        <v>65</v>
      </c>
      <c r="AI623" s="2">
        <v>767534.16</v>
      </c>
      <c r="AK623" s="1"/>
      <c r="AL623" s="1" t="s">
        <v>2608</v>
      </c>
    </row>
    <row r="624" spans="1:38" ht="15" customHeight="1" x14ac:dyDescent="0.2">
      <c r="A624" s="1" t="s">
        <v>19</v>
      </c>
      <c r="B624" s="5" t="s">
        <v>18</v>
      </c>
      <c r="C624" s="1" t="s">
        <v>37</v>
      </c>
      <c r="D624" s="1" t="s">
        <v>63</v>
      </c>
      <c r="E624" s="1" t="s">
        <v>35</v>
      </c>
      <c r="F624" s="1" t="s">
        <v>62</v>
      </c>
      <c r="G624" s="1" t="s">
        <v>61</v>
      </c>
      <c r="H624" s="1" t="s">
        <v>60</v>
      </c>
      <c r="I624" s="1" t="s">
        <v>2607</v>
      </c>
      <c r="J624" s="1">
        <v>2020</v>
      </c>
      <c r="K624" s="1" t="s">
        <v>2606</v>
      </c>
      <c r="L624" s="1" t="s">
        <v>2605</v>
      </c>
      <c r="M624" s="1" t="s">
        <v>2604</v>
      </c>
      <c r="P624" s="1" t="s">
        <v>2483</v>
      </c>
      <c r="Q624" s="1" t="s">
        <v>27</v>
      </c>
      <c r="R624" s="1" t="s">
        <v>26</v>
      </c>
      <c r="S624" s="1" t="s">
        <v>2448</v>
      </c>
      <c r="T624" s="1" t="s">
        <v>2447</v>
      </c>
      <c r="U624" s="1">
        <v>1</v>
      </c>
      <c r="V624" s="1" t="s">
        <v>2439</v>
      </c>
      <c r="W624" s="1" t="s">
        <v>2603</v>
      </c>
      <c r="X624" s="1" t="s">
        <v>430</v>
      </c>
      <c r="Y624" s="3">
        <v>44127</v>
      </c>
      <c r="Z624" s="1">
        <v>2020</v>
      </c>
      <c r="AA624" s="2">
        <v>877000</v>
      </c>
      <c r="AB624" s="2"/>
      <c r="AC624" s="2">
        <v>657750</v>
      </c>
      <c r="AD624" s="1">
        <v>1</v>
      </c>
      <c r="AF624" s="1" t="s">
        <v>120</v>
      </c>
      <c r="AG624" s="1" t="s">
        <v>21</v>
      </c>
      <c r="AH624" s="1" t="s">
        <v>65</v>
      </c>
      <c r="AI624" s="2">
        <v>650552.13</v>
      </c>
      <c r="AK624" s="1"/>
      <c r="AL624" s="1" t="s">
        <v>2602</v>
      </c>
    </row>
    <row r="625" spans="1:38" ht="15" customHeight="1" x14ac:dyDescent="0.2">
      <c r="A625" s="1" t="s">
        <v>19</v>
      </c>
      <c r="B625" s="5" t="s">
        <v>18</v>
      </c>
      <c r="C625" s="1" t="s">
        <v>37</v>
      </c>
      <c r="D625" s="1" t="s">
        <v>63</v>
      </c>
      <c r="E625" s="1" t="s">
        <v>35</v>
      </c>
      <c r="F625" s="1" t="s">
        <v>62</v>
      </c>
      <c r="G625" s="1" t="s">
        <v>61</v>
      </c>
      <c r="H625" s="1" t="s">
        <v>509</v>
      </c>
      <c r="I625" s="1" t="s">
        <v>2601</v>
      </c>
      <c r="J625" s="1">
        <v>2020</v>
      </c>
      <c r="K625" s="1" t="s">
        <v>2597</v>
      </c>
      <c r="L625" s="1" t="s">
        <v>2600</v>
      </c>
      <c r="M625" s="1" t="s">
        <v>2599</v>
      </c>
      <c r="N625" s="1" t="s">
        <v>2598</v>
      </c>
      <c r="P625" s="1" t="s">
        <v>2591</v>
      </c>
      <c r="Q625" s="1" t="s">
        <v>27</v>
      </c>
      <c r="R625" s="1" t="s">
        <v>26</v>
      </c>
      <c r="S625" s="1" t="s">
        <v>2590</v>
      </c>
      <c r="T625" s="1" t="s">
        <v>2589</v>
      </c>
      <c r="U625" s="1">
        <v>1</v>
      </c>
      <c r="V625" s="1" t="s">
        <v>2439</v>
      </c>
      <c r="W625" s="1" t="s">
        <v>2597</v>
      </c>
      <c r="X625" s="1" t="s">
        <v>52</v>
      </c>
      <c r="Y625" s="3">
        <v>44127</v>
      </c>
      <c r="Z625" s="1">
        <v>2020</v>
      </c>
      <c r="AA625" s="2">
        <v>1174767.47</v>
      </c>
      <c r="AB625" s="2"/>
      <c r="AC625" s="2">
        <v>881075.60250000004</v>
      </c>
      <c r="AD625" s="1">
        <v>0</v>
      </c>
      <c r="AF625" s="1">
        <v>10</v>
      </c>
      <c r="AG625" s="1" t="s">
        <v>21</v>
      </c>
      <c r="AH625" s="1" t="s">
        <v>51</v>
      </c>
      <c r="AI625" s="2">
        <v>881075.60250000004</v>
      </c>
      <c r="AK625" s="1"/>
      <c r="AL625" s="1" t="s">
        <v>2596</v>
      </c>
    </row>
    <row r="626" spans="1:38" ht="15" customHeight="1" x14ac:dyDescent="0.2">
      <c r="A626" s="1" t="s">
        <v>19</v>
      </c>
      <c r="B626" s="5" t="s">
        <v>18</v>
      </c>
      <c r="C626" s="1" t="s">
        <v>37</v>
      </c>
      <c r="D626" s="1" t="s">
        <v>63</v>
      </c>
      <c r="E626" s="1" t="s">
        <v>35</v>
      </c>
      <c r="F626" s="1" t="s">
        <v>62</v>
      </c>
      <c r="G626" s="1" t="s">
        <v>61</v>
      </c>
      <c r="H626" s="1" t="s">
        <v>60</v>
      </c>
      <c r="I626" s="1" t="s">
        <v>2595</v>
      </c>
      <c r="J626" s="1">
        <v>2020</v>
      </c>
      <c r="K626" s="1" t="s">
        <v>2588</v>
      </c>
      <c r="L626" s="1" t="s">
        <v>2594</v>
      </c>
      <c r="M626" s="1" t="s">
        <v>2593</v>
      </c>
      <c r="N626" s="1" t="s">
        <v>2592</v>
      </c>
      <c r="P626" s="1" t="s">
        <v>2591</v>
      </c>
      <c r="Q626" s="1" t="s">
        <v>27</v>
      </c>
      <c r="R626" s="1" t="s">
        <v>26</v>
      </c>
      <c r="S626" s="1" t="s">
        <v>2590</v>
      </c>
      <c r="T626" s="1" t="s">
        <v>2589</v>
      </c>
      <c r="U626" s="1">
        <v>1</v>
      </c>
      <c r="V626" s="1" t="s">
        <v>2439</v>
      </c>
      <c r="W626" s="1" t="s">
        <v>2588</v>
      </c>
      <c r="X626" s="1" t="s">
        <v>529</v>
      </c>
      <c r="Y626" s="3">
        <v>44127</v>
      </c>
      <c r="Z626" s="1">
        <v>2020</v>
      </c>
      <c r="AA626" s="2">
        <v>170000</v>
      </c>
      <c r="AB626" s="2"/>
      <c r="AC626" s="2">
        <v>127500</v>
      </c>
      <c r="AD626" s="1">
        <v>0.5</v>
      </c>
      <c r="AF626" s="1">
        <v>5</v>
      </c>
      <c r="AG626" s="1" t="s">
        <v>21</v>
      </c>
      <c r="AH626" s="1" t="s">
        <v>65</v>
      </c>
      <c r="AI626" s="2">
        <v>127500</v>
      </c>
      <c r="AK626" s="1"/>
      <c r="AL626" s="1" t="s">
        <v>2587</v>
      </c>
    </row>
    <row r="627" spans="1:38" ht="15" customHeight="1" x14ac:dyDescent="0.2">
      <c r="A627" s="1" t="s">
        <v>19</v>
      </c>
      <c r="B627" s="5" t="s">
        <v>18</v>
      </c>
      <c r="C627" s="1" t="s">
        <v>37</v>
      </c>
      <c r="D627" s="1" t="s">
        <v>63</v>
      </c>
      <c r="E627" s="1" t="s">
        <v>35</v>
      </c>
      <c r="F627" s="1" t="s">
        <v>62</v>
      </c>
      <c r="G627" s="1" t="s">
        <v>61</v>
      </c>
      <c r="H627" s="1" t="s">
        <v>60</v>
      </c>
      <c r="I627" s="1" t="s">
        <v>2586</v>
      </c>
      <c r="J627" s="1">
        <v>2020</v>
      </c>
      <c r="K627" s="1" t="s">
        <v>2585</v>
      </c>
      <c r="L627" s="1" t="s">
        <v>2584</v>
      </c>
      <c r="P627" s="1" t="s">
        <v>2442</v>
      </c>
      <c r="Q627" s="1" t="s">
        <v>27</v>
      </c>
      <c r="R627" s="1" t="s">
        <v>26</v>
      </c>
      <c r="S627" s="1" t="s">
        <v>2441</v>
      </c>
      <c r="T627" s="1" t="s">
        <v>2440</v>
      </c>
      <c r="U627" s="1">
        <v>1</v>
      </c>
      <c r="V627" s="1" t="s">
        <v>2439</v>
      </c>
      <c r="W627" s="1" t="s">
        <v>2583</v>
      </c>
      <c r="X627" s="1" t="s">
        <v>52</v>
      </c>
      <c r="Y627" s="3">
        <v>44127</v>
      </c>
      <c r="Z627" s="1">
        <v>2020</v>
      </c>
      <c r="AA627" s="2">
        <v>1500000</v>
      </c>
      <c r="AB627" s="2"/>
      <c r="AC627" s="2">
        <v>1125000</v>
      </c>
      <c r="AD627" s="1">
        <v>0</v>
      </c>
      <c r="AF627" s="1">
        <v>0</v>
      </c>
      <c r="AG627" s="1" t="s">
        <v>21</v>
      </c>
      <c r="AH627" s="1" t="s">
        <v>65</v>
      </c>
      <c r="AI627" s="2">
        <v>1101714.69</v>
      </c>
      <c r="AK627" s="1"/>
      <c r="AL627" s="1" t="s">
        <v>1868</v>
      </c>
    </row>
    <row r="628" spans="1:38" ht="15" customHeight="1" x14ac:dyDescent="0.2">
      <c r="A628" s="1" t="s">
        <v>19</v>
      </c>
      <c r="B628" s="5" t="s">
        <v>18</v>
      </c>
      <c r="C628" s="1" t="s">
        <v>37</v>
      </c>
      <c r="D628" s="1" t="s">
        <v>63</v>
      </c>
      <c r="E628" s="1" t="s">
        <v>35</v>
      </c>
      <c r="F628" s="1" t="s">
        <v>62</v>
      </c>
      <c r="G628" s="1" t="s">
        <v>61</v>
      </c>
      <c r="H628" s="1" t="s">
        <v>60</v>
      </c>
      <c r="I628" s="1" t="s">
        <v>2582</v>
      </c>
      <c r="J628" s="1">
        <v>2020</v>
      </c>
      <c r="K628" s="1" t="s">
        <v>2581</v>
      </c>
      <c r="L628" s="1" t="s">
        <v>2580</v>
      </c>
      <c r="M628" s="1" t="s">
        <v>2579</v>
      </c>
      <c r="P628" s="1" t="s">
        <v>2578</v>
      </c>
      <c r="Q628" s="1" t="s">
        <v>27</v>
      </c>
      <c r="R628" s="1" t="s">
        <v>26</v>
      </c>
      <c r="S628" s="1" t="s">
        <v>2577</v>
      </c>
      <c r="T628" s="1" t="s">
        <v>2576</v>
      </c>
      <c r="U628" s="1">
        <v>1</v>
      </c>
      <c r="V628" s="1" t="s">
        <v>2439</v>
      </c>
      <c r="W628" s="1" t="s">
        <v>2575</v>
      </c>
      <c r="X628" s="1" t="s">
        <v>52</v>
      </c>
      <c r="Y628" s="3">
        <v>44127</v>
      </c>
      <c r="Z628" s="1">
        <v>2020</v>
      </c>
      <c r="AA628" s="2">
        <v>930000</v>
      </c>
      <c r="AB628" s="2"/>
      <c r="AC628" s="2">
        <v>697500</v>
      </c>
      <c r="AD628" s="1">
        <v>0</v>
      </c>
      <c r="AF628" s="1">
        <v>5</v>
      </c>
      <c r="AG628" s="1" t="s">
        <v>21</v>
      </c>
      <c r="AH628" s="1" t="s">
        <v>65</v>
      </c>
      <c r="AI628" s="2">
        <v>645030.39</v>
      </c>
      <c r="AK628" s="1"/>
      <c r="AL628" s="1" t="s">
        <v>2574</v>
      </c>
    </row>
    <row r="629" spans="1:38" ht="15" customHeight="1" x14ac:dyDescent="0.2">
      <c r="A629" s="1" t="s">
        <v>19</v>
      </c>
      <c r="B629" s="5" t="s">
        <v>18</v>
      </c>
      <c r="C629" s="1" t="s">
        <v>37</v>
      </c>
      <c r="D629" s="1" t="s">
        <v>63</v>
      </c>
      <c r="E629" s="1" t="s">
        <v>35</v>
      </c>
      <c r="F629" s="1" t="s">
        <v>62</v>
      </c>
      <c r="G629" s="1" t="s">
        <v>61</v>
      </c>
      <c r="H629" s="1" t="s">
        <v>60</v>
      </c>
      <c r="I629" s="1" t="s">
        <v>2573</v>
      </c>
      <c r="J629" s="1">
        <v>2020</v>
      </c>
      <c r="K629" s="1" t="s">
        <v>2572</v>
      </c>
      <c r="L629" s="1" t="s">
        <v>2571</v>
      </c>
      <c r="M629" s="1" t="s">
        <v>2570</v>
      </c>
      <c r="P629" s="1" t="s">
        <v>2483</v>
      </c>
      <c r="Q629" s="1" t="s">
        <v>27</v>
      </c>
      <c r="R629" s="1" t="s">
        <v>26</v>
      </c>
      <c r="S629" s="1" t="s">
        <v>2448</v>
      </c>
      <c r="T629" s="1" t="s">
        <v>2447</v>
      </c>
      <c r="U629" s="1">
        <v>1</v>
      </c>
      <c r="V629" s="1" t="s">
        <v>2439</v>
      </c>
      <c r="W629" s="1" t="s">
        <v>2569</v>
      </c>
      <c r="X629" s="1" t="s">
        <v>464</v>
      </c>
      <c r="Y629" s="3">
        <v>44127</v>
      </c>
      <c r="Z629" s="1">
        <v>2020</v>
      </c>
      <c r="AA629" s="2">
        <v>445000</v>
      </c>
      <c r="AB629" s="2"/>
      <c r="AC629" s="2">
        <v>333750</v>
      </c>
      <c r="AD629" s="1">
        <v>0</v>
      </c>
      <c r="AF629" s="1">
        <v>8</v>
      </c>
      <c r="AG629" s="1" t="s">
        <v>21</v>
      </c>
      <c r="AH629" s="1" t="s">
        <v>65</v>
      </c>
      <c r="AI629" s="2">
        <v>333750</v>
      </c>
      <c r="AK629" s="1"/>
      <c r="AL629" s="1" t="s">
        <v>2568</v>
      </c>
    </row>
    <row r="630" spans="1:38" ht="15" customHeight="1" x14ac:dyDescent="0.2">
      <c r="A630" s="1" t="s">
        <v>19</v>
      </c>
      <c r="B630" s="5" t="s">
        <v>18</v>
      </c>
      <c r="C630" s="1" t="s">
        <v>37</v>
      </c>
      <c r="D630" s="1" t="s">
        <v>63</v>
      </c>
      <c r="E630" s="1" t="s">
        <v>35</v>
      </c>
      <c r="F630" s="1" t="s">
        <v>62</v>
      </c>
      <c r="G630" s="1" t="s">
        <v>61</v>
      </c>
      <c r="H630" s="1" t="s">
        <v>60</v>
      </c>
      <c r="I630" s="1" t="s">
        <v>2567</v>
      </c>
      <c r="J630" s="1">
        <v>2020</v>
      </c>
      <c r="K630" s="1" t="s">
        <v>2566</v>
      </c>
      <c r="L630" s="1" t="s">
        <v>2565</v>
      </c>
      <c r="M630" s="1" t="s">
        <v>2564</v>
      </c>
      <c r="P630" s="1" t="s">
        <v>2491</v>
      </c>
      <c r="Q630" s="1" t="s">
        <v>27</v>
      </c>
      <c r="R630" s="1" t="s">
        <v>26</v>
      </c>
      <c r="S630" s="1" t="s">
        <v>2490</v>
      </c>
      <c r="T630" s="1" t="s">
        <v>2489</v>
      </c>
      <c r="U630" s="1">
        <v>1</v>
      </c>
      <c r="V630" s="1" t="s">
        <v>2439</v>
      </c>
      <c r="W630" s="1" t="s">
        <v>2563</v>
      </c>
      <c r="X630" s="1" t="s">
        <v>52</v>
      </c>
      <c r="Y630" s="3">
        <v>44127</v>
      </c>
      <c r="Z630" s="1">
        <v>2020</v>
      </c>
      <c r="AA630" s="2">
        <v>300000</v>
      </c>
      <c r="AB630" s="2"/>
      <c r="AC630" s="2">
        <v>225000</v>
      </c>
      <c r="AD630" s="1">
        <v>0</v>
      </c>
      <c r="AF630" s="1">
        <v>10</v>
      </c>
      <c r="AG630" s="1" t="s">
        <v>21</v>
      </c>
      <c r="AH630" s="1" t="s">
        <v>65</v>
      </c>
      <c r="AI630" s="2">
        <v>224999.96</v>
      </c>
      <c r="AK630" s="1"/>
      <c r="AL630" s="1" t="s">
        <v>2562</v>
      </c>
    </row>
    <row r="631" spans="1:38" ht="15" customHeight="1" x14ac:dyDescent="0.2">
      <c r="A631" s="1" t="s">
        <v>19</v>
      </c>
      <c r="B631" s="5" t="s">
        <v>18</v>
      </c>
      <c r="C631" s="1" t="s">
        <v>37</v>
      </c>
      <c r="D631" s="1" t="s">
        <v>63</v>
      </c>
      <c r="E631" s="1" t="s">
        <v>35</v>
      </c>
      <c r="F631" s="1" t="s">
        <v>62</v>
      </c>
      <c r="G631" s="1" t="s">
        <v>61</v>
      </c>
      <c r="H631" s="1" t="s">
        <v>509</v>
      </c>
      <c r="I631" s="1" t="s">
        <v>2561</v>
      </c>
      <c r="J631" s="1">
        <v>2020</v>
      </c>
      <c r="K631" s="1" t="s">
        <v>2560</v>
      </c>
      <c r="L631" s="1" t="s">
        <v>2559</v>
      </c>
      <c r="M631" s="1" t="s">
        <v>2558</v>
      </c>
      <c r="P631" s="1" t="s">
        <v>2469</v>
      </c>
      <c r="Q631" s="1" t="s">
        <v>27</v>
      </c>
      <c r="R631" s="1" t="s">
        <v>26</v>
      </c>
      <c r="S631" s="1" t="s">
        <v>2456</v>
      </c>
      <c r="T631" s="1" t="s">
        <v>2455</v>
      </c>
      <c r="U631" s="1">
        <v>1</v>
      </c>
      <c r="V631" s="1" t="s">
        <v>2439</v>
      </c>
      <c r="W631" s="1" t="s">
        <v>2557</v>
      </c>
      <c r="X631" s="1" t="s">
        <v>52</v>
      </c>
      <c r="Y631" s="3">
        <v>44127</v>
      </c>
      <c r="Z631" s="1">
        <v>2020</v>
      </c>
      <c r="AA631" s="2">
        <v>3614424.88</v>
      </c>
      <c r="AB631" s="2"/>
      <c r="AC631" s="2">
        <v>2710818.66</v>
      </c>
      <c r="AD631" s="1">
        <v>0</v>
      </c>
      <c r="AF631" s="1">
        <v>0</v>
      </c>
      <c r="AG631" s="1" t="s">
        <v>21</v>
      </c>
      <c r="AH631" s="1" t="s">
        <v>51</v>
      </c>
      <c r="AI631" s="2">
        <v>2710818.66</v>
      </c>
      <c r="AK631" s="1"/>
      <c r="AL631" s="1" t="s">
        <v>2499</v>
      </c>
    </row>
    <row r="632" spans="1:38" ht="15" customHeight="1" x14ac:dyDescent="0.2">
      <c r="A632" s="1" t="s">
        <v>19</v>
      </c>
      <c r="B632" s="5" t="s">
        <v>18</v>
      </c>
      <c r="C632" s="1" t="s">
        <v>37</v>
      </c>
      <c r="D632" s="1" t="s">
        <v>63</v>
      </c>
      <c r="E632" s="1" t="s">
        <v>35</v>
      </c>
      <c r="F632" s="1" t="s">
        <v>62</v>
      </c>
      <c r="G632" s="1" t="s">
        <v>61</v>
      </c>
      <c r="H632" s="1" t="s">
        <v>60</v>
      </c>
      <c r="I632" s="1" t="s">
        <v>2556</v>
      </c>
      <c r="J632" s="1">
        <v>2020</v>
      </c>
      <c r="K632" s="1" t="s">
        <v>2555</v>
      </c>
      <c r="L632" s="1" t="s">
        <v>2554</v>
      </c>
      <c r="M632" s="1" t="s">
        <v>2553</v>
      </c>
      <c r="N632" s="1" t="s">
        <v>2552</v>
      </c>
      <c r="P632" s="1" t="s">
        <v>2469</v>
      </c>
      <c r="Q632" s="1" t="s">
        <v>27</v>
      </c>
      <c r="R632" s="1" t="s">
        <v>26</v>
      </c>
      <c r="S632" s="1" t="s">
        <v>2456</v>
      </c>
      <c r="T632" s="1" t="s">
        <v>2455</v>
      </c>
      <c r="U632" s="1">
        <v>1</v>
      </c>
      <c r="V632" s="1" t="s">
        <v>2439</v>
      </c>
      <c r="W632" s="1" t="s">
        <v>2551</v>
      </c>
      <c r="X632" s="1" t="s">
        <v>52</v>
      </c>
      <c r="Y632" s="3">
        <v>44127</v>
      </c>
      <c r="Z632" s="1">
        <v>2020</v>
      </c>
      <c r="AA632" s="2">
        <v>151000</v>
      </c>
      <c r="AB632" s="2"/>
      <c r="AC632" s="2">
        <v>113250</v>
      </c>
      <c r="AD632" s="1">
        <v>0</v>
      </c>
      <c r="AF632" s="1">
        <v>0</v>
      </c>
      <c r="AG632" s="1" t="s">
        <v>21</v>
      </c>
      <c r="AH632" s="1" t="s">
        <v>65</v>
      </c>
      <c r="AI632" s="2">
        <v>84429.18</v>
      </c>
      <c r="AK632" s="1"/>
      <c r="AL632" s="1" t="s">
        <v>1868</v>
      </c>
    </row>
    <row r="633" spans="1:38" ht="15" customHeight="1" x14ac:dyDescent="0.2">
      <c r="A633" s="1" t="s">
        <v>19</v>
      </c>
      <c r="B633" s="5" t="s">
        <v>18</v>
      </c>
      <c r="C633" s="1" t="s">
        <v>37</v>
      </c>
      <c r="D633" s="1" t="s">
        <v>63</v>
      </c>
      <c r="E633" s="1" t="s">
        <v>35</v>
      </c>
      <c r="F633" s="1" t="s">
        <v>62</v>
      </c>
      <c r="G633" s="1" t="s">
        <v>61</v>
      </c>
      <c r="H633" s="1" t="s">
        <v>60</v>
      </c>
      <c r="I633" s="1" t="s">
        <v>2550</v>
      </c>
      <c r="J633" s="1">
        <v>2020</v>
      </c>
      <c r="K633" s="1" t="s">
        <v>2549</v>
      </c>
      <c r="L633" s="1" t="s">
        <v>2548</v>
      </c>
      <c r="M633" s="1" t="s">
        <v>2547</v>
      </c>
      <c r="N633" s="1" t="s">
        <v>2546</v>
      </c>
      <c r="P633" s="1" t="s">
        <v>2469</v>
      </c>
      <c r="Q633" s="1" t="s">
        <v>27</v>
      </c>
      <c r="R633" s="1" t="s">
        <v>26</v>
      </c>
      <c r="S633" s="1" t="s">
        <v>2456</v>
      </c>
      <c r="T633" s="1" t="s">
        <v>2455</v>
      </c>
      <c r="U633" s="1">
        <v>1</v>
      </c>
      <c r="V633" s="1" t="s">
        <v>2439</v>
      </c>
      <c r="W633" s="1" t="s">
        <v>2545</v>
      </c>
      <c r="X633" s="1" t="s">
        <v>52</v>
      </c>
      <c r="Y633" s="3">
        <v>44127</v>
      </c>
      <c r="Z633" s="1">
        <v>2020</v>
      </c>
      <c r="AA633" s="2">
        <v>651000</v>
      </c>
      <c r="AB633" s="2"/>
      <c r="AC633" s="2">
        <v>488250</v>
      </c>
      <c r="AD633" s="1">
        <v>0</v>
      </c>
      <c r="AF633" s="1">
        <v>0</v>
      </c>
      <c r="AG633" s="1" t="s">
        <v>21</v>
      </c>
      <c r="AH633" s="1" t="s">
        <v>65</v>
      </c>
      <c r="AI633" s="2">
        <v>433079.07</v>
      </c>
      <c r="AK633" s="1"/>
      <c r="AL633" s="1" t="s">
        <v>1868</v>
      </c>
    </row>
    <row r="634" spans="1:38" ht="15" customHeight="1" x14ac:dyDescent="0.2">
      <c r="A634" s="1" t="s">
        <v>19</v>
      </c>
      <c r="B634" s="5" t="s">
        <v>18</v>
      </c>
      <c r="C634" s="1" t="s">
        <v>37</v>
      </c>
      <c r="D634" s="1" t="s">
        <v>63</v>
      </c>
      <c r="E634" s="1" t="s">
        <v>35</v>
      </c>
      <c r="F634" s="1" t="s">
        <v>62</v>
      </c>
      <c r="G634" s="1" t="s">
        <v>61</v>
      </c>
      <c r="H634" s="1" t="s">
        <v>60</v>
      </c>
      <c r="I634" s="1" t="s">
        <v>2544</v>
      </c>
      <c r="J634" s="1">
        <v>2020</v>
      </c>
      <c r="K634" s="1" t="s">
        <v>2543</v>
      </c>
      <c r="L634" s="1" t="s">
        <v>2542</v>
      </c>
      <c r="M634" s="1" t="s">
        <v>2541</v>
      </c>
      <c r="N634" s="1" t="s">
        <v>2540</v>
      </c>
      <c r="P634" s="1" t="s">
        <v>2469</v>
      </c>
      <c r="Q634" s="1" t="s">
        <v>27</v>
      </c>
      <c r="R634" s="1" t="s">
        <v>26</v>
      </c>
      <c r="S634" s="1" t="s">
        <v>2456</v>
      </c>
      <c r="T634" s="1" t="s">
        <v>2455</v>
      </c>
      <c r="U634" s="1">
        <v>1</v>
      </c>
      <c r="V634" s="1" t="s">
        <v>2439</v>
      </c>
      <c r="W634" s="1" t="s">
        <v>2539</v>
      </c>
      <c r="X634" s="1" t="s">
        <v>52</v>
      </c>
      <c r="Y634" s="3">
        <v>44127</v>
      </c>
      <c r="Z634" s="1">
        <v>2020</v>
      </c>
      <c r="AA634" s="2">
        <v>590000</v>
      </c>
      <c r="AB634" s="2"/>
      <c r="AC634" s="2">
        <v>442500</v>
      </c>
      <c r="AD634" s="1">
        <v>0</v>
      </c>
      <c r="AF634" s="1">
        <v>0</v>
      </c>
      <c r="AG634" s="1" t="s">
        <v>21</v>
      </c>
      <c r="AH634" s="1" t="s">
        <v>65</v>
      </c>
      <c r="AI634" s="2">
        <v>429371.24</v>
      </c>
      <c r="AK634" s="1"/>
      <c r="AL634" s="1" t="s">
        <v>88</v>
      </c>
    </row>
    <row r="635" spans="1:38" ht="15" customHeight="1" x14ac:dyDescent="0.2">
      <c r="A635" s="1" t="s">
        <v>19</v>
      </c>
      <c r="B635" s="5" t="s">
        <v>18</v>
      </c>
      <c r="C635" s="1" t="s">
        <v>37</v>
      </c>
      <c r="D635" s="1" t="s">
        <v>63</v>
      </c>
      <c r="E635" s="1" t="s">
        <v>35</v>
      </c>
      <c r="F635" s="1" t="s">
        <v>62</v>
      </c>
      <c r="G635" s="1" t="s">
        <v>61</v>
      </c>
      <c r="H635" s="1" t="s">
        <v>60</v>
      </c>
      <c r="I635" s="1" t="s">
        <v>2538</v>
      </c>
      <c r="J635" s="1">
        <v>2020</v>
      </c>
      <c r="K635" s="1" t="s">
        <v>2537</v>
      </c>
      <c r="L635" s="1" t="s">
        <v>2536</v>
      </c>
      <c r="M635" s="1" t="s">
        <v>2535</v>
      </c>
      <c r="N635" s="1" t="s">
        <v>2534</v>
      </c>
      <c r="P635" s="1" t="s">
        <v>2469</v>
      </c>
      <c r="Q635" s="1" t="s">
        <v>27</v>
      </c>
      <c r="R635" s="1" t="s">
        <v>26</v>
      </c>
      <c r="S635" s="1" t="s">
        <v>2456</v>
      </c>
      <c r="T635" s="1" t="s">
        <v>2455</v>
      </c>
      <c r="U635" s="1">
        <v>1</v>
      </c>
      <c r="V635" s="1" t="s">
        <v>2439</v>
      </c>
      <c r="W635" s="1" t="s">
        <v>2533</v>
      </c>
      <c r="X635" s="1" t="s">
        <v>52</v>
      </c>
      <c r="Y635" s="3">
        <v>44127</v>
      </c>
      <c r="Z635" s="1">
        <v>2020</v>
      </c>
      <c r="AA635" s="2">
        <v>150000</v>
      </c>
      <c r="AB635" s="2"/>
      <c r="AC635" s="2">
        <v>112500</v>
      </c>
      <c r="AD635" s="1">
        <v>0</v>
      </c>
      <c r="AF635" s="1">
        <v>0</v>
      </c>
      <c r="AG635" s="1" t="s">
        <v>21</v>
      </c>
      <c r="AH635" s="1" t="s">
        <v>65</v>
      </c>
      <c r="AI635" s="2">
        <v>112060.1</v>
      </c>
      <c r="AK635" s="1"/>
      <c r="AL635" s="1" t="s">
        <v>1868</v>
      </c>
    </row>
    <row r="636" spans="1:38" ht="15" customHeight="1" x14ac:dyDescent="0.2">
      <c r="A636" s="1" t="s">
        <v>19</v>
      </c>
      <c r="B636" s="5" t="s">
        <v>18</v>
      </c>
      <c r="C636" s="1" t="s">
        <v>37</v>
      </c>
      <c r="D636" s="1" t="s">
        <v>63</v>
      </c>
      <c r="E636" s="1" t="s">
        <v>35</v>
      </c>
      <c r="F636" s="1" t="s">
        <v>62</v>
      </c>
      <c r="G636" s="1" t="s">
        <v>61</v>
      </c>
      <c r="H636" s="1" t="s">
        <v>60</v>
      </c>
      <c r="I636" s="1" t="s">
        <v>2532</v>
      </c>
      <c r="J636" s="1">
        <v>2020</v>
      </c>
      <c r="K636" s="1" t="s">
        <v>2531</v>
      </c>
      <c r="L636" s="1" t="s">
        <v>2530</v>
      </c>
      <c r="M636" s="1" t="s">
        <v>2529</v>
      </c>
      <c r="N636" s="1" t="s">
        <v>2528</v>
      </c>
      <c r="P636" s="1" t="s">
        <v>2469</v>
      </c>
      <c r="Q636" s="1" t="s">
        <v>27</v>
      </c>
      <c r="R636" s="1" t="s">
        <v>26</v>
      </c>
      <c r="S636" s="1" t="s">
        <v>2456</v>
      </c>
      <c r="T636" s="1" t="s">
        <v>2455</v>
      </c>
      <c r="U636" s="1">
        <v>1</v>
      </c>
      <c r="V636" s="1" t="s">
        <v>2439</v>
      </c>
      <c r="W636" s="1" t="s">
        <v>2527</v>
      </c>
      <c r="X636" s="1" t="s">
        <v>52</v>
      </c>
      <c r="Y636" s="3">
        <v>44127</v>
      </c>
      <c r="Z636" s="1">
        <v>2020</v>
      </c>
      <c r="AA636" s="2">
        <v>150000</v>
      </c>
      <c r="AB636" s="2"/>
      <c r="AC636" s="2">
        <v>112500</v>
      </c>
      <c r="AD636" s="1">
        <v>0</v>
      </c>
      <c r="AF636" s="1">
        <v>0</v>
      </c>
      <c r="AG636" s="1" t="s">
        <v>21</v>
      </c>
      <c r="AH636" s="1" t="s">
        <v>65</v>
      </c>
      <c r="AI636" s="2">
        <v>105176.27</v>
      </c>
      <c r="AK636" s="1"/>
      <c r="AL636" s="1" t="s">
        <v>1868</v>
      </c>
    </row>
    <row r="637" spans="1:38" ht="15" customHeight="1" x14ac:dyDescent="0.2">
      <c r="A637" s="1" t="s">
        <v>19</v>
      </c>
      <c r="B637" s="5" t="s">
        <v>18</v>
      </c>
      <c r="C637" s="1" t="s">
        <v>37</v>
      </c>
      <c r="D637" s="1" t="s">
        <v>63</v>
      </c>
      <c r="E637" s="1" t="s">
        <v>35</v>
      </c>
      <c r="F637" s="1" t="s">
        <v>62</v>
      </c>
      <c r="G637" s="1" t="s">
        <v>61</v>
      </c>
      <c r="H637" s="1" t="s">
        <v>60</v>
      </c>
      <c r="I637" s="1" t="s">
        <v>2526</v>
      </c>
      <c r="J637" s="1">
        <v>2020</v>
      </c>
      <c r="K637" s="1" t="s">
        <v>2525</v>
      </c>
      <c r="L637" s="1" t="s">
        <v>2524</v>
      </c>
      <c r="M637" s="1" t="s">
        <v>2523</v>
      </c>
      <c r="N637" s="1" t="s">
        <v>2522</v>
      </c>
      <c r="P637" s="1" t="s">
        <v>2469</v>
      </c>
      <c r="Q637" s="1" t="s">
        <v>27</v>
      </c>
      <c r="R637" s="1" t="s">
        <v>26</v>
      </c>
      <c r="S637" s="1" t="s">
        <v>2456</v>
      </c>
      <c r="T637" s="1" t="s">
        <v>2455</v>
      </c>
      <c r="U637" s="1">
        <v>1</v>
      </c>
      <c r="V637" s="1" t="s">
        <v>2439</v>
      </c>
      <c r="W637" s="1" t="s">
        <v>2521</v>
      </c>
      <c r="X637" s="1" t="s">
        <v>52</v>
      </c>
      <c r="Y637" s="3">
        <v>44127</v>
      </c>
      <c r="Z637" s="1">
        <v>2020</v>
      </c>
      <c r="AA637" s="2">
        <v>150000</v>
      </c>
      <c r="AB637" s="2"/>
      <c r="AC637" s="2">
        <v>112500</v>
      </c>
      <c r="AD637" s="1">
        <v>0</v>
      </c>
      <c r="AF637" s="1">
        <v>0</v>
      </c>
      <c r="AG637" s="1" t="s">
        <v>21</v>
      </c>
      <c r="AH637" s="1" t="s">
        <v>65</v>
      </c>
      <c r="AI637" s="2">
        <v>111443.36</v>
      </c>
      <c r="AK637" s="1"/>
      <c r="AL637" s="1" t="s">
        <v>1868</v>
      </c>
    </row>
    <row r="638" spans="1:38" ht="15" customHeight="1" x14ac:dyDescent="0.2">
      <c r="A638" s="1" t="s">
        <v>19</v>
      </c>
      <c r="B638" s="5" t="s">
        <v>18</v>
      </c>
      <c r="C638" s="1" t="s">
        <v>37</v>
      </c>
      <c r="D638" s="1" t="s">
        <v>63</v>
      </c>
      <c r="E638" s="1" t="s">
        <v>35</v>
      </c>
      <c r="F638" s="1" t="s">
        <v>62</v>
      </c>
      <c r="G638" s="1" t="s">
        <v>61</v>
      </c>
      <c r="H638" s="1" t="s">
        <v>60</v>
      </c>
      <c r="I638" s="1" t="s">
        <v>2520</v>
      </c>
      <c r="J638" s="1">
        <v>2020</v>
      </c>
      <c r="K638" s="1" t="s">
        <v>2519</v>
      </c>
      <c r="L638" s="1" t="s">
        <v>2518</v>
      </c>
      <c r="M638" s="1" t="s">
        <v>2517</v>
      </c>
      <c r="N638" s="1" t="s">
        <v>2516</v>
      </c>
      <c r="P638" s="1" t="s">
        <v>2469</v>
      </c>
      <c r="Q638" s="1" t="s">
        <v>27</v>
      </c>
      <c r="R638" s="1" t="s">
        <v>26</v>
      </c>
      <c r="S638" s="1" t="s">
        <v>2456</v>
      </c>
      <c r="T638" s="1" t="s">
        <v>2455</v>
      </c>
      <c r="U638" s="1">
        <v>1</v>
      </c>
      <c r="V638" s="1" t="s">
        <v>2439</v>
      </c>
      <c r="W638" s="1" t="s">
        <v>2515</v>
      </c>
      <c r="X638" s="1" t="s">
        <v>52</v>
      </c>
      <c r="Y638" s="3">
        <v>44127</v>
      </c>
      <c r="Z638" s="1">
        <v>2020</v>
      </c>
      <c r="AA638" s="2">
        <v>150000</v>
      </c>
      <c r="AB638" s="2"/>
      <c r="AC638" s="2">
        <v>112500</v>
      </c>
      <c r="AD638" s="1">
        <v>0</v>
      </c>
      <c r="AF638" s="1">
        <v>0</v>
      </c>
      <c r="AG638" s="1" t="s">
        <v>21</v>
      </c>
      <c r="AH638" s="1" t="s">
        <v>65</v>
      </c>
      <c r="AI638" s="2">
        <v>104491.9</v>
      </c>
      <c r="AK638" s="1"/>
      <c r="AL638" s="1" t="s">
        <v>1868</v>
      </c>
    </row>
    <row r="639" spans="1:38" ht="15" customHeight="1" x14ac:dyDescent="0.2">
      <c r="A639" s="1" t="s">
        <v>19</v>
      </c>
      <c r="B639" s="5" t="s">
        <v>18</v>
      </c>
      <c r="C639" s="1" t="s">
        <v>37</v>
      </c>
      <c r="D639" s="1" t="s">
        <v>63</v>
      </c>
      <c r="E639" s="1" t="s">
        <v>35</v>
      </c>
      <c r="F639" s="1" t="s">
        <v>62</v>
      </c>
      <c r="G639" s="1" t="s">
        <v>61</v>
      </c>
      <c r="H639" s="1" t="s">
        <v>60</v>
      </c>
      <c r="I639" s="1" t="s">
        <v>2514</v>
      </c>
      <c r="J639" s="1">
        <v>2020</v>
      </c>
      <c r="K639" s="1" t="s">
        <v>2513</v>
      </c>
      <c r="L639" s="1" t="s">
        <v>2512</v>
      </c>
      <c r="M639" s="1" t="s">
        <v>2511</v>
      </c>
      <c r="P639" s="1" t="s">
        <v>2469</v>
      </c>
      <c r="Q639" s="1" t="s">
        <v>27</v>
      </c>
      <c r="R639" s="1" t="s">
        <v>26</v>
      </c>
      <c r="S639" s="1" t="s">
        <v>2456</v>
      </c>
      <c r="T639" s="1" t="s">
        <v>2455</v>
      </c>
      <c r="U639" s="1">
        <v>1</v>
      </c>
      <c r="V639" s="1" t="s">
        <v>2439</v>
      </c>
      <c r="W639" s="1" t="s">
        <v>2510</v>
      </c>
      <c r="X639" s="1" t="s">
        <v>52</v>
      </c>
      <c r="Y639" s="3">
        <v>44127</v>
      </c>
      <c r="Z639" s="1">
        <v>2020</v>
      </c>
      <c r="AA639" s="2">
        <v>350000</v>
      </c>
      <c r="AB639" s="2"/>
      <c r="AC639" s="2">
        <v>262500</v>
      </c>
      <c r="AD639" s="1">
        <v>0</v>
      </c>
      <c r="AF639" s="1">
        <v>0</v>
      </c>
      <c r="AG639" s="1" t="s">
        <v>21</v>
      </c>
      <c r="AH639" s="1" t="s">
        <v>65</v>
      </c>
      <c r="AI639" s="2">
        <v>247442.89</v>
      </c>
      <c r="AK639" s="1"/>
      <c r="AL639" s="1" t="s">
        <v>1868</v>
      </c>
    </row>
    <row r="640" spans="1:38" ht="15" customHeight="1" x14ac:dyDescent="0.2">
      <c r="A640" s="1" t="s">
        <v>19</v>
      </c>
      <c r="B640" s="5" t="s">
        <v>18</v>
      </c>
      <c r="C640" s="1" t="s">
        <v>37</v>
      </c>
      <c r="D640" s="1" t="s">
        <v>63</v>
      </c>
      <c r="E640" s="1" t="s">
        <v>35</v>
      </c>
      <c r="F640" s="1" t="s">
        <v>62</v>
      </c>
      <c r="G640" s="1" t="s">
        <v>61</v>
      </c>
      <c r="H640" s="1" t="s">
        <v>60</v>
      </c>
      <c r="I640" s="1" t="s">
        <v>2509</v>
      </c>
      <c r="J640" s="1">
        <v>2020</v>
      </c>
      <c r="K640" s="1" t="s">
        <v>2508</v>
      </c>
      <c r="L640" s="1" t="s">
        <v>2507</v>
      </c>
      <c r="M640" s="1" t="s">
        <v>2506</v>
      </c>
      <c r="P640" s="1" t="s">
        <v>2469</v>
      </c>
      <c r="Q640" s="1" t="s">
        <v>27</v>
      </c>
      <c r="R640" s="1" t="s">
        <v>26</v>
      </c>
      <c r="S640" s="1" t="s">
        <v>2456</v>
      </c>
      <c r="T640" s="1" t="s">
        <v>2455</v>
      </c>
      <c r="U640" s="1">
        <v>1</v>
      </c>
      <c r="V640" s="1" t="s">
        <v>2439</v>
      </c>
      <c r="W640" s="1" t="s">
        <v>2505</v>
      </c>
      <c r="X640" s="1" t="s">
        <v>52</v>
      </c>
      <c r="Y640" s="3">
        <v>44127</v>
      </c>
      <c r="Z640" s="1">
        <v>2020</v>
      </c>
      <c r="AA640" s="2">
        <v>331500</v>
      </c>
      <c r="AB640" s="2"/>
      <c r="AC640" s="2">
        <v>248625</v>
      </c>
      <c r="AD640" s="1">
        <v>0</v>
      </c>
      <c r="AF640" s="1">
        <v>0</v>
      </c>
      <c r="AG640" s="1" t="s">
        <v>21</v>
      </c>
      <c r="AH640" s="1" t="s">
        <v>65</v>
      </c>
      <c r="AI640" s="2">
        <v>233825.93</v>
      </c>
      <c r="AK640" s="1"/>
    </row>
    <row r="641" spans="1:38" ht="15" customHeight="1" x14ac:dyDescent="0.2">
      <c r="A641" s="1" t="s">
        <v>19</v>
      </c>
      <c r="B641" s="5" t="s">
        <v>18</v>
      </c>
      <c r="C641" s="1" t="s">
        <v>37</v>
      </c>
      <c r="D641" s="1" t="s">
        <v>63</v>
      </c>
      <c r="E641" s="1" t="s">
        <v>35</v>
      </c>
      <c r="F641" s="1" t="s">
        <v>62</v>
      </c>
      <c r="G641" s="1" t="s">
        <v>61</v>
      </c>
      <c r="H641" s="1" t="s">
        <v>509</v>
      </c>
      <c r="I641" s="1" t="s">
        <v>2504</v>
      </c>
      <c r="J641" s="1">
        <v>2020</v>
      </c>
      <c r="K641" s="1" t="s">
        <v>2503</v>
      </c>
      <c r="L641" s="1" t="s">
        <v>2502</v>
      </c>
      <c r="M641" s="1" t="s">
        <v>2501</v>
      </c>
      <c r="P641" s="1" t="s">
        <v>2469</v>
      </c>
      <c r="Q641" s="1" t="s">
        <v>27</v>
      </c>
      <c r="R641" s="1" t="s">
        <v>26</v>
      </c>
      <c r="S641" s="1" t="s">
        <v>2456</v>
      </c>
      <c r="T641" s="1" t="s">
        <v>2455</v>
      </c>
      <c r="U641" s="1">
        <v>1</v>
      </c>
      <c r="V641" s="1" t="s">
        <v>2439</v>
      </c>
      <c r="W641" s="1" t="s">
        <v>2500</v>
      </c>
      <c r="X641" s="1" t="s">
        <v>529</v>
      </c>
      <c r="Y641" s="3">
        <v>44127</v>
      </c>
      <c r="Z641" s="1">
        <v>2020</v>
      </c>
      <c r="AA641" s="2">
        <v>623854.24</v>
      </c>
      <c r="AB641" s="2"/>
      <c r="AC641" s="2">
        <v>467890.68</v>
      </c>
      <c r="AD641" s="1">
        <v>0</v>
      </c>
      <c r="AF641" s="1">
        <v>0</v>
      </c>
      <c r="AG641" s="1" t="s">
        <v>21</v>
      </c>
      <c r="AH641" s="1" t="s">
        <v>51</v>
      </c>
      <c r="AI641" s="2">
        <v>467890.68</v>
      </c>
      <c r="AK641" s="1"/>
      <c r="AL641" s="1" t="s">
        <v>2499</v>
      </c>
    </row>
    <row r="642" spans="1:38" ht="15" customHeight="1" x14ac:dyDescent="0.2">
      <c r="A642" s="1" t="s">
        <v>19</v>
      </c>
      <c r="B642" s="5" t="s">
        <v>18</v>
      </c>
      <c r="C642" s="1" t="s">
        <v>37</v>
      </c>
      <c r="D642" s="1" t="s">
        <v>63</v>
      </c>
      <c r="E642" s="1" t="s">
        <v>35</v>
      </c>
      <c r="F642" s="1" t="s">
        <v>62</v>
      </c>
      <c r="G642" s="1" t="s">
        <v>61</v>
      </c>
      <c r="H642" s="1" t="s">
        <v>60</v>
      </c>
      <c r="I642" s="1" t="s">
        <v>2498</v>
      </c>
      <c r="J642" s="1">
        <v>2020</v>
      </c>
      <c r="K642" s="1" t="s">
        <v>2497</v>
      </c>
      <c r="L642" s="1" t="s">
        <v>2496</v>
      </c>
      <c r="M642" s="1" t="s">
        <v>2495</v>
      </c>
      <c r="P642" s="1" t="s">
        <v>2469</v>
      </c>
      <c r="Q642" s="1" t="s">
        <v>27</v>
      </c>
      <c r="R642" s="1" t="s">
        <v>26</v>
      </c>
      <c r="S642" s="1" t="s">
        <v>2456</v>
      </c>
      <c r="T642" s="1" t="s">
        <v>2455</v>
      </c>
      <c r="U642" s="1">
        <v>1</v>
      </c>
      <c r="V642" s="1" t="s">
        <v>2439</v>
      </c>
      <c r="W642" s="1" t="s">
        <v>2494</v>
      </c>
      <c r="X642" s="1" t="s">
        <v>52</v>
      </c>
      <c r="Y642" s="3">
        <v>44127</v>
      </c>
      <c r="Z642" s="1">
        <v>2020</v>
      </c>
      <c r="AA642" s="2">
        <v>957000</v>
      </c>
      <c r="AB642" s="2"/>
      <c r="AC642" s="2">
        <v>717750</v>
      </c>
      <c r="AD642" s="1">
        <v>0</v>
      </c>
      <c r="AF642" s="1">
        <v>0</v>
      </c>
      <c r="AG642" s="1" t="s">
        <v>21</v>
      </c>
      <c r="AH642" s="1" t="s">
        <v>51</v>
      </c>
      <c r="AI642" s="2">
        <v>717750</v>
      </c>
      <c r="AK642" s="1"/>
      <c r="AL642" s="1" t="s">
        <v>88</v>
      </c>
    </row>
    <row r="643" spans="1:38" ht="15" customHeight="1" x14ac:dyDescent="0.2">
      <c r="A643" s="1" t="s">
        <v>19</v>
      </c>
      <c r="B643" s="5" t="s">
        <v>109</v>
      </c>
      <c r="C643" s="1" t="s">
        <v>37</v>
      </c>
      <c r="D643" s="1" t="s">
        <v>63</v>
      </c>
      <c r="E643" s="1" t="s">
        <v>35</v>
      </c>
      <c r="F643" s="1" t="s">
        <v>62</v>
      </c>
      <c r="G643" s="1" t="s">
        <v>61</v>
      </c>
      <c r="H643" s="1" t="s">
        <v>60</v>
      </c>
      <c r="I643" s="1" t="s">
        <v>2493</v>
      </c>
      <c r="J643" s="1">
        <v>2020</v>
      </c>
      <c r="K643" s="1" t="s">
        <v>2492</v>
      </c>
      <c r="P643" s="1" t="s">
        <v>2491</v>
      </c>
      <c r="Q643" s="1" t="s">
        <v>27</v>
      </c>
      <c r="R643" s="1" t="s">
        <v>26</v>
      </c>
      <c r="S643" s="1" t="s">
        <v>2490</v>
      </c>
      <c r="T643" s="1" t="s">
        <v>2489</v>
      </c>
      <c r="U643" s="1">
        <v>1</v>
      </c>
      <c r="V643" s="1" t="s">
        <v>2439</v>
      </c>
      <c r="W643" s="1" t="s">
        <v>2488</v>
      </c>
      <c r="X643" s="1" t="s">
        <v>529</v>
      </c>
      <c r="Y643" s="3">
        <v>44127</v>
      </c>
      <c r="Z643" s="1">
        <v>2020</v>
      </c>
      <c r="AA643" s="2">
        <v>600000</v>
      </c>
      <c r="AB643" s="2"/>
      <c r="AC643" s="2">
        <v>450000</v>
      </c>
      <c r="AD643" s="1">
        <v>0</v>
      </c>
      <c r="AF643" s="1">
        <v>0</v>
      </c>
      <c r="AG643" s="1" t="s">
        <v>106</v>
      </c>
      <c r="AH643" s="1" t="s">
        <v>794</v>
      </c>
      <c r="AI643" s="2">
        <v>0</v>
      </c>
      <c r="AK643" s="1"/>
    </row>
    <row r="644" spans="1:38" ht="15" customHeight="1" x14ac:dyDescent="0.2">
      <c r="A644" s="1" t="s">
        <v>19</v>
      </c>
      <c r="B644" s="5" t="s">
        <v>18</v>
      </c>
      <c r="C644" s="1" t="s">
        <v>37</v>
      </c>
      <c r="D644" s="1" t="s">
        <v>63</v>
      </c>
      <c r="E644" s="1" t="s">
        <v>35</v>
      </c>
      <c r="F644" s="1" t="s">
        <v>62</v>
      </c>
      <c r="G644" s="1" t="s">
        <v>61</v>
      </c>
      <c r="H644" s="1" t="s">
        <v>60</v>
      </c>
      <c r="I644" s="1" t="s">
        <v>2487</v>
      </c>
      <c r="J644" s="1">
        <v>2020</v>
      </c>
      <c r="K644" s="1" t="s">
        <v>2486</v>
      </c>
      <c r="L644" s="1" t="s">
        <v>2485</v>
      </c>
      <c r="M644" s="1" t="s">
        <v>2484</v>
      </c>
      <c r="P644" s="1" t="s">
        <v>2483</v>
      </c>
      <c r="Q644" s="1" t="s">
        <v>27</v>
      </c>
      <c r="R644" s="1" t="s">
        <v>26</v>
      </c>
      <c r="S644" s="1" t="s">
        <v>2448</v>
      </c>
      <c r="T644" s="1" t="s">
        <v>2447</v>
      </c>
      <c r="U644" s="1">
        <v>1</v>
      </c>
      <c r="V644" s="1" t="s">
        <v>2439</v>
      </c>
      <c r="W644" s="1" t="s">
        <v>2482</v>
      </c>
      <c r="X644" s="1" t="s">
        <v>52</v>
      </c>
      <c r="Y644" s="3">
        <v>44127</v>
      </c>
      <c r="Z644" s="1">
        <v>2020</v>
      </c>
      <c r="AA644" s="2">
        <v>91000</v>
      </c>
      <c r="AB644" s="2"/>
      <c r="AC644" s="2">
        <v>68250</v>
      </c>
      <c r="AD644" s="1">
        <v>0.5</v>
      </c>
      <c r="AF644" s="1">
        <v>2</v>
      </c>
      <c r="AG644" s="1" t="s">
        <v>21</v>
      </c>
      <c r="AH644" s="1" t="s">
        <v>65</v>
      </c>
      <c r="AI644" s="2">
        <v>56177.38</v>
      </c>
      <c r="AK644" s="1"/>
      <c r="AL644" s="1" t="s">
        <v>2481</v>
      </c>
    </row>
    <row r="645" spans="1:38" ht="15" customHeight="1" x14ac:dyDescent="0.2">
      <c r="A645" s="1" t="s">
        <v>19</v>
      </c>
      <c r="B645" s="5" t="s">
        <v>18</v>
      </c>
      <c r="C645" s="1" t="s">
        <v>37</v>
      </c>
      <c r="D645" s="1" t="s">
        <v>63</v>
      </c>
      <c r="E645" s="1" t="s">
        <v>35</v>
      </c>
      <c r="F645" s="1" t="s">
        <v>62</v>
      </c>
      <c r="G645" s="1" t="s">
        <v>61</v>
      </c>
      <c r="H645" s="1" t="s">
        <v>60</v>
      </c>
      <c r="I645" s="1" t="s">
        <v>2480</v>
      </c>
      <c r="J645" s="1">
        <v>2021</v>
      </c>
      <c r="K645" s="1" t="s">
        <v>2479</v>
      </c>
      <c r="L645" s="1" t="s">
        <v>2478</v>
      </c>
      <c r="M645" s="1" t="s">
        <v>2477</v>
      </c>
      <c r="N645" s="1" t="s">
        <v>2476</v>
      </c>
      <c r="P645" s="1" t="s">
        <v>2469</v>
      </c>
      <c r="Q645" s="1" t="s">
        <v>27</v>
      </c>
      <c r="R645" s="1" t="s">
        <v>26</v>
      </c>
      <c r="S645" s="1" t="s">
        <v>2456</v>
      </c>
      <c r="T645" s="1" t="s">
        <v>2455</v>
      </c>
      <c r="U645" s="1">
        <v>1</v>
      </c>
      <c r="V645" s="1" t="s">
        <v>2439</v>
      </c>
      <c r="W645" s="1" t="s">
        <v>2475</v>
      </c>
      <c r="Y645" s="3">
        <v>44560</v>
      </c>
      <c r="Z645" s="1">
        <v>2021</v>
      </c>
      <c r="AA645" s="2">
        <v>1320000</v>
      </c>
      <c r="AB645" s="2"/>
      <c r="AC645" s="2">
        <v>990000</v>
      </c>
      <c r="AD645" s="1">
        <v>0</v>
      </c>
      <c r="AG645" s="1" t="s">
        <v>21</v>
      </c>
      <c r="AH645" s="1" t="s">
        <v>51</v>
      </c>
      <c r="AI645" s="2">
        <v>990000</v>
      </c>
      <c r="AK645" s="1"/>
      <c r="AL645" s="1" t="s">
        <v>88</v>
      </c>
    </row>
    <row r="646" spans="1:38" ht="15" customHeight="1" x14ac:dyDescent="0.2">
      <c r="A646" s="1" t="s">
        <v>19</v>
      </c>
      <c r="B646" s="5" t="s">
        <v>18</v>
      </c>
      <c r="C646" s="1" t="s">
        <v>37</v>
      </c>
      <c r="D646" s="1" t="s">
        <v>63</v>
      </c>
      <c r="E646" s="1" t="s">
        <v>35</v>
      </c>
      <c r="F646" s="1" t="s">
        <v>62</v>
      </c>
      <c r="G646" s="1" t="s">
        <v>61</v>
      </c>
      <c r="H646" s="1" t="s">
        <v>60</v>
      </c>
      <c r="I646" s="1" t="s">
        <v>2474</v>
      </c>
      <c r="J646" s="1">
        <v>2021</v>
      </c>
      <c r="K646" s="1" t="s">
        <v>2473</v>
      </c>
      <c r="L646" s="1" t="s">
        <v>2472</v>
      </c>
      <c r="M646" s="1" t="s">
        <v>2471</v>
      </c>
      <c r="N646" s="1" t="s">
        <v>2470</v>
      </c>
      <c r="P646" s="1" t="s">
        <v>2469</v>
      </c>
      <c r="Q646" s="1" t="s">
        <v>27</v>
      </c>
      <c r="R646" s="1" t="s">
        <v>26</v>
      </c>
      <c r="S646" s="1" t="s">
        <v>2456</v>
      </c>
      <c r="T646" s="1" t="s">
        <v>2455</v>
      </c>
      <c r="U646" s="1">
        <v>1</v>
      </c>
      <c r="V646" s="1" t="s">
        <v>2439</v>
      </c>
      <c r="W646" s="1" t="s">
        <v>2468</v>
      </c>
      <c r="Y646" s="3">
        <v>44550</v>
      </c>
      <c r="Z646" s="1">
        <v>2021</v>
      </c>
      <c r="AA646" s="2">
        <v>847000</v>
      </c>
      <c r="AB646" s="2"/>
      <c r="AC646" s="2">
        <v>635250</v>
      </c>
      <c r="AD646" s="1">
        <v>0</v>
      </c>
      <c r="AG646" s="1" t="s">
        <v>21</v>
      </c>
      <c r="AH646" s="1" t="s">
        <v>65</v>
      </c>
      <c r="AI646" s="2">
        <v>558566.25</v>
      </c>
      <c r="AK646" s="1"/>
      <c r="AL646" s="1" t="s">
        <v>88</v>
      </c>
    </row>
    <row r="647" spans="1:38" ht="15" customHeight="1" x14ac:dyDescent="0.2">
      <c r="A647" s="1" t="s">
        <v>19</v>
      </c>
      <c r="B647" s="5" t="s">
        <v>18</v>
      </c>
      <c r="C647" s="1" t="s">
        <v>37</v>
      </c>
      <c r="D647" s="1" t="s">
        <v>63</v>
      </c>
      <c r="E647" s="1" t="s">
        <v>35</v>
      </c>
      <c r="F647" s="1" t="s">
        <v>62</v>
      </c>
      <c r="G647" s="1" t="s">
        <v>61</v>
      </c>
      <c r="H647" s="1" t="s">
        <v>60</v>
      </c>
      <c r="I647" s="1" t="s">
        <v>2467</v>
      </c>
      <c r="J647" s="1">
        <v>2021</v>
      </c>
      <c r="K647" s="1" t="s">
        <v>2466</v>
      </c>
      <c r="L647" s="1" t="s">
        <v>2465</v>
      </c>
      <c r="P647" s="1" t="s">
        <v>2464</v>
      </c>
      <c r="Q647" s="1" t="s">
        <v>27</v>
      </c>
      <c r="R647" s="1" t="s">
        <v>26</v>
      </c>
      <c r="S647" s="1" t="s">
        <v>2463</v>
      </c>
      <c r="T647" s="1" t="s">
        <v>2462</v>
      </c>
      <c r="U647" s="1">
        <v>1</v>
      </c>
      <c r="V647" s="1" t="s">
        <v>2439</v>
      </c>
      <c r="W647" s="1" t="s">
        <v>2461</v>
      </c>
      <c r="Y647" s="3">
        <v>44550</v>
      </c>
      <c r="Z647" s="1">
        <v>2021</v>
      </c>
      <c r="AA647" s="2">
        <v>10000000</v>
      </c>
      <c r="AB647" s="2"/>
      <c r="AC647" s="2">
        <v>7500000</v>
      </c>
      <c r="AD647" s="1">
        <v>42</v>
      </c>
      <c r="AF647" s="1">
        <v>0</v>
      </c>
      <c r="AG647" s="1" t="s">
        <v>21</v>
      </c>
      <c r="AH647" s="1" t="s">
        <v>65</v>
      </c>
      <c r="AI647" s="2">
        <v>6048000</v>
      </c>
      <c r="AK647" s="1"/>
      <c r="AL647" s="1" t="s">
        <v>2460</v>
      </c>
    </row>
    <row r="648" spans="1:38" ht="15" customHeight="1" x14ac:dyDescent="0.2">
      <c r="A648" s="1" t="s">
        <v>19</v>
      </c>
      <c r="B648" s="5" t="s">
        <v>18</v>
      </c>
      <c r="C648" s="1" t="s">
        <v>37</v>
      </c>
      <c r="D648" s="1" t="s">
        <v>36</v>
      </c>
      <c r="E648" s="1" t="s">
        <v>35</v>
      </c>
      <c r="F648" s="1" t="s">
        <v>2131</v>
      </c>
      <c r="G648" s="1" t="s">
        <v>33</v>
      </c>
      <c r="H648" s="1" t="s">
        <v>2130</v>
      </c>
      <c r="I648" s="1" t="s">
        <v>2459</v>
      </c>
      <c r="J648" s="1">
        <v>2023</v>
      </c>
      <c r="K648" s="1" t="s">
        <v>2454</v>
      </c>
      <c r="L648" s="1" t="s">
        <v>2458</v>
      </c>
      <c r="M648" s="1" t="s">
        <v>2457</v>
      </c>
      <c r="P648" s="1" t="s">
        <v>2449</v>
      </c>
      <c r="Q648" s="1" t="s">
        <v>27</v>
      </c>
      <c r="R648" s="1" t="s">
        <v>26</v>
      </c>
      <c r="S648" s="1" t="s">
        <v>2456</v>
      </c>
      <c r="T648" s="1" t="s">
        <v>2455</v>
      </c>
      <c r="U648" s="1">
        <v>1</v>
      </c>
      <c r="V648" s="1" t="s">
        <v>2439</v>
      </c>
      <c r="W648" s="1" t="s">
        <v>2454</v>
      </c>
      <c r="Y648" s="3">
        <v>44732</v>
      </c>
      <c r="Z648" s="1">
        <v>2022</v>
      </c>
      <c r="AA648" s="2">
        <v>999000</v>
      </c>
      <c r="AB648" s="2"/>
      <c r="AC648" s="2">
        <v>999000</v>
      </c>
      <c r="AG648" s="1" t="s">
        <v>21</v>
      </c>
      <c r="AI648" s="2">
        <v>999000</v>
      </c>
      <c r="AJ648" s="2">
        <v>0.44</v>
      </c>
      <c r="AK648" s="1"/>
      <c r="AL648" s="1" t="s">
        <v>2453</v>
      </c>
    </row>
    <row r="649" spans="1:38" ht="15" customHeight="1" x14ac:dyDescent="0.2">
      <c r="A649" s="1" t="s">
        <v>19</v>
      </c>
      <c r="B649" s="5" t="s">
        <v>18</v>
      </c>
      <c r="C649" s="1" t="s">
        <v>37</v>
      </c>
      <c r="D649" s="1" t="s">
        <v>36</v>
      </c>
      <c r="E649" s="1" t="s">
        <v>35</v>
      </c>
      <c r="F649" s="1" t="s">
        <v>2131</v>
      </c>
      <c r="G649" s="1" t="s">
        <v>33</v>
      </c>
      <c r="H649" s="1" t="s">
        <v>2130</v>
      </c>
      <c r="I649" s="1" t="s">
        <v>2452</v>
      </c>
      <c r="J649" s="1">
        <v>2023</v>
      </c>
      <c r="K649" s="1" t="s">
        <v>2446</v>
      </c>
      <c r="L649" s="1" t="s">
        <v>2451</v>
      </c>
      <c r="M649" s="1" t="s">
        <v>2450</v>
      </c>
      <c r="P649" s="1" t="s">
        <v>2449</v>
      </c>
      <c r="Q649" s="1" t="s">
        <v>27</v>
      </c>
      <c r="R649" s="1" t="s">
        <v>26</v>
      </c>
      <c r="S649" s="1" t="s">
        <v>2448</v>
      </c>
      <c r="T649" s="1" t="s">
        <v>2447</v>
      </c>
      <c r="U649" s="1">
        <v>1</v>
      </c>
      <c r="V649" s="1" t="s">
        <v>2439</v>
      </c>
      <c r="W649" s="1" t="s">
        <v>2446</v>
      </c>
      <c r="Y649" s="3">
        <v>44732</v>
      </c>
      <c r="Z649" s="1">
        <v>2022</v>
      </c>
      <c r="AA649" s="2">
        <v>999000</v>
      </c>
      <c r="AB649" s="2"/>
      <c r="AC649" s="2">
        <v>999000</v>
      </c>
      <c r="AG649" s="1" t="s">
        <v>21</v>
      </c>
      <c r="AI649" s="2">
        <v>999000</v>
      </c>
      <c r="AJ649" s="2"/>
      <c r="AK649" s="1"/>
      <c r="AL649" s="1" t="s">
        <v>2445</v>
      </c>
    </row>
    <row r="650" spans="1:38" ht="15" customHeight="1" x14ac:dyDescent="0.2">
      <c r="A650" s="1" t="s">
        <v>19</v>
      </c>
      <c r="B650" s="5" t="s">
        <v>18</v>
      </c>
      <c r="C650" s="1" t="s">
        <v>37</v>
      </c>
      <c r="D650" s="1" t="s">
        <v>63</v>
      </c>
      <c r="E650" s="1" t="s">
        <v>35</v>
      </c>
      <c r="G650" s="1" t="s">
        <v>1619</v>
      </c>
      <c r="H650" s="1" t="s">
        <v>130</v>
      </c>
      <c r="I650" s="1" t="s">
        <v>2444</v>
      </c>
      <c r="J650" s="1">
        <v>2020</v>
      </c>
      <c r="K650" s="1" t="s">
        <v>2438</v>
      </c>
      <c r="L650" s="1" t="s">
        <v>2443</v>
      </c>
      <c r="P650" s="1" t="s">
        <v>2442</v>
      </c>
      <c r="Q650" s="1" t="s">
        <v>27</v>
      </c>
      <c r="R650" s="1" t="s">
        <v>26</v>
      </c>
      <c r="S650" s="1" t="s">
        <v>2441</v>
      </c>
      <c r="T650" s="1" t="s">
        <v>2440</v>
      </c>
      <c r="U650" s="1">
        <v>1</v>
      </c>
      <c r="V650" s="1" t="s">
        <v>2439</v>
      </c>
      <c r="W650" s="1" t="s">
        <v>2438</v>
      </c>
      <c r="X650" s="1" t="s">
        <v>529</v>
      </c>
      <c r="Y650" s="3">
        <v>44337</v>
      </c>
      <c r="Z650" s="1">
        <v>2021</v>
      </c>
      <c r="AA650" s="2">
        <v>999960.13</v>
      </c>
      <c r="AB650" s="2"/>
      <c r="AC650" s="2">
        <v>499980.07</v>
      </c>
      <c r="AD650" s="1">
        <v>1</v>
      </c>
      <c r="AE650" s="1">
        <v>1</v>
      </c>
      <c r="AG650" s="1" t="s">
        <v>21</v>
      </c>
      <c r="AH650" s="1" t="s">
        <v>65</v>
      </c>
      <c r="AI650" s="2">
        <v>478352.81</v>
      </c>
      <c r="AK650" s="1">
        <v>1</v>
      </c>
      <c r="AL650" s="1" t="s">
        <v>2437</v>
      </c>
    </row>
    <row r="651" spans="1:38" ht="15" customHeight="1" x14ac:dyDescent="0.2">
      <c r="A651" s="1" t="s">
        <v>19</v>
      </c>
      <c r="B651" s="5" t="s">
        <v>18</v>
      </c>
      <c r="C651" s="1" t="s">
        <v>17</v>
      </c>
      <c r="D651" s="1" t="s">
        <v>16</v>
      </c>
      <c r="E651" s="1" t="s">
        <v>35</v>
      </c>
      <c r="F651" s="1" t="s">
        <v>2430</v>
      </c>
      <c r="G651" s="1" t="s">
        <v>2429</v>
      </c>
      <c r="H651" s="1" t="s">
        <v>12</v>
      </c>
      <c r="I651" s="1" t="s">
        <v>2436</v>
      </c>
      <c r="J651" s="1">
        <v>2023</v>
      </c>
      <c r="K651" s="1" t="s">
        <v>2422</v>
      </c>
      <c r="L651" s="1" t="s">
        <v>2427</v>
      </c>
      <c r="M651" s="1" t="s">
        <v>2435</v>
      </c>
      <c r="P651" s="1" t="s">
        <v>2434</v>
      </c>
      <c r="Q651" s="1" t="s">
        <v>1749</v>
      </c>
      <c r="R651" s="1" t="s">
        <v>2244</v>
      </c>
      <c r="S651" s="1" t="s">
        <v>2433</v>
      </c>
      <c r="T651" s="1" t="s">
        <v>2432</v>
      </c>
      <c r="V651" s="1" t="s">
        <v>2241</v>
      </c>
      <c r="W651" s="1" t="s">
        <v>2422</v>
      </c>
      <c r="X651" s="1" t="s">
        <v>2</v>
      </c>
      <c r="Y651" s="3">
        <v>45281</v>
      </c>
      <c r="Z651" s="1">
        <v>2023</v>
      </c>
      <c r="AA651" s="2">
        <v>1936116</v>
      </c>
      <c r="AB651" s="2"/>
      <c r="AC651" s="2">
        <v>1150053</v>
      </c>
      <c r="AG651" s="1" t="s">
        <v>1</v>
      </c>
      <c r="AI651" s="2">
        <v>1150053</v>
      </c>
      <c r="AK651" s="1"/>
      <c r="AL651" s="1" t="s">
        <v>2431</v>
      </c>
    </row>
    <row r="652" spans="1:38" ht="15" customHeight="1" x14ac:dyDescent="0.25">
      <c r="A652" s="1" t="s">
        <v>19</v>
      </c>
      <c r="B652" s="5" t="s">
        <v>18</v>
      </c>
      <c r="C652" s="1" t="s">
        <v>17</v>
      </c>
      <c r="D652" s="1" t="s">
        <v>16</v>
      </c>
      <c r="E652" s="35" t="s">
        <v>35</v>
      </c>
      <c r="F652" s="1" t="s">
        <v>2430</v>
      </c>
      <c r="G652" s="1" t="s">
        <v>2429</v>
      </c>
      <c r="H652" s="1" t="s">
        <v>12</v>
      </c>
      <c r="I652" s="1" t="s">
        <v>2428</v>
      </c>
      <c r="J652" s="1">
        <v>2023</v>
      </c>
      <c r="K652" s="1" t="s">
        <v>2422</v>
      </c>
      <c r="L652" s="1" t="s">
        <v>2427</v>
      </c>
      <c r="M652" s="1" t="s">
        <v>2426</v>
      </c>
      <c r="P652" s="1" t="s">
        <v>2425</v>
      </c>
      <c r="Q652" s="1" t="s">
        <v>1749</v>
      </c>
      <c r="R652" s="1" t="s">
        <v>2244</v>
      </c>
      <c r="S652" s="1" t="s">
        <v>2424</v>
      </c>
      <c r="T652" s="1" t="s">
        <v>2423</v>
      </c>
      <c r="V652" s="1" t="s">
        <v>2241</v>
      </c>
      <c r="W652" s="1" t="s">
        <v>2422</v>
      </c>
      <c r="X652" s="1" t="s">
        <v>2</v>
      </c>
      <c r="Y652" s="3">
        <v>45281</v>
      </c>
      <c r="Z652" s="1">
        <v>2023</v>
      </c>
      <c r="AA652" s="2">
        <v>1936119.69</v>
      </c>
      <c r="AB652" s="2"/>
      <c r="AC652" s="2">
        <v>1150055.1000000001</v>
      </c>
      <c r="AG652" s="1" t="s">
        <v>1</v>
      </c>
      <c r="AI652" s="2">
        <v>1150055.1000000001</v>
      </c>
      <c r="AK652" s="1"/>
      <c r="AL652" s="9" t="s">
        <v>2421</v>
      </c>
    </row>
    <row r="653" spans="1:38" ht="15" customHeight="1" x14ac:dyDescent="0.2">
      <c r="A653" s="1" t="s">
        <v>19</v>
      </c>
      <c r="B653" s="5" t="s">
        <v>18</v>
      </c>
      <c r="C653" s="1" t="s">
        <v>37</v>
      </c>
      <c r="D653" s="1" t="s">
        <v>63</v>
      </c>
      <c r="E653" s="1" t="s">
        <v>35</v>
      </c>
      <c r="G653" s="1" t="s">
        <v>288</v>
      </c>
      <c r="H653" s="1" t="s">
        <v>32</v>
      </c>
      <c r="I653" s="1" t="s">
        <v>2420</v>
      </c>
      <c r="J653" s="1">
        <v>2022</v>
      </c>
      <c r="K653" s="1" t="s">
        <v>2419</v>
      </c>
      <c r="L653" s="1" t="s">
        <v>2418</v>
      </c>
      <c r="M653" s="1" t="s">
        <v>2356</v>
      </c>
      <c r="P653" s="1" t="s">
        <v>2417</v>
      </c>
      <c r="Q653" s="1" t="s">
        <v>1749</v>
      </c>
      <c r="R653" s="1" t="s">
        <v>2244</v>
      </c>
      <c r="S653" s="1" t="s">
        <v>2271</v>
      </c>
      <c r="T653" s="1" t="s">
        <v>2270</v>
      </c>
      <c r="V653" s="1" t="s">
        <v>2241</v>
      </c>
      <c r="W653" s="1" t="s">
        <v>2416</v>
      </c>
      <c r="Y653" s="3">
        <v>45112</v>
      </c>
      <c r="Z653" s="1">
        <v>2023</v>
      </c>
      <c r="AA653" s="2">
        <v>1499994.28</v>
      </c>
      <c r="AB653" s="2"/>
      <c r="AC653" s="2">
        <v>1325981.1607692305</v>
      </c>
      <c r="AG653" s="1" t="s">
        <v>21</v>
      </c>
      <c r="AI653" s="2">
        <v>1325981.1607692305</v>
      </c>
      <c r="AK653" s="1"/>
    </row>
    <row r="654" spans="1:38" ht="15" customHeight="1" x14ac:dyDescent="0.2">
      <c r="A654" s="1" t="s">
        <v>19</v>
      </c>
      <c r="B654" s="5" t="s">
        <v>18</v>
      </c>
      <c r="C654" s="1" t="s">
        <v>37</v>
      </c>
      <c r="D654" s="1" t="s">
        <v>63</v>
      </c>
      <c r="E654" s="1" t="s">
        <v>35</v>
      </c>
      <c r="G654" s="1" t="s">
        <v>288</v>
      </c>
      <c r="H654" s="1" t="s">
        <v>32</v>
      </c>
      <c r="I654" s="1" t="s">
        <v>2415</v>
      </c>
      <c r="J654" s="1">
        <v>2022</v>
      </c>
      <c r="K654" s="1" t="s">
        <v>2414</v>
      </c>
      <c r="L654" s="1" t="s">
        <v>2413</v>
      </c>
      <c r="M654" s="1" t="s">
        <v>2412</v>
      </c>
      <c r="P654" s="1" t="s">
        <v>2411</v>
      </c>
      <c r="Q654" s="1" t="s">
        <v>1749</v>
      </c>
      <c r="R654" s="1" t="s">
        <v>2244</v>
      </c>
      <c r="S654" s="1" t="s">
        <v>2410</v>
      </c>
      <c r="T654" s="1" t="s">
        <v>2409</v>
      </c>
      <c r="V654" s="1" t="s">
        <v>2241</v>
      </c>
      <c r="W654" s="1" t="s">
        <v>2408</v>
      </c>
      <c r="Y654" s="3">
        <v>45112</v>
      </c>
      <c r="Z654" s="1">
        <v>2023</v>
      </c>
      <c r="AA654" s="2">
        <v>499302.08</v>
      </c>
      <c r="AB654" s="2"/>
      <c r="AC654" s="2">
        <v>499302.08</v>
      </c>
      <c r="AG654" s="1" t="s">
        <v>21</v>
      </c>
      <c r="AI654" s="2">
        <v>499302.08</v>
      </c>
      <c r="AK654" s="1"/>
    </row>
    <row r="655" spans="1:38" ht="15" customHeight="1" x14ac:dyDescent="0.2">
      <c r="A655" s="1" t="s">
        <v>19</v>
      </c>
      <c r="B655" s="5" t="s">
        <v>109</v>
      </c>
      <c r="C655" s="1" t="s">
        <v>37</v>
      </c>
      <c r="D655" s="1" t="s">
        <v>63</v>
      </c>
      <c r="E655" s="1" t="s">
        <v>35</v>
      </c>
      <c r="G655" s="1" t="s">
        <v>288</v>
      </c>
      <c r="H655" s="1" t="s">
        <v>32</v>
      </c>
      <c r="I655" s="1" t="s">
        <v>2407</v>
      </c>
      <c r="J655" s="1">
        <v>2022</v>
      </c>
      <c r="K655" s="38" t="s">
        <v>2406</v>
      </c>
      <c r="P655" s="1" t="s">
        <v>2405</v>
      </c>
      <c r="Q655" s="1" t="s">
        <v>1749</v>
      </c>
      <c r="R655" s="1" t="s">
        <v>2244</v>
      </c>
      <c r="S655" s="1" t="s">
        <v>2404</v>
      </c>
      <c r="T655" s="1" t="s">
        <v>2403</v>
      </c>
      <c r="V655" s="1" t="s">
        <v>2241</v>
      </c>
      <c r="W655" s="1" t="s">
        <v>2402</v>
      </c>
      <c r="Y655" s="3">
        <v>45112</v>
      </c>
      <c r="Z655" s="1">
        <v>2023</v>
      </c>
      <c r="AA655" s="2">
        <v>610425.86</v>
      </c>
      <c r="AB655" s="2"/>
      <c r="AC655" s="2">
        <v>610425.86</v>
      </c>
      <c r="AG655" s="1" t="s">
        <v>106</v>
      </c>
      <c r="AH655" s="1" t="s">
        <v>105</v>
      </c>
      <c r="AI655" s="2">
        <v>0</v>
      </c>
      <c r="AK655" s="1"/>
    </row>
    <row r="656" spans="1:38" ht="15" customHeight="1" x14ac:dyDescent="0.2">
      <c r="A656" s="1" t="s">
        <v>19</v>
      </c>
      <c r="B656" s="5" t="s">
        <v>109</v>
      </c>
      <c r="C656" s="1" t="s">
        <v>37</v>
      </c>
      <c r="D656" s="1" t="s">
        <v>63</v>
      </c>
      <c r="E656" s="1" t="s">
        <v>35</v>
      </c>
      <c r="G656" s="1" t="s">
        <v>288</v>
      </c>
      <c r="H656" s="1" t="s">
        <v>32</v>
      </c>
      <c r="I656" s="1" t="s">
        <v>2401</v>
      </c>
      <c r="J656" s="1">
        <v>2022</v>
      </c>
      <c r="K656" s="38" t="s">
        <v>2400</v>
      </c>
      <c r="P656" s="1" t="s">
        <v>2363</v>
      </c>
      <c r="Q656" s="1" t="s">
        <v>1749</v>
      </c>
      <c r="R656" s="1" t="s">
        <v>2244</v>
      </c>
      <c r="S656" s="1" t="s">
        <v>2362</v>
      </c>
      <c r="T656" s="1" t="s">
        <v>2361</v>
      </c>
      <c r="V656" s="1" t="s">
        <v>2241</v>
      </c>
      <c r="W656" s="1" t="s">
        <v>2399</v>
      </c>
      <c r="Y656" s="3">
        <v>45202</v>
      </c>
      <c r="Z656" s="1">
        <v>2023</v>
      </c>
      <c r="AA656" s="2">
        <v>649810.64</v>
      </c>
      <c r="AB656" s="2"/>
      <c r="AC656" s="2">
        <v>649810.64</v>
      </c>
      <c r="AG656" s="1" t="s">
        <v>106</v>
      </c>
      <c r="AH656" s="1" t="s">
        <v>105</v>
      </c>
      <c r="AI656" s="2">
        <v>0</v>
      </c>
      <c r="AK656" s="1"/>
    </row>
    <row r="657" spans="1:35" s="1" customFormat="1" ht="15" customHeight="1" x14ac:dyDescent="0.2">
      <c r="A657" s="1" t="s">
        <v>19</v>
      </c>
      <c r="B657" s="5" t="s">
        <v>18</v>
      </c>
      <c r="C657" s="1" t="s">
        <v>37</v>
      </c>
      <c r="D657" s="1" t="s">
        <v>63</v>
      </c>
      <c r="E657" s="1" t="s">
        <v>35</v>
      </c>
      <c r="G657" s="1" t="s">
        <v>288</v>
      </c>
      <c r="H657" s="1" t="s">
        <v>32</v>
      </c>
      <c r="I657" s="1" t="s">
        <v>2398</v>
      </c>
      <c r="J657" s="1">
        <v>2022</v>
      </c>
      <c r="K657" s="1" t="s">
        <v>2397</v>
      </c>
      <c r="L657" s="1" t="s">
        <v>2396</v>
      </c>
      <c r="M657" s="1" t="s">
        <v>2395</v>
      </c>
      <c r="N657" s="1" t="s">
        <v>2394</v>
      </c>
      <c r="P657" s="1" t="s">
        <v>2393</v>
      </c>
      <c r="Q657" s="1" t="s">
        <v>1749</v>
      </c>
      <c r="R657" s="1" t="s">
        <v>2244</v>
      </c>
      <c r="S657" s="1" t="s">
        <v>2251</v>
      </c>
      <c r="T657" s="1" t="s">
        <v>2250</v>
      </c>
      <c r="V657" s="1" t="s">
        <v>2241</v>
      </c>
      <c r="W657" s="1" t="s">
        <v>2392</v>
      </c>
      <c r="Y657" s="3">
        <v>45112</v>
      </c>
      <c r="Z657" s="1">
        <v>2023</v>
      </c>
      <c r="AA657" s="2">
        <v>1499033.65</v>
      </c>
      <c r="AB657" s="2"/>
      <c r="AC657" s="2">
        <v>1499033.65</v>
      </c>
      <c r="AG657" s="1" t="s">
        <v>21</v>
      </c>
      <c r="AI657" s="2">
        <v>1499033.65</v>
      </c>
    </row>
    <row r="658" spans="1:35" s="1" customFormat="1" ht="15" customHeight="1" x14ac:dyDescent="0.2">
      <c r="A658" s="1" t="s">
        <v>19</v>
      </c>
      <c r="B658" s="5" t="s">
        <v>18</v>
      </c>
      <c r="C658" s="1" t="s">
        <v>37</v>
      </c>
      <c r="D658" s="1" t="s">
        <v>63</v>
      </c>
      <c r="E658" s="1" t="s">
        <v>35</v>
      </c>
      <c r="G658" s="1" t="s">
        <v>288</v>
      </c>
      <c r="H658" s="1" t="s">
        <v>32</v>
      </c>
      <c r="I658" s="1" t="s">
        <v>2391</v>
      </c>
      <c r="J658" s="1">
        <v>2022</v>
      </c>
      <c r="K658" s="1" t="s">
        <v>2390</v>
      </c>
      <c r="L658" s="1" t="s">
        <v>2389</v>
      </c>
      <c r="M658" s="1" t="s">
        <v>2388</v>
      </c>
      <c r="P658" s="1" t="s">
        <v>2372</v>
      </c>
      <c r="Q658" s="1" t="s">
        <v>1749</v>
      </c>
      <c r="R658" s="1" t="s">
        <v>2244</v>
      </c>
      <c r="S658" s="1" t="s">
        <v>2243</v>
      </c>
      <c r="T658" s="1" t="s">
        <v>2242</v>
      </c>
      <c r="V658" s="1" t="s">
        <v>2241</v>
      </c>
      <c r="W658" s="1" t="s">
        <v>2387</v>
      </c>
      <c r="Y658" s="3">
        <v>45112</v>
      </c>
      <c r="Z658" s="1">
        <v>2023</v>
      </c>
      <c r="AA658" s="2">
        <v>458991.75</v>
      </c>
      <c r="AB658" s="2"/>
      <c r="AC658" s="2">
        <v>458991.75</v>
      </c>
      <c r="AG658" s="1" t="s">
        <v>21</v>
      </c>
      <c r="AI658" s="2">
        <v>458991.75</v>
      </c>
    </row>
    <row r="659" spans="1:35" s="1" customFormat="1" ht="15" customHeight="1" x14ac:dyDescent="0.2">
      <c r="A659" s="1" t="s">
        <v>19</v>
      </c>
      <c r="B659" s="5" t="s">
        <v>109</v>
      </c>
      <c r="C659" s="1" t="s">
        <v>37</v>
      </c>
      <c r="D659" s="1" t="s">
        <v>63</v>
      </c>
      <c r="E659" s="1" t="s">
        <v>35</v>
      </c>
      <c r="G659" s="1" t="s">
        <v>288</v>
      </c>
      <c r="H659" s="1" t="s">
        <v>32</v>
      </c>
      <c r="I659" s="1" t="s">
        <v>2386</v>
      </c>
      <c r="J659" s="1">
        <v>2022</v>
      </c>
      <c r="K659" s="1" t="s">
        <v>2385</v>
      </c>
      <c r="P659" s="1" t="s">
        <v>2384</v>
      </c>
      <c r="Q659" s="1" t="s">
        <v>1749</v>
      </c>
      <c r="R659" s="1" t="s">
        <v>2244</v>
      </c>
      <c r="S659" s="1" t="s">
        <v>2383</v>
      </c>
      <c r="T659" s="1" t="s">
        <v>2382</v>
      </c>
      <c r="V659" s="1" t="s">
        <v>2241</v>
      </c>
      <c r="W659" s="1" t="s">
        <v>2381</v>
      </c>
      <c r="Y659" s="3">
        <v>45142</v>
      </c>
      <c r="Z659" s="1">
        <v>2023</v>
      </c>
      <c r="AA659" s="2">
        <v>849885.17</v>
      </c>
      <c r="AB659" s="2"/>
      <c r="AC659" s="2">
        <v>849885.17</v>
      </c>
      <c r="AG659" s="1" t="s">
        <v>106</v>
      </c>
      <c r="AH659" s="1" t="s">
        <v>105</v>
      </c>
      <c r="AI659" s="2">
        <v>0</v>
      </c>
    </row>
    <row r="660" spans="1:35" s="1" customFormat="1" ht="15" customHeight="1" x14ac:dyDescent="0.25">
      <c r="A660" s="1" t="s">
        <v>19</v>
      </c>
      <c r="B660" s="43" t="s">
        <v>18</v>
      </c>
      <c r="C660" s="42" t="s">
        <v>37</v>
      </c>
      <c r="D660" s="1" t="s">
        <v>63</v>
      </c>
      <c r="E660" s="1" t="s">
        <v>35</v>
      </c>
      <c r="F660" s="1" t="s">
        <v>2380</v>
      </c>
      <c r="G660" s="1" t="s">
        <v>288</v>
      </c>
      <c r="H660" s="1" t="s">
        <v>32</v>
      </c>
      <c r="I660" s="1" t="s">
        <v>2379</v>
      </c>
      <c r="J660" s="1">
        <v>2022</v>
      </c>
      <c r="K660" s="1" t="s">
        <v>2378</v>
      </c>
      <c r="L660" s="1" t="s">
        <v>2377</v>
      </c>
      <c r="M660" s="1" t="s">
        <v>0</v>
      </c>
      <c r="P660" s="1" t="s">
        <v>2355</v>
      </c>
      <c r="Q660" s="40" t="s">
        <v>1749</v>
      </c>
      <c r="R660" s="12" t="s">
        <v>2244</v>
      </c>
      <c r="S660" s="41" t="s">
        <v>2309</v>
      </c>
      <c r="T660" s="12" t="s">
        <v>2308</v>
      </c>
      <c r="U660" s="17"/>
      <c r="V660" s="40" t="s">
        <v>2241</v>
      </c>
      <c r="W660" s="12" t="s">
        <v>2376</v>
      </c>
      <c r="X660" s="12" t="s">
        <v>2256</v>
      </c>
      <c r="Y660" s="13"/>
      <c r="Z660" s="12">
        <v>2025</v>
      </c>
      <c r="AA660" s="2">
        <v>693171</v>
      </c>
      <c r="AB660" s="11"/>
      <c r="AC660" s="11">
        <v>693171</v>
      </c>
      <c r="AD660" s="2"/>
      <c r="AG660" s="1" t="s">
        <v>21</v>
      </c>
      <c r="AI660" s="11">
        <v>693171</v>
      </c>
    </row>
    <row r="661" spans="1:35" s="1" customFormat="1" ht="15" customHeight="1" x14ac:dyDescent="0.2">
      <c r="A661" s="1" t="s">
        <v>19</v>
      </c>
      <c r="B661" s="5" t="s">
        <v>18</v>
      </c>
      <c r="C661" s="1" t="s">
        <v>37</v>
      </c>
      <c r="D661" s="1" t="s">
        <v>63</v>
      </c>
      <c r="E661" s="1" t="s">
        <v>35</v>
      </c>
      <c r="G661" s="1" t="s">
        <v>288</v>
      </c>
      <c r="H661" s="1" t="s">
        <v>32</v>
      </c>
      <c r="I661" s="1" t="s">
        <v>2375</v>
      </c>
      <c r="J661" s="1">
        <v>2022</v>
      </c>
      <c r="K661" s="1" t="s">
        <v>2374</v>
      </c>
      <c r="L661" s="1" t="s">
        <v>2373</v>
      </c>
      <c r="M661" s="1" t="s">
        <v>2367</v>
      </c>
      <c r="P661" s="1" t="s">
        <v>2372</v>
      </c>
      <c r="Q661" s="1" t="s">
        <v>1749</v>
      </c>
      <c r="R661" s="1" t="s">
        <v>2244</v>
      </c>
      <c r="S661" s="1" t="s">
        <v>2243</v>
      </c>
      <c r="T661" s="1" t="s">
        <v>2242</v>
      </c>
      <c r="V661" s="1" t="s">
        <v>2241</v>
      </c>
      <c r="W661" s="1" t="s">
        <v>2371</v>
      </c>
      <c r="Y661" s="3">
        <v>45112</v>
      </c>
      <c r="Z661" s="1">
        <v>2023</v>
      </c>
      <c r="AA661" s="2">
        <v>1683750.17</v>
      </c>
      <c r="AB661" s="2"/>
      <c r="AC661" s="2">
        <v>1683750.17</v>
      </c>
      <c r="AG661" s="1" t="s">
        <v>21</v>
      </c>
      <c r="AI661" s="2">
        <v>1683750.17</v>
      </c>
    </row>
    <row r="662" spans="1:35" s="1" customFormat="1" ht="15" customHeight="1" x14ac:dyDescent="0.2">
      <c r="A662" s="1" t="s">
        <v>19</v>
      </c>
      <c r="B662" s="5" t="s">
        <v>18</v>
      </c>
      <c r="C662" s="1" t="s">
        <v>37</v>
      </c>
      <c r="D662" s="1" t="s">
        <v>63</v>
      </c>
      <c r="E662" s="1" t="s">
        <v>35</v>
      </c>
      <c r="G662" s="1" t="s">
        <v>288</v>
      </c>
      <c r="H662" s="1" t="s">
        <v>32</v>
      </c>
      <c r="I662" s="1" t="s">
        <v>2370</v>
      </c>
      <c r="J662" s="1">
        <v>2022</v>
      </c>
      <c r="K662" s="1" t="s">
        <v>2369</v>
      </c>
      <c r="L662" s="1" t="s">
        <v>2368</v>
      </c>
      <c r="M662" s="1" t="s">
        <v>2367</v>
      </c>
      <c r="P662" s="1" t="s">
        <v>2355</v>
      </c>
      <c r="Q662" s="1" t="s">
        <v>1749</v>
      </c>
      <c r="R662" s="1" t="s">
        <v>2244</v>
      </c>
      <c r="S662" s="1" t="s">
        <v>2309</v>
      </c>
      <c r="T662" s="1" t="s">
        <v>2308</v>
      </c>
      <c r="V662" s="1" t="s">
        <v>2241</v>
      </c>
      <c r="W662" s="1" t="s">
        <v>2366</v>
      </c>
      <c r="Y662" s="3">
        <v>45112</v>
      </c>
      <c r="Z662" s="1">
        <v>2023</v>
      </c>
      <c r="AA662" s="2">
        <v>495669.27</v>
      </c>
      <c r="AB662" s="2"/>
      <c r="AC662" s="2">
        <v>495669.27</v>
      </c>
      <c r="AG662" s="1" t="s">
        <v>21</v>
      </c>
      <c r="AI662" s="2">
        <v>495669.27</v>
      </c>
    </row>
    <row r="663" spans="1:35" s="1" customFormat="1" ht="15" customHeight="1" x14ac:dyDescent="0.2">
      <c r="A663" s="1" t="s">
        <v>19</v>
      </c>
      <c r="B663" s="5" t="s">
        <v>109</v>
      </c>
      <c r="C663" s="1" t="s">
        <v>37</v>
      </c>
      <c r="D663" s="1" t="s">
        <v>63</v>
      </c>
      <c r="E663" s="1" t="s">
        <v>35</v>
      </c>
      <c r="G663" s="1" t="s">
        <v>288</v>
      </c>
      <c r="H663" s="1" t="s">
        <v>32</v>
      </c>
      <c r="I663" s="1" t="s">
        <v>2365</v>
      </c>
      <c r="J663" s="1">
        <v>2022</v>
      </c>
      <c r="K663" s="38" t="s">
        <v>2364</v>
      </c>
      <c r="P663" s="1" t="s">
        <v>2363</v>
      </c>
      <c r="Q663" s="1" t="s">
        <v>1749</v>
      </c>
      <c r="R663" s="1" t="s">
        <v>2244</v>
      </c>
      <c r="S663" s="1" t="s">
        <v>2362</v>
      </c>
      <c r="T663" s="1" t="s">
        <v>2361</v>
      </c>
      <c r="V663" s="1" t="s">
        <v>2241</v>
      </c>
      <c r="W663" s="1" t="s">
        <v>2360</v>
      </c>
      <c r="Y663" s="3">
        <v>45112</v>
      </c>
      <c r="Z663" s="1">
        <v>2023</v>
      </c>
      <c r="AA663" s="2">
        <v>460473.68</v>
      </c>
      <c r="AB663" s="2"/>
      <c r="AC663" s="2">
        <v>460473.68</v>
      </c>
      <c r="AG663" s="1" t="s">
        <v>106</v>
      </c>
      <c r="AH663" s="1" t="s">
        <v>105</v>
      </c>
      <c r="AI663" s="2">
        <v>0</v>
      </c>
    </row>
    <row r="664" spans="1:35" s="1" customFormat="1" ht="15" customHeight="1" x14ac:dyDescent="0.2">
      <c r="A664" s="1" t="s">
        <v>19</v>
      </c>
      <c r="B664" s="5" t="s">
        <v>18</v>
      </c>
      <c r="C664" s="1" t="s">
        <v>37</v>
      </c>
      <c r="D664" s="1" t="s">
        <v>63</v>
      </c>
      <c r="E664" s="1" t="s">
        <v>35</v>
      </c>
      <c r="G664" s="1" t="s">
        <v>288</v>
      </c>
      <c r="H664" s="1" t="s">
        <v>32</v>
      </c>
      <c r="I664" s="1" t="s">
        <v>2359</v>
      </c>
      <c r="J664" s="1">
        <v>2022</v>
      </c>
      <c r="K664" s="1" t="s">
        <v>2358</v>
      </c>
      <c r="L664" s="1" t="s">
        <v>2357</v>
      </c>
      <c r="M664" s="1" t="s">
        <v>2356</v>
      </c>
      <c r="P664" s="1" t="s">
        <v>2355</v>
      </c>
      <c r="Q664" s="1" t="s">
        <v>1749</v>
      </c>
      <c r="R664" s="1" t="s">
        <v>2244</v>
      </c>
      <c r="S664" s="1" t="s">
        <v>2309</v>
      </c>
      <c r="T664" s="1" t="s">
        <v>2308</v>
      </c>
      <c r="V664" s="1" t="s">
        <v>2241</v>
      </c>
      <c r="W664" s="1" t="s">
        <v>2354</v>
      </c>
      <c r="Y664" s="3">
        <v>45112</v>
      </c>
      <c r="Z664" s="1">
        <v>2023</v>
      </c>
      <c r="AA664" s="2">
        <v>1743301.93</v>
      </c>
      <c r="AB664" s="2"/>
      <c r="AC664" s="2">
        <v>1743301.93</v>
      </c>
      <c r="AG664" s="1" t="s">
        <v>21</v>
      </c>
      <c r="AI664" s="2">
        <v>1743301.93</v>
      </c>
    </row>
    <row r="665" spans="1:35" s="1" customFormat="1" ht="15" customHeight="1" x14ac:dyDescent="0.2">
      <c r="A665" s="1" t="s">
        <v>19</v>
      </c>
      <c r="B665" s="5" t="s">
        <v>18</v>
      </c>
      <c r="C665" s="1" t="s">
        <v>37</v>
      </c>
      <c r="D665" s="1" t="s">
        <v>211</v>
      </c>
      <c r="E665" s="1" t="s">
        <v>35</v>
      </c>
      <c r="F665" s="1" t="s">
        <v>267</v>
      </c>
      <c r="G665" s="1" t="s">
        <v>266</v>
      </c>
      <c r="H665" s="1" t="s">
        <v>208</v>
      </c>
      <c r="I665" s="1" t="s">
        <v>2353</v>
      </c>
      <c r="J665" s="1">
        <v>2023</v>
      </c>
      <c r="K665" s="1" t="s">
        <v>2349</v>
      </c>
      <c r="L665" s="1" t="s">
        <v>2352</v>
      </c>
      <c r="M665" s="1" t="s">
        <v>2351</v>
      </c>
      <c r="P665" s="1" t="s">
        <v>2350</v>
      </c>
      <c r="Q665" s="1" t="s">
        <v>1749</v>
      </c>
      <c r="R665" s="1" t="s">
        <v>2244</v>
      </c>
      <c r="S665" s="1" t="s">
        <v>2303</v>
      </c>
      <c r="T665" s="1" t="s">
        <v>2302</v>
      </c>
      <c r="V665" s="1" t="s">
        <v>2241</v>
      </c>
      <c r="W665" s="1" t="s">
        <v>2349</v>
      </c>
      <c r="Y665" s="3">
        <v>45462</v>
      </c>
      <c r="Z665" s="1">
        <v>2024</v>
      </c>
      <c r="AA665" s="2">
        <v>2081958.6</v>
      </c>
      <c r="AB665" s="2"/>
      <c r="AC665" s="2">
        <v>984587.58</v>
      </c>
      <c r="AD665" s="1">
        <v>26</v>
      </c>
      <c r="AE665" s="1">
        <v>8</v>
      </c>
      <c r="AG665" s="1" t="s">
        <v>21</v>
      </c>
      <c r="AI665" s="2">
        <v>984587.58</v>
      </c>
    </row>
    <row r="666" spans="1:35" s="1" customFormat="1" ht="15" customHeight="1" x14ac:dyDescent="0.2">
      <c r="A666" s="1" t="s">
        <v>19</v>
      </c>
      <c r="B666" s="5" t="s">
        <v>18</v>
      </c>
      <c r="C666" s="1" t="s">
        <v>37</v>
      </c>
      <c r="D666" s="1" t="s">
        <v>211</v>
      </c>
      <c r="E666" s="1" t="s">
        <v>35</v>
      </c>
      <c r="F666" s="1" t="s">
        <v>267</v>
      </c>
      <c r="G666" s="1" t="s">
        <v>266</v>
      </c>
      <c r="H666" s="1" t="s">
        <v>208</v>
      </c>
      <c r="I666" s="1" t="s">
        <v>2348</v>
      </c>
      <c r="J666" s="1">
        <v>2023</v>
      </c>
      <c r="K666" s="1" t="s">
        <v>2345</v>
      </c>
      <c r="L666" s="1" t="s">
        <v>2347</v>
      </c>
      <c r="M666" s="1" t="s">
        <v>2323</v>
      </c>
      <c r="P666" s="1" t="s">
        <v>2346</v>
      </c>
      <c r="Q666" s="1" t="s">
        <v>1749</v>
      </c>
      <c r="R666" s="1" t="s">
        <v>2244</v>
      </c>
      <c r="S666" s="1" t="s">
        <v>2271</v>
      </c>
      <c r="T666" s="1" t="s">
        <v>2270</v>
      </c>
      <c r="V666" s="1" t="s">
        <v>2241</v>
      </c>
      <c r="W666" s="1" t="s">
        <v>2345</v>
      </c>
      <c r="Y666" s="3">
        <v>45462</v>
      </c>
      <c r="Z666" s="1">
        <v>2024</v>
      </c>
      <c r="AA666" s="2">
        <v>1614743.9</v>
      </c>
      <c r="AB666" s="2"/>
      <c r="AC666" s="2">
        <v>529423.16</v>
      </c>
      <c r="AD666" s="1">
        <v>3</v>
      </c>
      <c r="AE666" s="1">
        <v>1</v>
      </c>
      <c r="AG666" s="1" t="s">
        <v>21</v>
      </c>
      <c r="AI666" s="2">
        <v>529423.16</v>
      </c>
    </row>
    <row r="667" spans="1:35" s="1" customFormat="1" ht="15" customHeight="1" x14ac:dyDescent="0.2">
      <c r="A667" s="1" t="s">
        <v>19</v>
      </c>
      <c r="B667" s="5" t="s">
        <v>18</v>
      </c>
      <c r="C667" s="1" t="s">
        <v>37</v>
      </c>
      <c r="D667" s="1" t="s">
        <v>211</v>
      </c>
      <c r="E667" s="1" t="s">
        <v>35</v>
      </c>
      <c r="F667" s="1" t="s">
        <v>267</v>
      </c>
      <c r="G667" s="1" t="s">
        <v>266</v>
      </c>
      <c r="H667" s="1" t="s">
        <v>208</v>
      </c>
      <c r="I667" s="1" t="s">
        <v>2344</v>
      </c>
      <c r="J667" s="1">
        <v>2023</v>
      </c>
      <c r="K667" s="1" t="s">
        <v>2343</v>
      </c>
      <c r="L667" s="1" t="s">
        <v>2342</v>
      </c>
      <c r="M667" s="1" t="s">
        <v>2341</v>
      </c>
      <c r="N667" s="1" t="s">
        <v>2340</v>
      </c>
      <c r="O667" s="1" t="s">
        <v>1792</v>
      </c>
      <c r="P667" s="1" t="s">
        <v>2339</v>
      </c>
      <c r="Q667" s="1" t="s">
        <v>1749</v>
      </c>
      <c r="R667" s="1" t="s">
        <v>2244</v>
      </c>
      <c r="S667" s="20" t="s">
        <v>2259</v>
      </c>
      <c r="T667" s="1" t="s">
        <v>2258</v>
      </c>
      <c r="V667" s="1" t="s">
        <v>2241</v>
      </c>
      <c r="W667" s="1" t="s">
        <v>2338</v>
      </c>
      <c r="Y667" s="3">
        <v>45594</v>
      </c>
      <c r="Z667" s="1">
        <v>2024</v>
      </c>
      <c r="AA667" s="2">
        <v>1234202.3999999999</v>
      </c>
      <c r="AB667" s="2"/>
      <c r="AC667" s="2">
        <v>307573.68</v>
      </c>
      <c r="AD667" s="1">
        <v>4</v>
      </c>
      <c r="AE667" s="1">
        <v>4</v>
      </c>
      <c r="AG667" s="1" t="s">
        <v>21</v>
      </c>
      <c r="AI667" s="2"/>
    </row>
    <row r="668" spans="1:35" s="1" customFormat="1" ht="15" customHeight="1" x14ac:dyDescent="0.2">
      <c r="A668" s="1" t="s">
        <v>19</v>
      </c>
      <c r="B668" s="5" t="s">
        <v>18</v>
      </c>
      <c r="C668" s="1" t="s">
        <v>37</v>
      </c>
      <c r="D668" s="1" t="s">
        <v>211</v>
      </c>
      <c r="E668" s="1" t="s">
        <v>35</v>
      </c>
      <c r="F668" s="1" t="s">
        <v>267</v>
      </c>
      <c r="G668" s="1" t="s">
        <v>266</v>
      </c>
      <c r="H668" s="1" t="s">
        <v>130</v>
      </c>
      <c r="I668" s="1" t="s">
        <v>2337</v>
      </c>
      <c r="J668" s="1">
        <v>2023</v>
      </c>
      <c r="K668" s="1" t="s">
        <v>2334</v>
      </c>
      <c r="L668" s="1" t="s">
        <v>2336</v>
      </c>
      <c r="M668" s="1" t="s">
        <v>2323</v>
      </c>
      <c r="P668" s="1" t="s">
        <v>2335</v>
      </c>
      <c r="Q668" s="1" t="s">
        <v>1749</v>
      </c>
      <c r="R668" s="1" t="s">
        <v>2244</v>
      </c>
      <c r="S668" s="1" t="s">
        <v>2303</v>
      </c>
      <c r="T668" s="1" t="s">
        <v>2302</v>
      </c>
      <c r="V668" s="1" t="s">
        <v>2241</v>
      </c>
      <c r="W668" s="1" t="s">
        <v>2334</v>
      </c>
      <c r="Y668" s="3">
        <v>45462</v>
      </c>
      <c r="Z668" s="1">
        <v>2024</v>
      </c>
      <c r="AA668" s="2">
        <v>3611000</v>
      </c>
      <c r="AB668" s="2"/>
      <c r="AC668" s="2">
        <v>1022200</v>
      </c>
      <c r="AD668" s="1">
        <v>20</v>
      </c>
      <c r="AG668" s="1" t="s">
        <v>21</v>
      </c>
      <c r="AI668" s="2">
        <v>1022200</v>
      </c>
    </row>
    <row r="669" spans="1:35" s="1" customFormat="1" ht="15" customHeight="1" x14ac:dyDescent="0.2">
      <c r="A669" s="1" t="s">
        <v>19</v>
      </c>
      <c r="B669" s="5" t="s">
        <v>18</v>
      </c>
      <c r="C669" s="1" t="s">
        <v>37</v>
      </c>
      <c r="D669" s="1" t="s">
        <v>211</v>
      </c>
      <c r="E669" s="1" t="s">
        <v>35</v>
      </c>
      <c r="F669" s="1" t="s">
        <v>267</v>
      </c>
      <c r="G669" s="1" t="s">
        <v>266</v>
      </c>
      <c r="H669" s="1" t="s">
        <v>208</v>
      </c>
      <c r="I669" s="1" t="s">
        <v>2333</v>
      </c>
      <c r="J669" s="1">
        <v>2023</v>
      </c>
      <c r="K669" s="1" t="s">
        <v>2330</v>
      </c>
      <c r="L669" s="1" t="s">
        <v>2332</v>
      </c>
      <c r="M669" s="1" t="s">
        <v>2323</v>
      </c>
      <c r="P669" s="1" t="s">
        <v>2331</v>
      </c>
      <c r="Q669" s="1" t="s">
        <v>1749</v>
      </c>
      <c r="R669" s="1" t="s">
        <v>2244</v>
      </c>
      <c r="S669" s="1" t="s">
        <v>2303</v>
      </c>
      <c r="T669" s="1" t="s">
        <v>2302</v>
      </c>
      <c r="V669" s="1" t="s">
        <v>2241</v>
      </c>
      <c r="W669" s="1" t="s">
        <v>2330</v>
      </c>
      <c r="Y669" s="3">
        <v>45462</v>
      </c>
      <c r="Z669" s="1">
        <v>2024</v>
      </c>
      <c r="AA669" s="2">
        <v>10272618.32</v>
      </c>
      <c r="AB669" s="2"/>
      <c r="AC669" s="2">
        <v>3000000</v>
      </c>
      <c r="AD669" s="1">
        <v>11</v>
      </c>
      <c r="AE669" s="1">
        <v>7</v>
      </c>
      <c r="AG669" s="1" t="s">
        <v>21</v>
      </c>
      <c r="AI669" s="2">
        <v>3000000</v>
      </c>
    </row>
    <row r="670" spans="1:35" s="1" customFormat="1" ht="15" customHeight="1" x14ac:dyDescent="0.2">
      <c r="A670" s="1" t="s">
        <v>19</v>
      </c>
      <c r="B670" s="5" t="s">
        <v>18</v>
      </c>
      <c r="C670" s="1" t="s">
        <v>37</v>
      </c>
      <c r="D670" s="1" t="s">
        <v>211</v>
      </c>
      <c r="E670" s="1" t="s">
        <v>35</v>
      </c>
      <c r="F670" s="1" t="s">
        <v>267</v>
      </c>
      <c r="G670" s="1" t="s">
        <v>266</v>
      </c>
      <c r="H670" s="1" t="s">
        <v>208</v>
      </c>
      <c r="I670" s="1" t="s">
        <v>2329</v>
      </c>
      <c r="J670" s="1">
        <v>2023</v>
      </c>
      <c r="K670" s="1" t="s">
        <v>2326</v>
      </c>
      <c r="L670" s="1" t="s">
        <v>2328</v>
      </c>
      <c r="M670" s="1" t="s">
        <v>2323</v>
      </c>
      <c r="P670" s="1" t="s">
        <v>2327</v>
      </c>
      <c r="Q670" s="1" t="s">
        <v>1749</v>
      </c>
      <c r="R670" s="1" t="s">
        <v>2244</v>
      </c>
      <c r="S670" s="1" t="s">
        <v>2303</v>
      </c>
      <c r="T670" s="1" t="s">
        <v>2302</v>
      </c>
      <c r="V670" s="1" t="s">
        <v>2241</v>
      </c>
      <c r="W670" s="1" t="s">
        <v>2326</v>
      </c>
      <c r="Y670" s="3">
        <v>45462</v>
      </c>
      <c r="Z670" s="1">
        <v>2024</v>
      </c>
      <c r="AA670" s="2">
        <v>1703832.6</v>
      </c>
      <c r="AB670" s="2"/>
      <c r="AC670" s="2">
        <v>571149.78</v>
      </c>
      <c r="AD670" s="1">
        <v>4</v>
      </c>
      <c r="AE670" s="1">
        <v>2</v>
      </c>
      <c r="AG670" s="1" t="s">
        <v>21</v>
      </c>
      <c r="AI670" s="2">
        <v>571149.78</v>
      </c>
    </row>
    <row r="671" spans="1:35" s="1" customFormat="1" ht="15" customHeight="1" x14ac:dyDescent="0.2">
      <c r="A671" s="1" t="s">
        <v>19</v>
      </c>
      <c r="B671" s="5" t="s">
        <v>18</v>
      </c>
      <c r="C671" s="1" t="s">
        <v>37</v>
      </c>
      <c r="D671" s="1" t="s">
        <v>211</v>
      </c>
      <c r="E671" s="1" t="s">
        <v>35</v>
      </c>
      <c r="F671" s="1" t="s">
        <v>267</v>
      </c>
      <c r="G671" s="1" t="s">
        <v>266</v>
      </c>
      <c r="H671" s="1" t="s">
        <v>208</v>
      </c>
      <c r="I671" s="1" t="s">
        <v>2325</v>
      </c>
      <c r="J671" s="1">
        <v>2023</v>
      </c>
      <c r="K671" s="1" t="s">
        <v>2321</v>
      </c>
      <c r="L671" s="1" t="s">
        <v>2324</v>
      </c>
      <c r="M671" s="1" t="s">
        <v>2323</v>
      </c>
      <c r="N671" s="1" t="s">
        <v>2322</v>
      </c>
      <c r="P671" s="1" t="s">
        <v>2272</v>
      </c>
      <c r="Q671" s="1" t="s">
        <v>1749</v>
      </c>
      <c r="R671" s="1" t="s">
        <v>2244</v>
      </c>
      <c r="S671" s="1" t="s">
        <v>2271</v>
      </c>
      <c r="T671" s="1" t="s">
        <v>2270</v>
      </c>
      <c r="V671" s="1" t="s">
        <v>2241</v>
      </c>
      <c r="W671" s="1" t="s">
        <v>2321</v>
      </c>
      <c r="Y671" s="3">
        <v>45462</v>
      </c>
      <c r="Z671" s="1">
        <v>2024</v>
      </c>
      <c r="AA671" s="2">
        <v>1407209.76</v>
      </c>
      <c r="AB671" s="2"/>
      <c r="AC671" s="2">
        <v>722162.93</v>
      </c>
      <c r="AD671" s="1">
        <v>20</v>
      </c>
      <c r="AE671" s="1">
        <v>6</v>
      </c>
      <c r="AG671" s="1" t="s">
        <v>21</v>
      </c>
      <c r="AI671" s="2">
        <v>722162.93</v>
      </c>
    </row>
    <row r="672" spans="1:35" s="1" customFormat="1" ht="15" customHeight="1" x14ac:dyDescent="0.2">
      <c r="A672" s="1" t="s">
        <v>19</v>
      </c>
      <c r="B672" s="5" t="s">
        <v>18</v>
      </c>
      <c r="C672" s="1" t="s">
        <v>37</v>
      </c>
      <c r="D672" s="1" t="s">
        <v>211</v>
      </c>
      <c r="E672" s="1" t="s">
        <v>35</v>
      </c>
      <c r="F672" s="1" t="s">
        <v>210</v>
      </c>
      <c r="G672" s="1" t="s">
        <v>209</v>
      </c>
      <c r="H672" s="1" t="s">
        <v>208</v>
      </c>
      <c r="I672" s="1" t="s">
        <v>2320</v>
      </c>
      <c r="J672" s="1">
        <v>2023</v>
      </c>
      <c r="K672" s="1" t="s">
        <v>2317</v>
      </c>
      <c r="L672" s="1" t="s">
        <v>2319</v>
      </c>
      <c r="P672" s="1" t="s">
        <v>2318</v>
      </c>
      <c r="Q672" s="1" t="s">
        <v>1749</v>
      </c>
      <c r="R672" s="1" t="s">
        <v>2244</v>
      </c>
      <c r="S672" s="1" t="s">
        <v>2303</v>
      </c>
      <c r="T672" s="1" t="s">
        <v>2302</v>
      </c>
      <c r="V672" s="1" t="s">
        <v>2241</v>
      </c>
      <c r="W672" s="1" t="s">
        <v>2317</v>
      </c>
      <c r="Y672" s="3">
        <v>45478</v>
      </c>
      <c r="Z672" s="1">
        <v>2024</v>
      </c>
      <c r="AA672" s="2">
        <v>50010.73</v>
      </c>
      <c r="AB672" s="2"/>
      <c r="AC672" s="2">
        <v>12502.68</v>
      </c>
      <c r="AD672" s="1">
        <v>0</v>
      </c>
      <c r="AG672" s="1" t="s">
        <v>21</v>
      </c>
      <c r="AI672" s="2">
        <v>12502.68</v>
      </c>
    </row>
    <row r="673" spans="1:38" ht="15" customHeight="1" x14ac:dyDescent="0.2">
      <c r="A673" s="1" t="s">
        <v>19</v>
      </c>
      <c r="B673" s="5" t="s">
        <v>18</v>
      </c>
      <c r="C673" s="1" t="s">
        <v>37</v>
      </c>
      <c r="D673" s="1" t="s">
        <v>211</v>
      </c>
      <c r="E673" s="1" t="s">
        <v>35</v>
      </c>
      <c r="F673" s="1" t="s">
        <v>210</v>
      </c>
      <c r="G673" s="1" t="s">
        <v>209</v>
      </c>
      <c r="H673" s="1" t="s">
        <v>130</v>
      </c>
      <c r="I673" s="1" t="s">
        <v>2316</v>
      </c>
      <c r="J673" s="1">
        <v>2023</v>
      </c>
      <c r="K673" s="1" t="s">
        <v>2313</v>
      </c>
      <c r="L673" s="1" t="s">
        <v>2315</v>
      </c>
      <c r="P673" s="1" t="s">
        <v>2314</v>
      </c>
      <c r="Q673" s="1" t="s">
        <v>1749</v>
      </c>
      <c r="R673" s="1" t="s">
        <v>2244</v>
      </c>
      <c r="S673" s="1" t="s">
        <v>2271</v>
      </c>
      <c r="T673" s="1" t="s">
        <v>2270</v>
      </c>
      <c r="V673" s="1" t="s">
        <v>2241</v>
      </c>
      <c r="W673" s="1" t="s">
        <v>2313</v>
      </c>
      <c r="Y673" s="3">
        <v>45478</v>
      </c>
      <c r="Z673" s="1">
        <v>2024</v>
      </c>
      <c r="AA673" s="2">
        <v>103899.35</v>
      </c>
      <c r="AB673" s="2"/>
      <c r="AC673" s="2">
        <v>51949.67</v>
      </c>
      <c r="AD673" s="1">
        <v>1</v>
      </c>
      <c r="AG673" s="1" t="s">
        <v>21</v>
      </c>
      <c r="AI673" s="2">
        <v>51949.67</v>
      </c>
      <c r="AK673" s="1"/>
    </row>
    <row r="674" spans="1:38" ht="15" customHeight="1" x14ac:dyDescent="0.2">
      <c r="A674" s="1" t="s">
        <v>19</v>
      </c>
      <c r="B674" s="5" t="s">
        <v>18</v>
      </c>
      <c r="C674" s="1" t="s">
        <v>37</v>
      </c>
      <c r="D674" s="1" t="s">
        <v>211</v>
      </c>
      <c r="E674" s="1" t="s">
        <v>35</v>
      </c>
      <c r="F674" s="1" t="s">
        <v>210</v>
      </c>
      <c r="G674" s="1" t="s">
        <v>209</v>
      </c>
      <c r="H674" s="1" t="s">
        <v>130</v>
      </c>
      <c r="I674" s="1" t="s">
        <v>2312</v>
      </c>
      <c r="J674" s="1">
        <v>2023</v>
      </c>
      <c r="K674" s="1" t="s">
        <v>2307</v>
      </c>
      <c r="L674" s="1" t="s">
        <v>2311</v>
      </c>
      <c r="P674" s="1" t="s">
        <v>2310</v>
      </c>
      <c r="Q674" s="1" t="s">
        <v>1749</v>
      </c>
      <c r="R674" s="1" t="s">
        <v>2244</v>
      </c>
      <c r="S674" s="1" t="s">
        <v>2309</v>
      </c>
      <c r="T674" s="1" t="s">
        <v>2308</v>
      </c>
      <c r="V674" s="1" t="s">
        <v>2241</v>
      </c>
      <c r="W674" s="1" t="s">
        <v>2307</v>
      </c>
      <c r="Y674" s="3">
        <v>45478</v>
      </c>
      <c r="Z674" s="1">
        <v>2024</v>
      </c>
      <c r="AA674" s="2">
        <v>113241.28</v>
      </c>
      <c r="AB674" s="2"/>
      <c r="AC674" s="2">
        <v>19447.27</v>
      </c>
      <c r="AD674" s="1">
        <v>0</v>
      </c>
      <c r="AG674" s="1" t="s">
        <v>21</v>
      </c>
      <c r="AI674" s="2">
        <v>19447.27</v>
      </c>
      <c r="AK674" s="1"/>
    </row>
    <row r="675" spans="1:38" ht="15" customHeight="1" x14ac:dyDescent="0.2">
      <c r="A675" s="1" t="s">
        <v>19</v>
      </c>
      <c r="B675" s="5" t="s">
        <v>18</v>
      </c>
      <c r="C675" s="1" t="s">
        <v>37</v>
      </c>
      <c r="D675" s="1" t="s">
        <v>211</v>
      </c>
      <c r="E675" s="1" t="s">
        <v>35</v>
      </c>
      <c r="F675" s="1" t="s">
        <v>210</v>
      </c>
      <c r="G675" s="1" t="s">
        <v>209</v>
      </c>
      <c r="H675" s="1" t="s">
        <v>130</v>
      </c>
      <c r="I675" s="1" t="s">
        <v>2306</v>
      </c>
      <c r="J675" s="1">
        <v>2023</v>
      </c>
      <c r="K675" s="1" t="s">
        <v>2301</v>
      </c>
      <c r="L675" s="1" t="s">
        <v>2305</v>
      </c>
      <c r="P675" s="1" t="s">
        <v>2304</v>
      </c>
      <c r="Q675" s="1" t="s">
        <v>1749</v>
      </c>
      <c r="R675" s="1" t="s">
        <v>2244</v>
      </c>
      <c r="S675" s="1" t="s">
        <v>2303</v>
      </c>
      <c r="T675" s="1" t="s">
        <v>2302</v>
      </c>
      <c r="V675" s="1" t="s">
        <v>2241</v>
      </c>
      <c r="W675" s="1" t="s">
        <v>2301</v>
      </c>
      <c r="Y675" s="3">
        <v>45478</v>
      </c>
      <c r="Z675" s="1">
        <v>2024</v>
      </c>
      <c r="AA675" s="2">
        <v>40800</v>
      </c>
      <c r="AB675" s="2"/>
      <c r="AC675" s="2">
        <v>20400</v>
      </c>
      <c r="AD675" s="1">
        <v>2</v>
      </c>
      <c r="AE675" s="1">
        <v>1</v>
      </c>
      <c r="AG675" s="1" t="s">
        <v>21</v>
      </c>
      <c r="AI675" s="2">
        <v>20400</v>
      </c>
      <c r="AK675" s="1"/>
    </row>
    <row r="676" spans="1:38" ht="15" customHeight="1" x14ac:dyDescent="0.2">
      <c r="A676" s="1" t="s">
        <v>19</v>
      </c>
      <c r="B676" s="5" t="s">
        <v>18</v>
      </c>
      <c r="C676" s="1" t="s">
        <v>37</v>
      </c>
      <c r="D676" s="1" t="s">
        <v>211</v>
      </c>
      <c r="E676" s="1" t="s">
        <v>35</v>
      </c>
      <c r="F676" s="1" t="s">
        <v>210</v>
      </c>
      <c r="G676" s="1" t="s">
        <v>209</v>
      </c>
      <c r="H676" s="1" t="s">
        <v>208</v>
      </c>
      <c r="I676" s="1" t="s">
        <v>2300</v>
      </c>
      <c r="J676" s="1">
        <v>2023</v>
      </c>
      <c r="K676" s="1" t="s">
        <v>2297</v>
      </c>
      <c r="L676" s="1" t="s">
        <v>2299</v>
      </c>
      <c r="P676" s="1" t="s">
        <v>2298</v>
      </c>
      <c r="Q676" s="1" t="s">
        <v>1749</v>
      </c>
      <c r="R676" s="1" t="s">
        <v>2244</v>
      </c>
      <c r="S676" s="1" t="s">
        <v>2271</v>
      </c>
      <c r="T676" s="1" t="s">
        <v>2270</v>
      </c>
      <c r="V676" s="1" t="s">
        <v>2241</v>
      </c>
      <c r="W676" s="1" t="s">
        <v>2297</v>
      </c>
      <c r="Y676" s="3">
        <v>45478</v>
      </c>
      <c r="Z676" s="1">
        <v>2024</v>
      </c>
      <c r="AA676" s="2">
        <v>63032.31</v>
      </c>
      <c r="AB676" s="2"/>
      <c r="AC676" s="2">
        <v>31516.16</v>
      </c>
      <c r="AD676" s="1">
        <v>2</v>
      </c>
      <c r="AE676" s="1">
        <v>1</v>
      </c>
      <c r="AG676" s="1" t="s">
        <v>21</v>
      </c>
      <c r="AI676" s="2">
        <v>31516.16</v>
      </c>
      <c r="AK676" s="1"/>
    </row>
    <row r="677" spans="1:38" ht="15" customHeight="1" x14ac:dyDescent="0.2">
      <c r="A677" s="1" t="s">
        <v>19</v>
      </c>
      <c r="B677" s="5" t="s">
        <v>18</v>
      </c>
      <c r="C677" s="1" t="s">
        <v>37</v>
      </c>
      <c r="D677" s="1" t="s">
        <v>211</v>
      </c>
      <c r="E677" s="1" t="s">
        <v>35</v>
      </c>
      <c r="F677" s="1" t="s">
        <v>210</v>
      </c>
      <c r="G677" s="1" t="s">
        <v>209</v>
      </c>
      <c r="H677" s="1" t="s">
        <v>208</v>
      </c>
      <c r="I677" s="1" t="s">
        <v>2296</v>
      </c>
      <c r="J677" s="1">
        <v>2023</v>
      </c>
      <c r="K677" s="1" t="s">
        <v>2293</v>
      </c>
      <c r="L677" s="1" t="s">
        <v>2295</v>
      </c>
      <c r="P677" s="1" t="s">
        <v>2294</v>
      </c>
      <c r="Q677" s="1" t="s">
        <v>1749</v>
      </c>
      <c r="R677" s="1" t="s">
        <v>2244</v>
      </c>
      <c r="S677" s="1" t="s">
        <v>2243</v>
      </c>
      <c r="T677" s="1" t="s">
        <v>2242</v>
      </c>
      <c r="V677" s="1" t="s">
        <v>2241</v>
      </c>
      <c r="W677" s="1" t="s">
        <v>2293</v>
      </c>
      <c r="Y677" s="3">
        <v>45478</v>
      </c>
      <c r="Z677" s="1">
        <v>2024</v>
      </c>
      <c r="AA677" s="2">
        <v>33226.39</v>
      </c>
      <c r="AB677" s="2"/>
      <c r="AC677" s="2">
        <v>8306.6</v>
      </c>
      <c r="AD677" s="1">
        <v>0</v>
      </c>
      <c r="AG677" s="1" t="s">
        <v>21</v>
      </c>
      <c r="AI677" s="2">
        <v>8306.6</v>
      </c>
      <c r="AK677" s="1"/>
    </row>
    <row r="678" spans="1:38" ht="15" customHeight="1" x14ac:dyDescent="0.2">
      <c r="A678" s="1" t="s">
        <v>19</v>
      </c>
      <c r="B678" s="5" t="s">
        <v>18</v>
      </c>
      <c r="C678" s="1" t="s">
        <v>37</v>
      </c>
      <c r="D678" s="1" t="s">
        <v>211</v>
      </c>
      <c r="E678" s="1" t="s">
        <v>35</v>
      </c>
      <c r="F678" s="1" t="s">
        <v>210</v>
      </c>
      <c r="G678" s="1" t="s">
        <v>209</v>
      </c>
      <c r="H678" s="1" t="s">
        <v>208</v>
      </c>
      <c r="I678" s="1" t="s">
        <v>2292</v>
      </c>
      <c r="J678" s="1">
        <v>2023</v>
      </c>
      <c r="K678" s="1" t="s">
        <v>2291</v>
      </c>
      <c r="L678" s="1" t="s">
        <v>2290</v>
      </c>
      <c r="P678" s="1" t="s">
        <v>2289</v>
      </c>
      <c r="Q678" s="1" t="s">
        <v>1749</v>
      </c>
      <c r="R678" s="1" t="s">
        <v>2244</v>
      </c>
      <c r="S678" s="1" t="s">
        <v>2271</v>
      </c>
      <c r="T678" s="1" t="s">
        <v>2270</v>
      </c>
      <c r="V678" s="1" t="s">
        <v>2241</v>
      </c>
      <c r="W678" s="1" t="s">
        <v>2288</v>
      </c>
      <c r="Y678" s="3">
        <v>45478</v>
      </c>
      <c r="Z678" s="1">
        <v>2024</v>
      </c>
      <c r="AA678" s="2">
        <v>153626.17000000001</v>
      </c>
      <c r="AB678" s="2"/>
      <c r="AC678" s="2">
        <v>68406.539999999994</v>
      </c>
      <c r="AD678" s="1">
        <v>1</v>
      </c>
      <c r="AE678" s="1">
        <v>1</v>
      </c>
      <c r="AG678" s="1" t="s">
        <v>21</v>
      </c>
      <c r="AI678" s="2">
        <v>68406.539999999994</v>
      </c>
      <c r="AK678" s="1"/>
    </row>
    <row r="679" spans="1:38" ht="15" customHeight="1" x14ac:dyDescent="0.2">
      <c r="A679" s="1" t="s">
        <v>19</v>
      </c>
      <c r="B679" s="5" t="s">
        <v>18</v>
      </c>
      <c r="C679" s="1" t="s">
        <v>37</v>
      </c>
      <c r="D679" s="1" t="s">
        <v>211</v>
      </c>
      <c r="E679" s="1" t="s">
        <v>35</v>
      </c>
      <c r="F679" s="1" t="s">
        <v>210</v>
      </c>
      <c r="G679" s="1" t="s">
        <v>209</v>
      </c>
      <c r="H679" s="1" t="s">
        <v>208</v>
      </c>
      <c r="I679" s="1" t="s">
        <v>2287</v>
      </c>
      <c r="J679" s="1">
        <v>2023</v>
      </c>
      <c r="K679" s="1" t="s">
        <v>2284</v>
      </c>
      <c r="L679" s="1" t="s">
        <v>2286</v>
      </c>
      <c r="P679" s="1" t="s">
        <v>2285</v>
      </c>
      <c r="Q679" s="1" t="s">
        <v>1749</v>
      </c>
      <c r="R679" s="1" t="s">
        <v>2244</v>
      </c>
      <c r="S679" s="1" t="s">
        <v>2271</v>
      </c>
      <c r="T679" s="1" t="s">
        <v>2270</v>
      </c>
      <c r="V679" s="1" t="s">
        <v>2241</v>
      </c>
      <c r="W679" s="1" t="s">
        <v>2284</v>
      </c>
      <c r="Y679" s="3">
        <v>45478</v>
      </c>
      <c r="Z679" s="1">
        <v>2024</v>
      </c>
      <c r="AA679" s="2">
        <v>64198.559999999998</v>
      </c>
      <c r="AB679" s="2"/>
      <c r="AC679" s="2">
        <v>31049.64</v>
      </c>
      <c r="AD679" s="1">
        <v>1</v>
      </c>
      <c r="AG679" s="1" t="s">
        <v>21</v>
      </c>
      <c r="AI679" s="2">
        <v>31049.64</v>
      </c>
      <c r="AK679" s="1"/>
    </row>
    <row r="680" spans="1:38" ht="15" customHeight="1" x14ac:dyDescent="0.2">
      <c r="A680" s="1" t="s">
        <v>19</v>
      </c>
      <c r="B680" s="5" t="s">
        <v>18</v>
      </c>
      <c r="C680" s="1" t="s">
        <v>37</v>
      </c>
      <c r="D680" s="1" t="s">
        <v>211</v>
      </c>
      <c r="E680" s="1" t="s">
        <v>35</v>
      </c>
      <c r="F680" s="1" t="s">
        <v>210</v>
      </c>
      <c r="G680" s="1" t="s">
        <v>209</v>
      </c>
      <c r="H680" s="1" t="s">
        <v>130</v>
      </c>
      <c r="I680" s="1" t="s">
        <v>2283</v>
      </c>
      <c r="J680" s="1">
        <v>2023</v>
      </c>
      <c r="K680" s="1" t="s">
        <v>2280</v>
      </c>
      <c r="L680" s="1" t="s">
        <v>2282</v>
      </c>
      <c r="P680" s="1" t="s">
        <v>2281</v>
      </c>
      <c r="Q680" s="1" t="s">
        <v>1749</v>
      </c>
      <c r="R680" s="1" t="s">
        <v>2244</v>
      </c>
      <c r="S680" s="1" t="s">
        <v>2271</v>
      </c>
      <c r="T680" s="1" t="s">
        <v>2270</v>
      </c>
      <c r="V680" s="1" t="s">
        <v>2241</v>
      </c>
      <c r="W680" s="1" t="s">
        <v>2280</v>
      </c>
      <c r="Y680" s="3">
        <v>45478</v>
      </c>
      <c r="Z680" s="1">
        <v>2024</v>
      </c>
      <c r="AA680" s="2">
        <v>92620.800000000003</v>
      </c>
      <c r="AB680" s="2"/>
      <c r="AC680" s="2">
        <v>38155.199999999997</v>
      </c>
      <c r="AD680" s="1">
        <v>0.5</v>
      </c>
      <c r="AE680" s="1">
        <v>0.5</v>
      </c>
      <c r="AG680" s="1" t="s">
        <v>21</v>
      </c>
      <c r="AI680" s="2">
        <v>38155.199999999997</v>
      </c>
      <c r="AK680" s="1"/>
    </row>
    <row r="681" spans="1:38" ht="15" customHeight="1" x14ac:dyDescent="0.2">
      <c r="A681" s="1" t="s">
        <v>19</v>
      </c>
      <c r="B681" s="5" t="s">
        <v>18</v>
      </c>
      <c r="C681" s="1" t="s">
        <v>37</v>
      </c>
      <c r="D681" s="1" t="s">
        <v>211</v>
      </c>
      <c r="E681" s="1" t="s">
        <v>35</v>
      </c>
      <c r="F681" s="1" t="s">
        <v>210</v>
      </c>
      <c r="G681" s="1" t="s">
        <v>209</v>
      </c>
      <c r="H681" s="1" t="s">
        <v>208</v>
      </c>
      <c r="I681" s="1" t="s">
        <v>2279</v>
      </c>
      <c r="J681" s="1">
        <v>2023</v>
      </c>
      <c r="K681" s="1" t="s">
        <v>2276</v>
      </c>
      <c r="L681" s="1" t="s">
        <v>2278</v>
      </c>
      <c r="P681" s="1" t="s">
        <v>2277</v>
      </c>
      <c r="Q681" s="1" t="s">
        <v>1749</v>
      </c>
      <c r="R681" s="1" t="s">
        <v>2244</v>
      </c>
      <c r="S681" s="1" t="s">
        <v>2243</v>
      </c>
      <c r="T681" s="1" t="s">
        <v>2242</v>
      </c>
      <c r="V681" s="1" t="s">
        <v>2241</v>
      </c>
      <c r="W681" s="1" t="s">
        <v>2276</v>
      </c>
      <c r="Y681" s="3">
        <v>45478</v>
      </c>
      <c r="Z681" s="1">
        <v>2024</v>
      </c>
      <c r="AA681" s="2">
        <v>287206.99</v>
      </c>
      <c r="AB681" s="2"/>
      <c r="AC681" s="2">
        <v>131801.75</v>
      </c>
      <c r="AD681" s="1">
        <v>2</v>
      </c>
      <c r="AE681" s="1">
        <v>2</v>
      </c>
      <c r="AG681" s="1" t="s">
        <v>21</v>
      </c>
      <c r="AI681" s="2">
        <v>131801.75</v>
      </c>
      <c r="AK681" s="1"/>
    </row>
    <row r="682" spans="1:38" ht="15" customHeight="1" x14ac:dyDescent="0.2">
      <c r="A682" s="1" t="s">
        <v>19</v>
      </c>
      <c r="B682" s="5" t="s">
        <v>18</v>
      </c>
      <c r="C682" s="1" t="s">
        <v>37</v>
      </c>
      <c r="D682" s="1" t="s">
        <v>211</v>
      </c>
      <c r="E682" s="1" t="s">
        <v>35</v>
      </c>
      <c r="F682" s="1" t="s">
        <v>210</v>
      </c>
      <c r="G682" s="1" t="s">
        <v>209</v>
      </c>
      <c r="H682" s="1" t="s">
        <v>208</v>
      </c>
      <c r="I682" s="1" t="s">
        <v>2275</v>
      </c>
      <c r="J682" s="1">
        <v>2023</v>
      </c>
      <c r="K682" s="1" t="s">
        <v>2269</v>
      </c>
      <c r="L682" s="1" t="s">
        <v>2274</v>
      </c>
      <c r="M682" s="1" t="s">
        <v>2273</v>
      </c>
      <c r="P682" s="1" t="s">
        <v>2272</v>
      </c>
      <c r="Q682" s="1" t="s">
        <v>1749</v>
      </c>
      <c r="R682" s="1" t="s">
        <v>2244</v>
      </c>
      <c r="S682" s="1" t="s">
        <v>2271</v>
      </c>
      <c r="T682" s="1" t="s">
        <v>2270</v>
      </c>
      <c r="V682" s="1" t="s">
        <v>2241</v>
      </c>
      <c r="W682" s="1" t="s">
        <v>2269</v>
      </c>
      <c r="Y682" s="3">
        <v>45478</v>
      </c>
      <c r="Z682" s="1">
        <v>2024</v>
      </c>
      <c r="AA682" s="2">
        <v>257541.42</v>
      </c>
      <c r="AB682" s="2"/>
      <c r="AC682" s="2">
        <v>128770.71</v>
      </c>
      <c r="AD682" s="1">
        <v>6</v>
      </c>
      <c r="AE682" s="1">
        <v>2</v>
      </c>
      <c r="AG682" s="1" t="s">
        <v>21</v>
      </c>
      <c r="AI682" s="2">
        <v>128770.71</v>
      </c>
      <c r="AK682" s="1"/>
    </row>
    <row r="683" spans="1:38" ht="15" customHeight="1" x14ac:dyDescent="0.25">
      <c r="A683" s="1" t="s">
        <v>19</v>
      </c>
      <c r="B683" s="14" t="s">
        <v>18</v>
      </c>
      <c r="C683" s="12" t="s">
        <v>37</v>
      </c>
      <c r="D683" s="1" t="s">
        <v>63</v>
      </c>
      <c r="E683" s="1" t="s">
        <v>35</v>
      </c>
      <c r="G683" s="1" t="s">
        <v>202</v>
      </c>
      <c r="H683" s="1" t="s">
        <v>32</v>
      </c>
      <c r="I683" s="12" t="s">
        <v>2268</v>
      </c>
      <c r="J683" s="1">
        <v>2023</v>
      </c>
      <c r="K683" s="1" t="s">
        <v>2267</v>
      </c>
      <c r="L683" s="1" t="s">
        <v>2266</v>
      </c>
      <c r="M683" s="1" t="s">
        <v>0</v>
      </c>
      <c r="P683" s="1" t="s">
        <v>2265</v>
      </c>
      <c r="Q683" s="1" t="s">
        <v>1749</v>
      </c>
      <c r="R683" s="1" t="s">
        <v>2244</v>
      </c>
      <c r="S683" s="12" t="s">
        <v>2251</v>
      </c>
      <c r="T683" s="12" t="s">
        <v>2250</v>
      </c>
      <c r="U683" s="17"/>
      <c r="V683" s="12" t="s">
        <v>2241</v>
      </c>
      <c r="W683" s="12" t="s">
        <v>2264</v>
      </c>
      <c r="X683" s="12" t="s">
        <v>2256</v>
      </c>
      <c r="Y683" s="13">
        <v>45800</v>
      </c>
      <c r="Z683" s="12">
        <v>2025</v>
      </c>
      <c r="AA683" s="11">
        <v>2081977.71</v>
      </c>
      <c r="AB683" s="11"/>
      <c r="AC683" s="11">
        <v>2081977.71</v>
      </c>
      <c r="AD683" s="2"/>
      <c r="AG683" s="1" t="s">
        <v>21</v>
      </c>
      <c r="AI683" s="11">
        <v>2081977.71</v>
      </c>
      <c r="AK683" s="1"/>
    </row>
    <row r="684" spans="1:38" ht="15" customHeight="1" x14ac:dyDescent="0.25">
      <c r="A684" s="1" t="s">
        <v>19</v>
      </c>
      <c r="B684" s="14" t="s">
        <v>18</v>
      </c>
      <c r="C684" s="12" t="s">
        <v>37</v>
      </c>
      <c r="D684" s="1" t="s">
        <v>63</v>
      </c>
      <c r="E684" s="1" t="s">
        <v>35</v>
      </c>
      <c r="G684" s="1" t="s">
        <v>202</v>
      </c>
      <c r="H684" s="1" t="s">
        <v>32</v>
      </c>
      <c r="I684" s="12" t="s">
        <v>2263</v>
      </c>
      <c r="J684" s="1">
        <v>2023</v>
      </c>
      <c r="K684" s="1" t="s">
        <v>2262</v>
      </c>
      <c r="L684" s="1" t="s">
        <v>2261</v>
      </c>
      <c r="M684" s="1" t="s">
        <v>0</v>
      </c>
      <c r="P684" s="1" t="s">
        <v>2260</v>
      </c>
      <c r="Q684" s="1" t="s">
        <v>1749</v>
      </c>
      <c r="R684" s="1" t="s">
        <v>2244</v>
      </c>
      <c r="S684" s="12" t="s">
        <v>2259</v>
      </c>
      <c r="T684" s="12" t="s">
        <v>2258</v>
      </c>
      <c r="U684" s="17"/>
      <c r="V684" s="12" t="s">
        <v>2241</v>
      </c>
      <c r="W684" s="12" t="s">
        <v>2257</v>
      </c>
      <c r="X684" s="12" t="s">
        <v>2256</v>
      </c>
      <c r="Y684" s="13">
        <v>45799</v>
      </c>
      <c r="Z684" s="12">
        <v>2025</v>
      </c>
      <c r="AA684" s="11">
        <v>956754.63</v>
      </c>
      <c r="AB684" s="11"/>
      <c r="AC684" s="11">
        <v>956754.63</v>
      </c>
      <c r="AD684" s="2"/>
      <c r="AG684" s="1" t="s">
        <v>21</v>
      </c>
      <c r="AI684" s="11">
        <v>956754.63</v>
      </c>
      <c r="AK684" s="1"/>
    </row>
    <row r="685" spans="1:38" ht="15" customHeight="1" x14ac:dyDescent="0.2">
      <c r="A685" s="1" t="s">
        <v>19</v>
      </c>
      <c r="B685" s="5" t="s">
        <v>109</v>
      </c>
      <c r="C685" s="1" t="s">
        <v>37</v>
      </c>
      <c r="D685" s="1" t="s">
        <v>132</v>
      </c>
      <c r="E685" s="1" t="s">
        <v>35</v>
      </c>
      <c r="G685" s="1" t="s">
        <v>131</v>
      </c>
      <c r="H685" s="1" t="s">
        <v>130</v>
      </c>
      <c r="I685" s="1" t="s">
        <v>2255</v>
      </c>
      <c r="J685" s="1">
        <v>2019</v>
      </c>
      <c r="P685" s="1" t="s">
        <v>2252</v>
      </c>
      <c r="Q685" s="1" t="s">
        <v>1749</v>
      </c>
      <c r="R685" s="1" t="s">
        <v>2244</v>
      </c>
      <c r="S685" s="1" t="s">
        <v>2251</v>
      </c>
      <c r="T685" s="1" t="s">
        <v>2250</v>
      </c>
      <c r="V685" s="1" t="s">
        <v>2241</v>
      </c>
      <c r="Y685" s="3">
        <v>43800</v>
      </c>
      <c r="Z685" s="1">
        <v>2019</v>
      </c>
      <c r="AA685" s="2"/>
      <c r="AB685" s="2"/>
      <c r="AC685" s="2">
        <v>442006.85000000003</v>
      </c>
      <c r="AG685" s="1" t="s">
        <v>21</v>
      </c>
      <c r="AI685" s="2">
        <v>442006.85000000003</v>
      </c>
      <c r="AK685" s="1"/>
      <c r="AL685" s="1" t="s">
        <v>127</v>
      </c>
    </row>
    <row r="686" spans="1:38" ht="15" customHeight="1" x14ac:dyDescent="0.2">
      <c r="A686" s="1" t="s">
        <v>19</v>
      </c>
      <c r="B686" s="5" t="s">
        <v>109</v>
      </c>
      <c r="C686" s="1" t="s">
        <v>37</v>
      </c>
      <c r="D686" s="1" t="s">
        <v>132</v>
      </c>
      <c r="E686" s="1" t="s">
        <v>35</v>
      </c>
      <c r="G686" s="1" t="s">
        <v>131</v>
      </c>
      <c r="H686" s="1" t="s">
        <v>130</v>
      </c>
      <c r="I686" s="1" t="s">
        <v>2254</v>
      </c>
      <c r="J686" s="1">
        <v>2019</v>
      </c>
      <c r="P686" s="1" t="s">
        <v>2252</v>
      </c>
      <c r="Q686" s="1" t="s">
        <v>1749</v>
      </c>
      <c r="R686" s="1" t="s">
        <v>2244</v>
      </c>
      <c r="S686" s="1" t="s">
        <v>2251</v>
      </c>
      <c r="T686" s="1" t="s">
        <v>2250</v>
      </c>
      <c r="V686" s="1" t="s">
        <v>2241</v>
      </c>
      <c r="Y686" s="3">
        <v>43800</v>
      </c>
      <c r="Z686" s="1">
        <v>2019</v>
      </c>
      <c r="AA686" s="2"/>
      <c r="AB686" s="2"/>
      <c r="AC686" s="2">
        <v>519553.22000000003</v>
      </c>
      <c r="AG686" s="1" t="s">
        <v>21</v>
      </c>
      <c r="AI686" s="2">
        <v>519553.22000000003</v>
      </c>
      <c r="AK686" s="1"/>
      <c r="AL686" s="1" t="s">
        <v>127</v>
      </c>
    </row>
    <row r="687" spans="1:38" ht="15" customHeight="1" x14ac:dyDescent="0.2">
      <c r="A687" s="1" t="s">
        <v>19</v>
      </c>
      <c r="B687" s="5" t="s">
        <v>109</v>
      </c>
      <c r="C687" s="1" t="s">
        <v>37</v>
      </c>
      <c r="D687" s="1" t="s">
        <v>132</v>
      </c>
      <c r="E687" s="1" t="s">
        <v>35</v>
      </c>
      <c r="G687" s="1" t="s">
        <v>131</v>
      </c>
      <c r="H687" s="1" t="s">
        <v>130</v>
      </c>
      <c r="I687" s="1" t="s">
        <v>2253</v>
      </c>
      <c r="J687" s="1">
        <v>2019</v>
      </c>
      <c r="P687" s="1" t="s">
        <v>2252</v>
      </c>
      <c r="Q687" s="1" t="s">
        <v>1749</v>
      </c>
      <c r="R687" s="1" t="s">
        <v>2244</v>
      </c>
      <c r="S687" s="1" t="s">
        <v>2251</v>
      </c>
      <c r="T687" s="1" t="s">
        <v>2250</v>
      </c>
      <c r="V687" s="1" t="s">
        <v>2241</v>
      </c>
      <c r="Y687" s="3">
        <v>43800</v>
      </c>
      <c r="Z687" s="1">
        <v>2019</v>
      </c>
      <c r="AA687" s="2"/>
      <c r="AB687" s="2"/>
      <c r="AC687" s="2">
        <v>745235.96000000008</v>
      </c>
      <c r="AG687" s="1" t="s">
        <v>21</v>
      </c>
      <c r="AI687" s="2">
        <v>745235.96000000008</v>
      </c>
      <c r="AK687" s="1"/>
      <c r="AL687" s="1" t="s">
        <v>127</v>
      </c>
    </row>
    <row r="688" spans="1:38" ht="15" customHeight="1" x14ac:dyDescent="0.2">
      <c r="A688" s="1" t="s">
        <v>19</v>
      </c>
      <c r="B688" s="5" t="s">
        <v>18</v>
      </c>
      <c r="C688" s="1" t="s">
        <v>37</v>
      </c>
      <c r="D688" s="1" t="s">
        <v>63</v>
      </c>
      <c r="E688" s="1" t="s">
        <v>35</v>
      </c>
      <c r="G688" s="1" t="s">
        <v>1619</v>
      </c>
      <c r="H688" s="1" t="s">
        <v>130</v>
      </c>
      <c r="I688" s="1" t="s">
        <v>2249</v>
      </c>
      <c r="J688" s="1">
        <v>2020</v>
      </c>
      <c r="K688" s="1" t="s">
        <v>2240</v>
      </c>
      <c r="L688" s="1" t="s">
        <v>2248</v>
      </c>
      <c r="N688" s="1" t="s">
        <v>2247</v>
      </c>
      <c r="O688" s="1" t="s">
        <v>2246</v>
      </c>
      <c r="P688" s="1" t="s">
        <v>2245</v>
      </c>
      <c r="Q688" s="1" t="s">
        <v>1749</v>
      </c>
      <c r="R688" s="1" t="s">
        <v>2244</v>
      </c>
      <c r="S688" s="1" t="s">
        <v>2243</v>
      </c>
      <c r="T688" s="1" t="s">
        <v>2242</v>
      </c>
      <c r="V688" s="1" t="s">
        <v>2241</v>
      </c>
      <c r="W688" s="1" t="s">
        <v>2240</v>
      </c>
      <c r="X688" s="1" t="s">
        <v>667</v>
      </c>
      <c r="Y688" s="3">
        <v>44337</v>
      </c>
      <c r="Z688" s="1">
        <v>2021</v>
      </c>
      <c r="AA688" s="2">
        <v>114882.85</v>
      </c>
      <c r="AB688" s="2"/>
      <c r="AC688" s="2">
        <v>81854.03</v>
      </c>
      <c r="AD688" s="1">
        <v>10</v>
      </c>
      <c r="AE688" s="1">
        <v>9</v>
      </c>
      <c r="AG688" s="1" t="s">
        <v>21</v>
      </c>
      <c r="AH688" s="1" t="s">
        <v>65</v>
      </c>
      <c r="AI688" s="2">
        <v>64088.18</v>
      </c>
      <c r="AK688" s="1">
        <v>10</v>
      </c>
      <c r="AL688" s="1" t="s">
        <v>2239</v>
      </c>
    </row>
    <row r="689" spans="1:38" ht="15" customHeight="1" x14ac:dyDescent="0.2">
      <c r="A689" s="1" t="s">
        <v>19</v>
      </c>
      <c r="B689" s="5" t="s">
        <v>109</v>
      </c>
      <c r="C689" s="1" t="s">
        <v>17</v>
      </c>
      <c r="D689" s="1" t="s">
        <v>16</v>
      </c>
      <c r="E689" s="1" t="s">
        <v>15</v>
      </c>
      <c r="F689" s="1" t="s">
        <v>1601</v>
      </c>
      <c r="G689" s="1" t="s">
        <v>1600</v>
      </c>
      <c r="H689" s="1" t="s">
        <v>12</v>
      </c>
      <c r="I689" s="1" t="s">
        <v>2238</v>
      </c>
      <c r="J689" s="1">
        <v>2022</v>
      </c>
      <c r="K689" s="1" t="s">
        <v>2237</v>
      </c>
      <c r="L689" s="1" t="s">
        <v>2236</v>
      </c>
      <c r="M689" s="1" t="s">
        <v>2235</v>
      </c>
      <c r="P689" s="1" t="s">
        <v>2234</v>
      </c>
      <c r="Q689" s="1" t="s">
        <v>780</v>
      </c>
      <c r="R689" s="1" t="s">
        <v>779</v>
      </c>
      <c r="S689" s="1" t="s">
        <v>2107</v>
      </c>
      <c r="T689" s="1" t="s">
        <v>2106</v>
      </c>
      <c r="U689" s="1">
        <v>1</v>
      </c>
      <c r="V689" s="1" t="s">
        <v>2077</v>
      </c>
      <c r="W689" s="1" t="s">
        <v>2233</v>
      </c>
      <c r="Y689" s="3">
        <v>45112</v>
      </c>
      <c r="Z689" s="1">
        <v>2023</v>
      </c>
      <c r="AA689" s="2">
        <v>5663263.0300000003</v>
      </c>
      <c r="AB689" s="2"/>
      <c r="AC689" s="2">
        <v>1684820.71</v>
      </c>
      <c r="AD689" s="1">
        <v>25</v>
      </c>
      <c r="AF689" s="1">
        <v>15</v>
      </c>
      <c r="AG689" s="1" t="s">
        <v>1</v>
      </c>
      <c r="AI689" s="2">
        <v>1684820.71</v>
      </c>
      <c r="AK689" s="1"/>
    </row>
    <row r="690" spans="1:38" ht="15" customHeight="1" x14ac:dyDescent="0.25">
      <c r="A690" s="1" t="s">
        <v>19</v>
      </c>
      <c r="B690" s="5" t="s">
        <v>18</v>
      </c>
      <c r="C690" s="1" t="s">
        <v>17</v>
      </c>
      <c r="D690" s="1" t="s">
        <v>16</v>
      </c>
      <c r="E690" s="1" t="s">
        <v>35</v>
      </c>
      <c r="F690" s="1" t="s">
        <v>2232</v>
      </c>
      <c r="G690" s="1" t="s">
        <v>2231</v>
      </c>
      <c r="H690" s="1" t="s">
        <v>12</v>
      </c>
      <c r="I690" s="1" t="s">
        <v>2230</v>
      </c>
      <c r="J690" s="1">
        <v>2023</v>
      </c>
      <c r="K690" s="1" t="s">
        <v>2229</v>
      </c>
      <c r="L690" s="1" t="s">
        <v>2228</v>
      </c>
      <c r="M690" s="1" t="s">
        <v>2227</v>
      </c>
      <c r="P690" s="1" t="s">
        <v>2226</v>
      </c>
      <c r="Q690" s="1" t="s">
        <v>780</v>
      </c>
      <c r="R690" s="1" t="s">
        <v>779</v>
      </c>
      <c r="S690" s="1" t="s">
        <v>2120</v>
      </c>
      <c r="T690" s="1" t="s">
        <v>2119</v>
      </c>
      <c r="U690" s="1">
        <v>1</v>
      </c>
      <c r="V690" s="1" t="s">
        <v>2077</v>
      </c>
      <c r="W690" s="1" t="s">
        <v>2225</v>
      </c>
      <c r="X690" s="1" t="s">
        <v>1544</v>
      </c>
      <c r="Y690" s="3">
        <v>45496</v>
      </c>
      <c r="Z690" s="1">
        <v>2024</v>
      </c>
      <c r="AA690" s="39">
        <v>35635560</v>
      </c>
      <c r="AB690" s="39"/>
      <c r="AC690" s="39">
        <v>10690668</v>
      </c>
      <c r="AG690" s="1" t="s">
        <v>1</v>
      </c>
      <c r="AI690" s="2">
        <v>10690668</v>
      </c>
      <c r="AK690" s="1" t="s">
        <v>2224</v>
      </c>
      <c r="AL690" s="2" t="s">
        <v>2223</v>
      </c>
    </row>
    <row r="691" spans="1:38" ht="15" customHeight="1" x14ac:dyDescent="0.2">
      <c r="A691" s="1" t="s">
        <v>19</v>
      </c>
      <c r="B691" s="5" t="s">
        <v>109</v>
      </c>
      <c r="C691" s="1" t="s">
        <v>37</v>
      </c>
      <c r="D691" s="1" t="s">
        <v>132</v>
      </c>
      <c r="E691" s="1" t="s">
        <v>35</v>
      </c>
      <c r="G691" s="1" t="s">
        <v>131</v>
      </c>
      <c r="H691" s="1" t="s">
        <v>130</v>
      </c>
      <c r="I691" s="1" t="s">
        <v>2222</v>
      </c>
      <c r="J691" s="1">
        <v>2019</v>
      </c>
      <c r="P691" s="1" t="s">
        <v>136</v>
      </c>
      <c r="Q691" s="1" t="s">
        <v>780</v>
      </c>
      <c r="R691" s="1" t="s">
        <v>779</v>
      </c>
      <c r="S691" s="1" t="s">
        <v>2107</v>
      </c>
      <c r="T691" s="1" t="s">
        <v>2106</v>
      </c>
      <c r="U691" s="1">
        <v>1</v>
      </c>
      <c r="V691" s="1" t="s">
        <v>2077</v>
      </c>
      <c r="Y691" s="3">
        <v>43467</v>
      </c>
      <c r="Z691" s="1">
        <v>2019</v>
      </c>
      <c r="AA691" s="2"/>
      <c r="AB691" s="2"/>
      <c r="AC691" s="2">
        <v>331916.20999999996</v>
      </c>
      <c r="AG691" s="1" t="s">
        <v>21</v>
      </c>
      <c r="AI691" s="2">
        <v>331916.20999999996</v>
      </c>
      <c r="AK691" s="1"/>
      <c r="AL691" s="1" t="s">
        <v>127</v>
      </c>
    </row>
    <row r="692" spans="1:38" ht="15" customHeight="1" x14ac:dyDescent="0.2">
      <c r="A692" s="1" t="s">
        <v>19</v>
      </c>
      <c r="B692" s="5" t="s">
        <v>109</v>
      </c>
      <c r="C692" s="1" t="s">
        <v>37</v>
      </c>
      <c r="D692" s="1" t="s">
        <v>132</v>
      </c>
      <c r="E692" s="1" t="s">
        <v>35</v>
      </c>
      <c r="G692" s="1" t="s">
        <v>131</v>
      </c>
      <c r="H692" s="1" t="s">
        <v>130</v>
      </c>
      <c r="I692" s="1" t="s">
        <v>2221</v>
      </c>
      <c r="J692" s="1">
        <v>2019</v>
      </c>
      <c r="P692" s="1" t="s">
        <v>136</v>
      </c>
      <c r="Q692" s="1" t="s">
        <v>780</v>
      </c>
      <c r="R692" s="1" t="s">
        <v>779</v>
      </c>
      <c r="S692" s="1" t="s">
        <v>2107</v>
      </c>
      <c r="T692" s="1" t="s">
        <v>2106</v>
      </c>
      <c r="U692" s="1">
        <v>1</v>
      </c>
      <c r="V692" s="1" t="s">
        <v>2077</v>
      </c>
      <c r="Y692" s="3">
        <v>43466</v>
      </c>
      <c r="Z692" s="1">
        <v>2019</v>
      </c>
      <c r="AA692" s="2"/>
      <c r="AB692" s="2"/>
      <c r="AC692" s="2">
        <v>318283.09999999998</v>
      </c>
      <c r="AG692" s="1" t="s">
        <v>21</v>
      </c>
      <c r="AI692" s="2">
        <v>318283.09999999998</v>
      </c>
      <c r="AK692" s="1"/>
      <c r="AL692" s="1" t="s">
        <v>127</v>
      </c>
    </row>
    <row r="693" spans="1:38" ht="15" customHeight="1" x14ac:dyDescent="0.2">
      <c r="A693" s="1" t="s">
        <v>19</v>
      </c>
      <c r="B693" s="5" t="s">
        <v>109</v>
      </c>
      <c r="C693" s="1" t="s">
        <v>37</v>
      </c>
      <c r="D693" s="1" t="s">
        <v>132</v>
      </c>
      <c r="E693" s="1" t="s">
        <v>35</v>
      </c>
      <c r="G693" s="1" t="s">
        <v>131</v>
      </c>
      <c r="H693" s="1" t="s">
        <v>130</v>
      </c>
      <c r="I693" s="1" t="s">
        <v>2220</v>
      </c>
      <c r="J693" s="1">
        <v>2019</v>
      </c>
      <c r="P693" s="1" t="s">
        <v>136</v>
      </c>
      <c r="Q693" s="1" t="s">
        <v>780</v>
      </c>
      <c r="R693" s="1" t="s">
        <v>779</v>
      </c>
      <c r="S693" s="1" t="s">
        <v>2107</v>
      </c>
      <c r="T693" s="1" t="s">
        <v>2106</v>
      </c>
      <c r="U693" s="1">
        <v>1</v>
      </c>
      <c r="V693" s="1" t="s">
        <v>2077</v>
      </c>
      <c r="Y693" s="3">
        <v>43486</v>
      </c>
      <c r="Z693" s="1">
        <v>2019</v>
      </c>
      <c r="AA693" s="2"/>
      <c r="AB693" s="2"/>
      <c r="AC693" s="2">
        <v>271982.33</v>
      </c>
      <c r="AG693" s="1" t="s">
        <v>21</v>
      </c>
      <c r="AI693" s="2">
        <v>271982.33</v>
      </c>
      <c r="AK693" s="1"/>
      <c r="AL693" s="1" t="s">
        <v>127</v>
      </c>
    </row>
    <row r="694" spans="1:38" ht="15" customHeight="1" x14ac:dyDescent="0.2">
      <c r="A694" s="1" t="s">
        <v>19</v>
      </c>
      <c r="B694" s="5" t="s">
        <v>109</v>
      </c>
      <c r="C694" s="1" t="s">
        <v>37</v>
      </c>
      <c r="D694" s="1" t="s">
        <v>211</v>
      </c>
      <c r="E694" s="1" t="s">
        <v>35</v>
      </c>
      <c r="F694" s="1" t="s">
        <v>637</v>
      </c>
      <c r="G694" s="1" t="s">
        <v>636</v>
      </c>
      <c r="H694" s="1" t="s">
        <v>130</v>
      </c>
      <c r="I694" s="1" t="s">
        <v>2219</v>
      </c>
      <c r="J694" s="1" t="s">
        <v>316</v>
      </c>
      <c r="K694" s="1" t="s">
        <v>2217</v>
      </c>
      <c r="P694" s="1" t="s">
        <v>2218</v>
      </c>
      <c r="Q694" s="1" t="s">
        <v>780</v>
      </c>
      <c r="R694" s="1" t="s">
        <v>779</v>
      </c>
      <c r="S694" s="1" t="s">
        <v>2107</v>
      </c>
      <c r="T694" s="1" t="s">
        <v>2106</v>
      </c>
      <c r="U694" s="1">
        <v>1</v>
      </c>
      <c r="V694" s="1" t="s">
        <v>2077</v>
      </c>
      <c r="W694" s="1" t="s">
        <v>2217</v>
      </c>
      <c r="X694" s="1" t="s">
        <v>319</v>
      </c>
      <c r="Y694" s="3">
        <v>44348</v>
      </c>
      <c r="Z694" s="1">
        <v>2021</v>
      </c>
      <c r="AA694" s="2">
        <v>14354057.119999999</v>
      </c>
      <c r="AB694" s="2"/>
      <c r="AC694" s="2">
        <v>1120000</v>
      </c>
      <c r="AD694" s="1">
        <v>36</v>
      </c>
      <c r="AE694" s="1">
        <v>2</v>
      </c>
      <c r="AG694" s="1" t="s">
        <v>106</v>
      </c>
      <c r="AH694" s="1" t="s">
        <v>105</v>
      </c>
      <c r="AI694" s="2">
        <v>0</v>
      </c>
      <c r="AK694" s="1"/>
    </row>
    <row r="695" spans="1:38" ht="15" customHeight="1" x14ac:dyDescent="0.2">
      <c r="A695" s="1" t="s">
        <v>19</v>
      </c>
      <c r="B695" s="5" t="s">
        <v>109</v>
      </c>
      <c r="C695" s="1" t="s">
        <v>37</v>
      </c>
      <c r="D695" s="1" t="s">
        <v>211</v>
      </c>
      <c r="E695" s="1" t="s">
        <v>35</v>
      </c>
      <c r="F695" s="1" t="s">
        <v>637</v>
      </c>
      <c r="G695" s="1" t="s">
        <v>636</v>
      </c>
      <c r="H695" s="1" t="s">
        <v>130</v>
      </c>
      <c r="I695" s="1" t="s">
        <v>2216</v>
      </c>
      <c r="J695" s="1" t="s">
        <v>316</v>
      </c>
      <c r="K695" s="1" t="s">
        <v>2211</v>
      </c>
      <c r="L695" s="1" t="s">
        <v>2215</v>
      </c>
      <c r="M695" s="1" t="s">
        <v>2214</v>
      </c>
      <c r="N695" s="1" t="s">
        <v>2213</v>
      </c>
      <c r="P695" s="1" t="s">
        <v>2212</v>
      </c>
      <c r="Q695" s="1" t="s">
        <v>780</v>
      </c>
      <c r="R695" s="1" t="s">
        <v>779</v>
      </c>
      <c r="S695" s="1" t="s">
        <v>2135</v>
      </c>
      <c r="T695" s="1" t="s">
        <v>2134</v>
      </c>
      <c r="U695" s="1">
        <v>1</v>
      </c>
      <c r="V695" s="1" t="s">
        <v>2077</v>
      </c>
      <c r="W695" s="1" t="s">
        <v>2211</v>
      </c>
      <c r="X695" s="1" t="s">
        <v>319</v>
      </c>
      <c r="Y695" s="3">
        <v>43825</v>
      </c>
      <c r="Z695" s="1">
        <v>2019</v>
      </c>
      <c r="AA695" s="2">
        <v>4590736.3899999997</v>
      </c>
      <c r="AB695" s="2"/>
      <c r="AC695" s="2">
        <v>525000</v>
      </c>
      <c r="AD695" s="1">
        <v>16</v>
      </c>
      <c r="AE695" s="1">
        <v>3</v>
      </c>
      <c r="AG695" s="1" t="s">
        <v>21</v>
      </c>
      <c r="AI695" s="2">
        <v>525000</v>
      </c>
      <c r="AK695" s="1"/>
      <c r="AL695" s="1" t="s">
        <v>2210</v>
      </c>
    </row>
    <row r="696" spans="1:38" ht="15" customHeight="1" x14ac:dyDescent="0.2">
      <c r="A696" s="1" t="s">
        <v>19</v>
      </c>
      <c r="B696" s="5" t="s">
        <v>109</v>
      </c>
      <c r="C696" s="1" t="s">
        <v>37</v>
      </c>
      <c r="D696" s="1" t="s">
        <v>211</v>
      </c>
      <c r="E696" s="1" t="s">
        <v>35</v>
      </c>
      <c r="F696" s="1" t="s">
        <v>637</v>
      </c>
      <c r="G696" s="1" t="s">
        <v>636</v>
      </c>
      <c r="H696" s="1" t="s">
        <v>130</v>
      </c>
      <c r="I696" s="1" t="s">
        <v>2209</v>
      </c>
      <c r="J696" s="1">
        <v>2021</v>
      </c>
      <c r="K696" s="1" t="s">
        <v>2208</v>
      </c>
      <c r="L696" s="1" t="s">
        <v>2207</v>
      </c>
      <c r="M696" s="1" t="s">
        <v>2206</v>
      </c>
      <c r="N696" s="1" t="s">
        <v>2205</v>
      </c>
      <c r="P696" s="1" t="s">
        <v>2204</v>
      </c>
      <c r="Q696" s="1" t="s">
        <v>780</v>
      </c>
      <c r="R696" s="1" t="s">
        <v>779</v>
      </c>
      <c r="S696" s="1" t="s">
        <v>2107</v>
      </c>
      <c r="T696" s="1" t="s">
        <v>2106</v>
      </c>
      <c r="U696" s="1">
        <v>1</v>
      </c>
      <c r="V696" s="1" t="s">
        <v>2077</v>
      </c>
      <c r="W696" s="1" t="s">
        <v>2203</v>
      </c>
      <c r="X696" s="1" t="s">
        <v>298</v>
      </c>
      <c r="Y696" s="3">
        <v>44557</v>
      </c>
      <c r="Z696" s="1">
        <v>2021</v>
      </c>
      <c r="AA696" s="2">
        <v>27972268.079999998</v>
      </c>
      <c r="AB696" s="2"/>
      <c r="AC696" s="2">
        <v>2400000</v>
      </c>
      <c r="AD696" s="1">
        <v>44</v>
      </c>
      <c r="AE696" s="1">
        <v>7</v>
      </c>
      <c r="AG696" s="1" t="s">
        <v>21</v>
      </c>
      <c r="AI696" s="2">
        <v>2400000</v>
      </c>
      <c r="AK696" s="1"/>
    </row>
    <row r="697" spans="1:38" ht="15" customHeight="1" x14ac:dyDescent="0.2">
      <c r="A697" s="1" t="s">
        <v>19</v>
      </c>
      <c r="B697" s="5" t="s">
        <v>18</v>
      </c>
      <c r="C697" s="1" t="s">
        <v>37</v>
      </c>
      <c r="D697" s="1" t="s">
        <v>211</v>
      </c>
      <c r="E697" s="1" t="s">
        <v>35</v>
      </c>
      <c r="F697" s="1" t="s">
        <v>260</v>
      </c>
      <c r="G697" s="1" t="s">
        <v>259</v>
      </c>
      <c r="H697" s="1" t="s">
        <v>130</v>
      </c>
      <c r="I697" s="1" t="s">
        <v>2202</v>
      </c>
      <c r="J697" s="1">
        <v>2021</v>
      </c>
      <c r="K697" s="1" t="s">
        <v>2199</v>
      </c>
      <c r="L697" s="1" t="s">
        <v>2201</v>
      </c>
      <c r="P697" s="1" t="s">
        <v>2200</v>
      </c>
      <c r="Q697" s="1" t="s">
        <v>780</v>
      </c>
      <c r="R697" s="1" t="s">
        <v>779</v>
      </c>
      <c r="S697" s="1" t="s">
        <v>2117</v>
      </c>
      <c r="T697" s="1" t="s">
        <v>2116</v>
      </c>
      <c r="U697" s="1">
        <v>1</v>
      </c>
      <c r="V697" s="1" t="s">
        <v>2077</v>
      </c>
      <c r="W697" s="1" t="s">
        <v>2199</v>
      </c>
      <c r="X697" s="1" t="s">
        <v>693</v>
      </c>
      <c r="Y697" s="3">
        <v>44557</v>
      </c>
      <c r="Z697" s="1">
        <v>2021</v>
      </c>
      <c r="AA697" s="2">
        <v>32200</v>
      </c>
      <c r="AB697" s="2"/>
      <c r="AC697" s="2">
        <v>9660</v>
      </c>
      <c r="AD697" s="1">
        <v>0</v>
      </c>
      <c r="AG697" s="1" t="s">
        <v>21</v>
      </c>
      <c r="AI697" s="2">
        <v>9660</v>
      </c>
      <c r="AK697" s="1"/>
    </row>
    <row r="698" spans="1:38" ht="15" customHeight="1" x14ac:dyDescent="0.2">
      <c r="A698" s="1" t="s">
        <v>19</v>
      </c>
      <c r="B698" s="5" t="s">
        <v>18</v>
      </c>
      <c r="C698" s="1" t="s">
        <v>37</v>
      </c>
      <c r="D698" s="1" t="s">
        <v>211</v>
      </c>
      <c r="E698" s="1" t="s">
        <v>35</v>
      </c>
      <c r="F698" s="1" t="s">
        <v>260</v>
      </c>
      <c r="G698" s="1" t="s">
        <v>259</v>
      </c>
      <c r="H698" s="1" t="s">
        <v>130</v>
      </c>
      <c r="I698" s="1" t="s">
        <v>2198</v>
      </c>
      <c r="J698" s="1">
        <v>2021</v>
      </c>
      <c r="K698" s="1" t="s">
        <v>2195</v>
      </c>
      <c r="L698" s="1" t="s">
        <v>2197</v>
      </c>
      <c r="P698" s="1" t="s">
        <v>2196</v>
      </c>
      <c r="Q698" s="1" t="s">
        <v>780</v>
      </c>
      <c r="R698" s="1" t="s">
        <v>779</v>
      </c>
      <c r="S698" s="1" t="s">
        <v>2085</v>
      </c>
      <c r="T698" s="1" t="s">
        <v>2084</v>
      </c>
      <c r="U698" s="1">
        <v>1</v>
      </c>
      <c r="V698" s="1" t="s">
        <v>2077</v>
      </c>
      <c r="W698" s="1" t="s">
        <v>2195</v>
      </c>
      <c r="X698" s="1" t="s">
        <v>693</v>
      </c>
      <c r="Y698" s="3">
        <v>44557</v>
      </c>
      <c r="Z698" s="1">
        <v>2021</v>
      </c>
      <c r="AA698" s="2">
        <v>130000</v>
      </c>
      <c r="AB698" s="2"/>
      <c r="AC698" s="2">
        <v>26000</v>
      </c>
      <c r="AD698" s="1">
        <v>0</v>
      </c>
      <c r="AG698" s="1" t="s">
        <v>21</v>
      </c>
      <c r="AI698" s="2">
        <v>26000</v>
      </c>
      <c r="AK698" s="1"/>
    </row>
    <row r="699" spans="1:38" ht="15" customHeight="1" x14ac:dyDescent="0.25">
      <c r="A699" s="1" t="s">
        <v>19</v>
      </c>
      <c r="B699" s="5" t="s">
        <v>109</v>
      </c>
      <c r="C699" s="1" t="s">
        <v>37</v>
      </c>
      <c r="D699" s="1" t="s">
        <v>63</v>
      </c>
      <c r="E699" s="1" t="s">
        <v>35</v>
      </c>
      <c r="G699" s="1" t="s">
        <v>288</v>
      </c>
      <c r="H699" s="1" t="s">
        <v>32</v>
      </c>
      <c r="I699" s="1" t="s">
        <v>2194</v>
      </c>
      <c r="J699" s="1">
        <v>2022</v>
      </c>
      <c r="K699" s="38" t="s">
        <v>2193</v>
      </c>
      <c r="P699" s="1" t="s">
        <v>2121</v>
      </c>
      <c r="Q699" s="1" t="s">
        <v>780</v>
      </c>
      <c r="R699" s="1" t="s">
        <v>779</v>
      </c>
      <c r="S699" s="10" t="s">
        <v>2120</v>
      </c>
      <c r="T699" s="1" t="s">
        <v>2119</v>
      </c>
      <c r="U699" s="1">
        <v>1</v>
      </c>
      <c r="V699" s="1" t="s">
        <v>2077</v>
      </c>
      <c r="W699" s="1" t="s">
        <v>2192</v>
      </c>
      <c r="Y699" s="3">
        <v>45174</v>
      </c>
      <c r="Z699" s="1">
        <v>2023</v>
      </c>
      <c r="AA699" s="2">
        <v>1333513.6499999999</v>
      </c>
      <c r="AB699" s="2"/>
      <c r="AC699" s="2">
        <v>1333513.6499999999</v>
      </c>
      <c r="AG699" s="1" t="s">
        <v>106</v>
      </c>
      <c r="AH699" s="1" t="s">
        <v>105</v>
      </c>
      <c r="AI699" s="2">
        <v>0</v>
      </c>
      <c r="AK699" s="1"/>
    </row>
    <row r="700" spans="1:38" ht="15" customHeight="1" x14ac:dyDescent="0.25">
      <c r="A700" s="1" t="s">
        <v>19</v>
      </c>
      <c r="B700" s="5" t="s">
        <v>109</v>
      </c>
      <c r="C700" s="1" t="s">
        <v>37</v>
      </c>
      <c r="D700" s="1" t="s">
        <v>63</v>
      </c>
      <c r="E700" s="1" t="s">
        <v>35</v>
      </c>
      <c r="G700" s="1" t="s">
        <v>288</v>
      </c>
      <c r="H700" s="1" t="s">
        <v>32</v>
      </c>
      <c r="I700" s="1" t="s">
        <v>2191</v>
      </c>
      <c r="J700" s="1">
        <v>2022</v>
      </c>
      <c r="K700" s="38" t="s">
        <v>2190</v>
      </c>
      <c r="P700" s="1" t="s">
        <v>2121</v>
      </c>
      <c r="Q700" s="1" t="s">
        <v>780</v>
      </c>
      <c r="R700" s="1" t="s">
        <v>779</v>
      </c>
      <c r="S700" s="10" t="s">
        <v>2120</v>
      </c>
      <c r="T700" s="1" t="s">
        <v>2119</v>
      </c>
      <c r="U700" s="1">
        <v>1</v>
      </c>
      <c r="V700" s="1" t="s">
        <v>2077</v>
      </c>
      <c r="W700" s="1" t="s">
        <v>2189</v>
      </c>
      <c r="Y700" s="3">
        <v>45174</v>
      </c>
      <c r="Z700" s="1">
        <v>2023</v>
      </c>
      <c r="AA700" s="2">
        <v>2630232</v>
      </c>
      <c r="AB700" s="2"/>
      <c r="AC700" s="2">
        <v>1296718.3500000001</v>
      </c>
      <c r="AG700" s="1" t="s">
        <v>106</v>
      </c>
      <c r="AH700" s="1" t="s">
        <v>105</v>
      </c>
      <c r="AI700" s="2">
        <v>0</v>
      </c>
      <c r="AK700" s="1"/>
    </row>
    <row r="701" spans="1:38" ht="15" customHeight="1" x14ac:dyDescent="0.2">
      <c r="A701" s="1" t="s">
        <v>19</v>
      </c>
      <c r="B701" s="5" t="s">
        <v>18</v>
      </c>
      <c r="C701" s="1" t="s">
        <v>37</v>
      </c>
      <c r="D701" s="1" t="s">
        <v>63</v>
      </c>
      <c r="E701" s="1" t="s">
        <v>35</v>
      </c>
      <c r="G701" s="1" t="s">
        <v>288</v>
      </c>
      <c r="H701" s="1" t="s">
        <v>32</v>
      </c>
      <c r="I701" s="1" t="s">
        <v>2188</v>
      </c>
      <c r="J701" s="1">
        <v>2022</v>
      </c>
      <c r="K701" s="1" t="s">
        <v>2187</v>
      </c>
      <c r="L701" s="1" t="s">
        <v>2186</v>
      </c>
      <c r="M701" s="1" t="s">
        <v>2185</v>
      </c>
      <c r="N701" s="1" t="s">
        <v>2184</v>
      </c>
      <c r="P701" s="1" t="s">
        <v>2112</v>
      </c>
      <c r="Q701" s="1" t="s">
        <v>780</v>
      </c>
      <c r="R701" s="1" t="s">
        <v>779</v>
      </c>
      <c r="S701" s="1" t="s">
        <v>2111</v>
      </c>
      <c r="T701" s="1" t="s">
        <v>2110</v>
      </c>
      <c r="U701" s="1">
        <v>1</v>
      </c>
      <c r="V701" s="1" t="s">
        <v>2077</v>
      </c>
      <c r="W701" s="1" t="s">
        <v>2183</v>
      </c>
      <c r="Y701" s="3">
        <v>45112</v>
      </c>
      <c r="Z701" s="1">
        <v>2023</v>
      </c>
      <c r="AA701" s="2">
        <v>1889687.27</v>
      </c>
      <c r="AB701" s="2"/>
      <c r="AC701" s="2">
        <v>1889687.27</v>
      </c>
      <c r="AG701" s="1" t="s">
        <v>21</v>
      </c>
      <c r="AI701" s="2">
        <v>1889687.27</v>
      </c>
      <c r="AK701" s="1"/>
    </row>
    <row r="702" spans="1:38" ht="15" customHeight="1" x14ac:dyDescent="0.2">
      <c r="A702" s="1" t="s">
        <v>19</v>
      </c>
      <c r="B702" s="5" t="s">
        <v>18</v>
      </c>
      <c r="C702" s="1" t="s">
        <v>37</v>
      </c>
      <c r="D702" s="1" t="s">
        <v>63</v>
      </c>
      <c r="E702" s="1" t="s">
        <v>35</v>
      </c>
      <c r="G702" s="1" t="s">
        <v>288</v>
      </c>
      <c r="H702" s="1" t="s">
        <v>32</v>
      </c>
      <c r="I702" s="1" t="s">
        <v>2182</v>
      </c>
      <c r="J702" s="1">
        <v>2022</v>
      </c>
      <c r="K702" s="1" t="s">
        <v>2181</v>
      </c>
      <c r="L702" s="1" t="s">
        <v>2180</v>
      </c>
      <c r="P702" s="1" t="s">
        <v>2094</v>
      </c>
      <c r="Q702" s="1" t="s">
        <v>780</v>
      </c>
      <c r="R702" s="1" t="s">
        <v>779</v>
      </c>
      <c r="S702" s="1" t="s">
        <v>2093</v>
      </c>
      <c r="T702" s="1" t="s">
        <v>2092</v>
      </c>
      <c r="U702" s="1">
        <v>1</v>
      </c>
      <c r="V702" s="1" t="s">
        <v>2077</v>
      </c>
      <c r="W702" s="1" t="s">
        <v>2179</v>
      </c>
      <c r="Y702" s="3">
        <v>45112</v>
      </c>
      <c r="Z702" s="1">
        <v>2023</v>
      </c>
      <c r="AA702" s="2">
        <v>269898.15000000002</v>
      </c>
      <c r="AB702" s="2"/>
      <c r="AC702" s="2">
        <v>269898.15000000002</v>
      </c>
      <c r="AG702" s="1" t="s">
        <v>21</v>
      </c>
      <c r="AI702" s="2">
        <v>269898.15000000002</v>
      </c>
      <c r="AK702" s="1"/>
    </row>
    <row r="703" spans="1:38" ht="15" customHeight="1" x14ac:dyDescent="0.2">
      <c r="A703" s="1" t="s">
        <v>19</v>
      </c>
      <c r="B703" s="5" t="s">
        <v>18</v>
      </c>
      <c r="C703" s="1" t="s">
        <v>37</v>
      </c>
      <c r="D703" s="1" t="s">
        <v>211</v>
      </c>
      <c r="E703" s="1" t="s">
        <v>35</v>
      </c>
      <c r="F703" s="1" t="s">
        <v>260</v>
      </c>
      <c r="G703" s="1" t="s">
        <v>259</v>
      </c>
      <c r="H703" s="1" t="s">
        <v>258</v>
      </c>
      <c r="I703" s="1" t="s">
        <v>2178</v>
      </c>
      <c r="J703" s="1">
        <v>2023</v>
      </c>
      <c r="K703" s="1" t="s">
        <v>2177</v>
      </c>
      <c r="L703" s="1" t="s">
        <v>2176</v>
      </c>
      <c r="M703" s="1" t="s">
        <v>2175</v>
      </c>
      <c r="P703" s="1" t="s">
        <v>2164</v>
      </c>
      <c r="Q703" s="1" t="s">
        <v>780</v>
      </c>
      <c r="R703" s="1" t="s">
        <v>779</v>
      </c>
      <c r="S703" s="1" t="s">
        <v>2107</v>
      </c>
      <c r="T703" s="2" t="s">
        <v>2106</v>
      </c>
      <c r="U703" s="1">
        <v>1</v>
      </c>
      <c r="V703" s="1" t="s">
        <v>2077</v>
      </c>
      <c r="W703" s="1" t="s">
        <v>2174</v>
      </c>
      <c r="Y703" s="3">
        <v>45802</v>
      </c>
      <c r="Z703" s="1">
        <v>2025</v>
      </c>
      <c r="AA703" s="16">
        <v>431094.07</v>
      </c>
      <c r="AB703" s="2"/>
      <c r="AC703" s="16">
        <v>107773.52</v>
      </c>
      <c r="AD703" s="1">
        <v>0</v>
      </c>
      <c r="AE703" s="1">
        <v>0</v>
      </c>
      <c r="AG703" s="1" t="s">
        <v>21</v>
      </c>
      <c r="AI703" s="15">
        <v>107773.52</v>
      </c>
      <c r="AK703" s="1"/>
    </row>
    <row r="704" spans="1:38" ht="15" customHeight="1" x14ac:dyDescent="0.2">
      <c r="A704" s="1" t="s">
        <v>19</v>
      </c>
      <c r="B704" s="5" t="s">
        <v>18</v>
      </c>
      <c r="C704" s="1" t="s">
        <v>37</v>
      </c>
      <c r="D704" s="1" t="s">
        <v>211</v>
      </c>
      <c r="E704" s="1" t="s">
        <v>35</v>
      </c>
      <c r="F704" s="1" t="s">
        <v>260</v>
      </c>
      <c r="G704" s="1" t="s">
        <v>259</v>
      </c>
      <c r="H704" s="1" t="s">
        <v>258</v>
      </c>
      <c r="I704" s="1" t="s">
        <v>2173</v>
      </c>
      <c r="J704" s="1">
        <v>2023</v>
      </c>
      <c r="K704" s="1" t="s">
        <v>2172</v>
      </c>
      <c r="L704" s="1" t="s">
        <v>2171</v>
      </c>
      <c r="M704" s="1" t="s">
        <v>2170</v>
      </c>
      <c r="P704" s="1" t="s">
        <v>2169</v>
      </c>
      <c r="Q704" s="1" t="s">
        <v>780</v>
      </c>
      <c r="R704" s="1" t="s">
        <v>779</v>
      </c>
      <c r="S704" s="1" t="s">
        <v>2085</v>
      </c>
      <c r="T704" s="2" t="s">
        <v>2084</v>
      </c>
      <c r="U704" s="1">
        <v>1</v>
      </c>
      <c r="V704" s="1" t="s">
        <v>2077</v>
      </c>
      <c r="W704" s="1" t="s">
        <v>2168</v>
      </c>
      <c r="Y704" s="3">
        <v>45802</v>
      </c>
      <c r="Z704" s="1">
        <v>2025</v>
      </c>
      <c r="AA704" s="16">
        <v>107328.22</v>
      </c>
      <c r="AB704" s="2"/>
      <c r="AC704" s="16">
        <v>37564.879999999997</v>
      </c>
      <c r="AD704" s="1">
        <v>0</v>
      </c>
      <c r="AE704" s="1">
        <v>0</v>
      </c>
      <c r="AG704" s="1" t="s">
        <v>21</v>
      </c>
      <c r="AI704" s="15">
        <v>37564.879999999997</v>
      </c>
      <c r="AK704" s="1"/>
    </row>
    <row r="705" spans="1:38" ht="15" customHeight="1" x14ac:dyDescent="0.2">
      <c r="A705" s="1" t="s">
        <v>19</v>
      </c>
      <c r="B705" s="5" t="s">
        <v>18</v>
      </c>
      <c r="C705" s="1" t="s">
        <v>37</v>
      </c>
      <c r="D705" s="1" t="s">
        <v>211</v>
      </c>
      <c r="E705" s="1" t="s">
        <v>35</v>
      </c>
      <c r="F705" s="1" t="s">
        <v>210</v>
      </c>
      <c r="G705" s="1" t="s">
        <v>209</v>
      </c>
      <c r="H705" s="1" t="s">
        <v>130</v>
      </c>
      <c r="I705" s="1" t="s">
        <v>2167</v>
      </c>
      <c r="J705" s="1">
        <v>2023</v>
      </c>
      <c r="K705" s="1" t="s">
        <v>2163</v>
      </c>
      <c r="L705" s="1" t="s">
        <v>2166</v>
      </c>
      <c r="M705" s="1" t="s">
        <v>2165</v>
      </c>
      <c r="P705" s="1" t="s">
        <v>2164</v>
      </c>
      <c r="Q705" s="1" t="s">
        <v>780</v>
      </c>
      <c r="R705" s="1" t="s">
        <v>779</v>
      </c>
      <c r="S705" s="1" t="s">
        <v>2107</v>
      </c>
      <c r="T705" s="1" t="s">
        <v>2106</v>
      </c>
      <c r="U705" s="1">
        <v>1</v>
      </c>
      <c r="V705" s="1" t="s">
        <v>2077</v>
      </c>
      <c r="W705" s="1" t="s">
        <v>2163</v>
      </c>
      <c r="Y705" s="3">
        <v>45478</v>
      </c>
      <c r="Z705" s="1">
        <v>2024</v>
      </c>
      <c r="AA705" s="2">
        <v>107852</v>
      </c>
      <c r="AB705" s="2"/>
      <c r="AC705" s="2">
        <v>21570.400000000001</v>
      </c>
      <c r="AD705" s="1">
        <v>0</v>
      </c>
      <c r="AG705" s="1" t="s">
        <v>21</v>
      </c>
      <c r="AI705" s="2">
        <v>21570.400000000001</v>
      </c>
      <c r="AK705" s="1"/>
    </row>
    <row r="706" spans="1:38" ht="15" customHeight="1" x14ac:dyDescent="0.25">
      <c r="A706" s="1" t="s">
        <v>19</v>
      </c>
      <c r="B706" s="14" t="s">
        <v>18</v>
      </c>
      <c r="C706" s="12" t="s">
        <v>37</v>
      </c>
      <c r="D706" s="1" t="s">
        <v>63</v>
      </c>
      <c r="E706" s="1" t="s">
        <v>35</v>
      </c>
      <c r="G706" s="1" t="s">
        <v>202</v>
      </c>
      <c r="H706" s="1" t="s">
        <v>32</v>
      </c>
      <c r="I706" s="12" t="s">
        <v>2162</v>
      </c>
      <c r="J706" s="1">
        <v>2023</v>
      </c>
      <c r="K706" s="1" t="s">
        <v>2160</v>
      </c>
      <c r="L706" s="1" t="s">
        <v>2161</v>
      </c>
      <c r="M706" s="1" t="s">
        <v>2155</v>
      </c>
      <c r="N706" s="12"/>
      <c r="P706" s="1" t="s">
        <v>2118</v>
      </c>
      <c r="Q706" s="1" t="s">
        <v>780</v>
      </c>
      <c r="R706" s="1" t="s">
        <v>779</v>
      </c>
      <c r="S706" s="12" t="s">
        <v>2117</v>
      </c>
      <c r="T706" s="12" t="s">
        <v>2116</v>
      </c>
      <c r="U706" s="1">
        <v>1</v>
      </c>
      <c r="V706" s="12" t="s">
        <v>2077</v>
      </c>
      <c r="W706" s="12" t="s">
        <v>2160</v>
      </c>
      <c r="X706" s="12" t="s">
        <v>2159</v>
      </c>
      <c r="Y706" s="13">
        <v>45799</v>
      </c>
      <c r="Z706" s="12">
        <v>2025</v>
      </c>
      <c r="AA706" s="11">
        <v>656985.59</v>
      </c>
      <c r="AB706" s="11"/>
      <c r="AC706" s="11">
        <v>656985.59</v>
      </c>
      <c r="AD706" s="2"/>
      <c r="AG706" s="1" t="s">
        <v>21</v>
      </c>
      <c r="AI706" s="11">
        <v>656985.59</v>
      </c>
      <c r="AK706" s="1"/>
    </row>
    <row r="707" spans="1:38" ht="15" customHeight="1" x14ac:dyDescent="0.25">
      <c r="A707" s="1" t="s">
        <v>19</v>
      </c>
      <c r="B707" s="14" t="s">
        <v>18</v>
      </c>
      <c r="C707" s="12" t="s">
        <v>37</v>
      </c>
      <c r="D707" s="1" t="s">
        <v>63</v>
      </c>
      <c r="E707" s="1" t="s">
        <v>35</v>
      </c>
      <c r="G707" s="1" t="s">
        <v>202</v>
      </c>
      <c r="H707" s="1" t="s">
        <v>32</v>
      </c>
      <c r="I707" s="12" t="s">
        <v>2158</v>
      </c>
      <c r="J707" s="1">
        <v>2023</v>
      </c>
      <c r="K707" s="1" t="s">
        <v>2157</v>
      </c>
      <c r="L707" s="1" t="s">
        <v>2156</v>
      </c>
      <c r="M707" s="1" t="s">
        <v>2155</v>
      </c>
      <c r="N707" s="12"/>
      <c r="P707" s="1" t="s">
        <v>2118</v>
      </c>
      <c r="Q707" s="1" t="s">
        <v>780</v>
      </c>
      <c r="R707" s="1" t="s">
        <v>779</v>
      </c>
      <c r="S707" s="12" t="s">
        <v>2117</v>
      </c>
      <c r="T707" s="12" t="s">
        <v>2116</v>
      </c>
      <c r="U707" s="1">
        <v>1</v>
      </c>
      <c r="V707" s="12" t="s">
        <v>2077</v>
      </c>
      <c r="W707" s="12" t="s">
        <v>2154</v>
      </c>
      <c r="X707" s="12" t="s">
        <v>1620</v>
      </c>
      <c r="Y707" s="13">
        <v>45799</v>
      </c>
      <c r="Z707" s="12">
        <v>2025</v>
      </c>
      <c r="AA707" s="11">
        <v>1249225.55</v>
      </c>
      <c r="AB707" s="11"/>
      <c r="AC707" s="11">
        <v>1249225.55</v>
      </c>
      <c r="AD707" s="2"/>
      <c r="AG707" s="1" t="s">
        <v>21</v>
      </c>
      <c r="AI707" s="11">
        <v>1249225.55</v>
      </c>
      <c r="AK707" s="1"/>
    </row>
    <row r="708" spans="1:38" ht="15" customHeight="1" x14ac:dyDescent="0.2">
      <c r="A708" s="1" t="s">
        <v>19</v>
      </c>
      <c r="B708" s="5" t="s">
        <v>109</v>
      </c>
      <c r="C708" s="1" t="s">
        <v>37</v>
      </c>
      <c r="D708" s="1" t="s">
        <v>132</v>
      </c>
      <c r="E708" s="1" t="s">
        <v>35</v>
      </c>
      <c r="G708" s="1" t="s">
        <v>131</v>
      </c>
      <c r="H708" s="1" t="s">
        <v>130</v>
      </c>
      <c r="I708" s="1" t="s">
        <v>2153</v>
      </c>
      <c r="J708" s="1">
        <v>2021</v>
      </c>
      <c r="P708" s="1" t="s">
        <v>136</v>
      </c>
      <c r="Q708" s="1" t="s">
        <v>780</v>
      </c>
      <c r="R708" s="1" t="s">
        <v>779</v>
      </c>
      <c r="S708" s="1" t="s">
        <v>2107</v>
      </c>
      <c r="T708" s="1" t="s">
        <v>2106</v>
      </c>
      <c r="U708" s="1">
        <v>1</v>
      </c>
      <c r="V708" s="1" t="s">
        <v>2077</v>
      </c>
      <c r="Y708" s="3">
        <v>43471</v>
      </c>
      <c r="Z708" s="1">
        <v>2019</v>
      </c>
      <c r="AA708" s="2"/>
      <c r="AB708" s="2"/>
      <c r="AC708" s="2">
        <v>330552.99</v>
      </c>
      <c r="AG708" s="1" t="s">
        <v>21</v>
      </c>
      <c r="AI708" s="2">
        <v>330552.99</v>
      </c>
      <c r="AK708" s="1"/>
      <c r="AL708" s="1" t="s">
        <v>127</v>
      </c>
    </row>
    <row r="709" spans="1:38" ht="15" customHeight="1" x14ac:dyDescent="0.2">
      <c r="A709" s="1" t="s">
        <v>19</v>
      </c>
      <c r="B709" s="5" t="s">
        <v>109</v>
      </c>
      <c r="C709" s="1" t="s">
        <v>37</v>
      </c>
      <c r="D709" s="1" t="s">
        <v>132</v>
      </c>
      <c r="E709" s="1" t="s">
        <v>35</v>
      </c>
      <c r="G709" s="1" t="s">
        <v>131</v>
      </c>
      <c r="H709" s="1" t="s">
        <v>130</v>
      </c>
      <c r="I709" s="1" t="s">
        <v>2152</v>
      </c>
      <c r="J709" s="1">
        <v>2018</v>
      </c>
      <c r="P709" s="1" t="s">
        <v>136</v>
      </c>
      <c r="Q709" s="1" t="s">
        <v>780</v>
      </c>
      <c r="R709" s="1" t="s">
        <v>779</v>
      </c>
      <c r="S709" s="1" t="s">
        <v>2107</v>
      </c>
      <c r="T709" s="1" t="s">
        <v>2106</v>
      </c>
      <c r="U709" s="1">
        <v>1</v>
      </c>
      <c r="V709" s="1" t="s">
        <v>2077</v>
      </c>
      <c r="Y709" s="3">
        <v>43461</v>
      </c>
      <c r="Z709" s="1">
        <v>2018</v>
      </c>
      <c r="AA709" s="2"/>
      <c r="AB709" s="2"/>
      <c r="AC709" s="2">
        <v>571688.86999999988</v>
      </c>
      <c r="AG709" s="1" t="s">
        <v>21</v>
      </c>
      <c r="AI709" s="2">
        <v>571688.86999999988</v>
      </c>
      <c r="AK709" s="1"/>
      <c r="AL709" s="1" t="s">
        <v>127</v>
      </c>
    </row>
    <row r="710" spans="1:38" ht="15" customHeight="1" x14ac:dyDescent="0.2">
      <c r="A710" s="1" t="s">
        <v>19</v>
      </c>
      <c r="B710" s="5" t="s">
        <v>18</v>
      </c>
      <c r="C710" s="1" t="s">
        <v>37</v>
      </c>
      <c r="D710" s="1" t="s">
        <v>36</v>
      </c>
      <c r="E710" s="1" t="s">
        <v>35</v>
      </c>
      <c r="F710" s="1" t="s">
        <v>2131</v>
      </c>
      <c r="G710" s="1" t="s">
        <v>33</v>
      </c>
      <c r="H710" s="1" t="s">
        <v>2130</v>
      </c>
      <c r="I710" s="1" t="s">
        <v>2151</v>
      </c>
      <c r="J710" s="1">
        <v>2021</v>
      </c>
      <c r="K710" s="1" t="s">
        <v>2150</v>
      </c>
      <c r="L710" s="1" t="s">
        <v>2150</v>
      </c>
      <c r="M710" s="1" t="s">
        <v>2127</v>
      </c>
      <c r="P710" s="1" t="s">
        <v>2126</v>
      </c>
      <c r="Q710" s="1" t="s">
        <v>780</v>
      </c>
      <c r="R710" s="1" t="s">
        <v>779</v>
      </c>
      <c r="S710" s="20" t="s">
        <v>2085</v>
      </c>
      <c r="T710" s="1" t="s">
        <v>2084</v>
      </c>
      <c r="U710" s="1">
        <v>1</v>
      </c>
      <c r="V710" s="1" t="s">
        <v>2077</v>
      </c>
      <c r="W710" s="1" t="s">
        <v>2149</v>
      </c>
      <c r="Y710" s="3">
        <v>44363</v>
      </c>
      <c r="Z710" s="1">
        <v>2021</v>
      </c>
      <c r="AA710" s="2">
        <v>408000</v>
      </c>
      <c r="AB710" s="2"/>
      <c r="AC710" s="2">
        <v>408000</v>
      </c>
      <c r="AG710" s="1" t="s">
        <v>2123</v>
      </c>
      <c r="AI710" s="2">
        <v>408000</v>
      </c>
      <c r="AJ710" s="2">
        <v>6.99</v>
      </c>
      <c r="AK710" s="1"/>
      <c r="AL710" s="1" t="s">
        <v>2148</v>
      </c>
    </row>
    <row r="711" spans="1:38" ht="15" customHeight="1" x14ac:dyDescent="0.2">
      <c r="A711" s="1" t="s">
        <v>19</v>
      </c>
      <c r="B711" s="5" t="s">
        <v>18</v>
      </c>
      <c r="C711" s="1" t="s">
        <v>37</v>
      </c>
      <c r="D711" s="1" t="s">
        <v>36</v>
      </c>
      <c r="E711" s="1" t="s">
        <v>35</v>
      </c>
      <c r="F711" s="1" t="s">
        <v>2131</v>
      </c>
      <c r="G711" s="1" t="s">
        <v>33</v>
      </c>
      <c r="H711" s="1" t="s">
        <v>2130</v>
      </c>
      <c r="I711" s="1" t="s">
        <v>2147</v>
      </c>
      <c r="J711" s="1">
        <v>2021</v>
      </c>
      <c r="K711" s="1" t="s">
        <v>2143</v>
      </c>
      <c r="L711" s="1" t="s">
        <v>2143</v>
      </c>
      <c r="M711" s="1" t="s">
        <v>2127</v>
      </c>
      <c r="P711" s="1" t="s">
        <v>2126</v>
      </c>
      <c r="Q711" s="1" t="s">
        <v>780</v>
      </c>
      <c r="R711" s="1" t="s">
        <v>779</v>
      </c>
      <c r="S711" s="1" t="s">
        <v>2111</v>
      </c>
      <c r="T711" s="1" t="s">
        <v>2110</v>
      </c>
      <c r="U711" s="1">
        <v>1</v>
      </c>
      <c r="V711" s="1" t="s">
        <v>2077</v>
      </c>
      <c r="W711" s="1" t="s">
        <v>2146</v>
      </c>
      <c r="Y711" s="3">
        <v>44363</v>
      </c>
      <c r="Z711" s="1">
        <v>2021</v>
      </c>
      <c r="AA711" s="2">
        <v>2740687.54</v>
      </c>
      <c r="AB711" s="2"/>
      <c r="AC711" s="2">
        <v>2740687.54</v>
      </c>
      <c r="AG711" s="1" t="s">
        <v>2123</v>
      </c>
      <c r="AI711" s="2">
        <v>2740687.54</v>
      </c>
      <c r="AJ711" s="2">
        <v>21.18</v>
      </c>
      <c r="AK711" s="1"/>
      <c r="AL711" s="1" t="s">
        <v>2145</v>
      </c>
    </row>
    <row r="712" spans="1:38" ht="15" customHeight="1" x14ac:dyDescent="0.2">
      <c r="A712" s="1" t="s">
        <v>19</v>
      </c>
      <c r="B712" s="5" t="s">
        <v>18</v>
      </c>
      <c r="C712" s="1" t="s">
        <v>37</v>
      </c>
      <c r="D712" s="1" t="s">
        <v>36</v>
      </c>
      <c r="E712" s="1" t="s">
        <v>35</v>
      </c>
      <c r="F712" s="1" t="s">
        <v>2131</v>
      </c>
      <c r="G712" s="1" t="s">
        <v>33</v>
      </c>
      <c r="H712" s="1" t="s">
        <v>2130</v>
      </c>
      <c r="I712" s="1" t="s">
        <v>2144</v>
      </c>
      <c r="J712" s="1">
        <v>2021</v>
      </c>
      <c r="K712" s="1" t="s">
        <v>2143</v>
      </c>
      <c r="L712" s="1" t="s">
        <v>2143</v>
      </c>
      <c r="M712" s="1" t="s">
        <v>2127</v>
      </c>
      <c r="P712" s="1" t="s">
        <v>2126</v>
      </c>
      <c r="Q712" s="1" t="s">
        <v>780</v>
      </c>
      <c r="R712" s="1" t="s">
        <v>779</v>
      </c>
      <c r="S712" s="1" t="s">
        <v>2111</v>
      </c>
      <c r="T712" s="1" t="s">
        <v>2110</v>
      </c>
      <c r="U712" s="1">
        <v>1</v>
      </c>
      <c r="V712" s="1" t="s">
        <v>2077</v>
      </c>
      <c r="W712" s="1" t="s">
        <v>2142</v>
      </c>
      <c r="Y712" s="3">
        <v>44363</v>
      </c>
      <c r="Z712" s="1">
        <v>2021</v>
      </c>
      <c r="AA712" s="2">
        <v>408000</v>
      </c>
      <c r="AB712" s="2"/>
      <c r="AC712" s="2">
        <v>408000</v>
      </c>
      <c r="AG712" s="1" t="s">
        <v>2123</v>
      </c>
      <c r="AI712" s="2">
        <v>408000</v>
      </c>
      <c r="AJ712" s="2">
        <v>3.16</v>
      </c>
      <c r="AK712" s="1"/>
      <c r="AL712" s="1" t="s">
        <v>2141</v>
      </c>
    </row>
    <row r="713" spans="1:38" ht="15" customHeight="1" x14ac:dyDescent="0.2">
      <c r="A713" s="1" t="s">
        <v>19</v>
      </c>
      <c r="B713" s="5" t="s">
        <v>18</v>
      </c>
      <c r="C713" s="1" t="s">
        <v>37</v>
      </c>
      <c r="D713" s="1" t="s">
        <v>36</v>
      </c>
      <c r="E713" s="1" t="s">
        <v>35</v>
      </c>
      <c r="F713" s="1" t="s">
        <v>2131</v>
      </c>
      <c r="G713" s="1" t="s">
        <v>33</v>
      </c>
      <c r="H713" s="1" t="s">
        <v>2130</v>
      </c>
      <c r="I713" s="1" t="s">
        <v>2140</v>
      </c>
      <c r="J713" s="1">
        <v>2021</v>
      </c>
      <c r="K713" s="1" t="s">
        <v>2136</v>
      </c>
      <c r="L713" s="1" t="s">
        <v>2136</v>
      </c>
      <c r="M713" s="1" t="s">
        <v>2127</v>
      </c>
      <c r="P713" s="1" t="s">
        <v>2126</v>
      </c>
      <c r="Q713" s="1" t="s">
        <v>780</v>
      </c>
      <c r="R713" s="1" t="s">
        <v>779</v>
      </c>
      <c r="S713" s="20" t="s">
        <v>2135</v>
      </c>
      <c r="T713" s="1" t="s">
        <v>2134</v>
      </c>
      <c r="U713" s="1">
        <v>1</v>
      </c>
      <c r="V713" s="1" t="s">
        <v>2077</v>
      </c>
      <c r="W713" s="1" t="s">
        <v>2139</v>
      </c>
      <c r="Y713" s="3">
        <v>44363</v>
      </c>
      <c r="Z713" s="1">
        <v>2021</v>
      </c>
      <c r="AA713" s="2">
        <v>306000</v>
      </c>
      <c r="AB713" s="2"/>
      <c r="AC713" s="2">
        <v>306000</v>
      </c>
      <c r="AG713" s="1" t="s">
        <v>2123</v>
      </c>
      <c r="AI713" s="2">
        <v>306000</v>
      </c>
      <c r="AJ713" s="2">
        <v>2.08</v>
      </c>
      <c r="AK713" s="1"/>
      <c r="AL713" s="1" t="s">
        <v>2138</v>
      </c>
    </row>
    <row r="714" spans="1:38" ht="15" customHeight="1" x14ac:dyDescent="0.2">
      <c r="A714" s="1" t="s">
        <v>19</v>
      </c>
      <c r="B714" s="5" t="s">
        <v>18</v>
      </c>
      <c r="C714" s="1" t="s">
        <v>37</v>
      </c>
      <c r="D714" s="1" t="s">
        <v>36</v>
      </c>
      <c r="E714" s="1" t="s">
        <v>35</v>
      </c>
      <c r="F714" s="1" t="s">
        <v>2131</v>
      </c>
      <c r="G714" s="1" t="s">
        <v>33</v>
      </c>
      <c r="H714" s="1" t="s">
        <v>2130</v>
      </c>
      <c r="I714" s="1" t="s">
        <v>2137</v>
      </c>
      <c r="J714" s="1">
        <v>2021</v>
      </c>
      <c r="K714" s="1" t="s">
        <v>2136</v>
      </c>
      <c r="L714" s="1" t="s">
        <v>2136</v>
      </c>
      <c r="M714" s="1" t="s">
        <v>2127</v>
      </c>
      <c r="P714" s="1" t="s">
        <v>2126</v>
      </c>
      <c r="Q714" s="1" t="s">
        <v>780</v>
      </c>
      <c r="R714" s="1" t="s">
        <v>779</v>
      </c>
      <c r="S714" s="20" t="s">
        <v>2135</v>
      </c>
      <c r="T714" s="1" t="s">
        <v>2134</v>
      </c>
      <c r="U714" s="1">
        <v>1</v>
      </c>
      <c r="V714" s="1" t="s">
        <v>2077</v>
      </c>
      <c r="W714" s="1" t="s">
        <v>2133</v>
      </c>
      <c r="Y714" s="3">
        <v>44363</v>
      </c>
      <c r="Z714" s="1">
        <v>2021</v>
      </c>
      <c r="AA714" s="2">
        <v>1278639</v>
      </c>
      <c r="AB714" s="2"/>
      <c r="AC714" s="2">
        <v>1278639</v>
      </c>
      <c r="AG714" s="1" t="s">
        <v>2123</v>
      </c>
      <c r="AI714" s="2">
        <v>1278639</v>
      </c>
      <c r="AJ714" s="2">
        <v>18.89</v>
      </c>
      <c r="AK714" s="1"/>
      <c r="AL714" s="1" t="s">
        <v>2132</v>
      </c>
    </row>
    <row r="715" spans="1:38" ht="15" customHeight="1" x14ac:dyDescent="0.2">
      <c r="A715" s="1" t="s">
        <v>19</v>
      </c>
      <c r="B715" s="5" t="s">
        <v>18</v>
      </c>
      <c r="C715" s="1" t="s">
        <v>37</v>
      </c>
      <c r="D715" s="1" t="s">
        <v>36</v>
      </c>
      <c r="E715" s="1" t="s">
        <v>35</v>
      </c>
      <c r="F715" s="1" t="s">
        <v>2131</v>
      </c>
      <c r="G715" s="1" t="s">
        <v>33</v>
      </c>
      <c r="H715" s="1" t="s">
        <v>2130</v>
      </c>
      <c r="I715" s="1" t="s">
        <v>2129</v>
      </c>
      <c r="J715" s="1">
        <v>2021</v>
      </c>
      <c r="K715" s="1" t="s">
        <v>2128</v>
      </c>
      <c r="L715" s="1" t="s">
        <v>2128</v>
      </c>
      <c r="M715" s="1" t="s">
        <v>2127</v>
      </c>
      <c r="P715" s="1" t="s">
        <v>2126</v>
      </c>
      <c r="Q715" s="1" t="s">
        <v>780</v>
      </c>
      <c r="R715" s="1" t="s">
        <v>779</v>
      </c>
      <c r="S715" s="1" t="s">
        <v>2125</v>
      </c>
      <c r="T715" s="1" t="s">
        <v>2119</v>
      </c>
      <c r="U715" s="1">
        <v>1</v>
      </c>
      <c r="V715" s="1" t="s">
        <v>2077</v>
      </c>
      <c r="W715" s="1" t="s">
        <v>2124</v>
      </c>
      <c r="Y715" s="3">
        <v>44363</v>
      </c>
      <c r="Z715" s="1">
        <v>2021</v>
      </c>
      <c r="AA715" s="2">
        <v>2571480.5099999998</v>
      </c>
      <c r="AB715" s="2"/>
      <c r="AC715" s="2">
        <v>2571480.5099999998</v>
      </c>
      <c r="AG715" s="1" t="s">
        <v>2123</v>
      </c>
      <c r="AI715" s="2">
        <v>2571480.5099999998</v>
      </c>
      <c r="AJ715" s="2">
        <v>25.59</v>
      </c>
      <c r="AK715" s="1"/>
      <c r="AL715" s="1" t="s">
        <v>2122</v>
      </c>
    </row>
    <row r="716" spans="1:38" ht="15" customHeight="1" x14ac:dyDescent="0.2">
      <c r="A716" s="1" t="s">
        <v>19</v>
      </c>
      <c r="B716" s="5" t="s">
        <v>18</v>
      </c>
      <c r="C716" s="1" t="s">
        <v>37</v>
      </c>
      <c r="D716" s="1" t="s">
        <v>63</v>
      </c>
      <c r="E716" s="1" t="s">
        <v>35</v>
      </c>
      <c r="F716" s="1" t="s">
        <v>62</v>
      </c>
      <c r="G716" s="1" t="s">
        <v>61</v>
      </c>
      <c r="H716" s="1" t="s">
        <v>60</v>
      </c>
      <c r="I716" s="1" t="s">
        <v>1878</v>
      </c>
      <c r="J716" s="1">
        <v>2020</v>
      </c>
      <c r="K716" s="1" t="s">
        <v>1877</v>
      </c>
      <c r="L716" s="1" t="s">
        <v>1876</v>
      </c>
      <c r="P716" s="1" t="s">
        <v>2121</v>
      </c>
      <c r="Q716" s="1" t="s">
        <v>780</v>
      </c>
      <c r="R716" s="1" t="s">
        <v>779</v>
      </c>
      <c r="S716" s="1" t="s">
        <v>2120</v>
      </c>
      <c r="T716" s="1" t="s">
        <v>2119</v>
      </c>
      <c r="U716" s="1">
        <v>1</v>
      </c>
      <c r="V716" s="1" t="s">
        <v>2077</v>
      </c>
      <c r="W716" s="1" t="s">
        <v>1876</v>
      </c>
      <c r="X716" s="1" t="s">
        <v>52</v>
      </c>
      <c r="Y716" s="3">
        <v>44127</v>
      </c>
      <c r="Z716" s="1">
        <v>2020</v>
      </c>
      <c r="AA716" s="2">
        <v>140282.76999999999</v>
      </c>
      <c r="AB716" s="2"/>
      <c r="AC716" s="2">
        <v>105212.07749999998</v>
      </c>
      <c r="AD716" s="1">
        <v>0</v>
      </c>
      <c r="AG716" s="1" t="s">
        <v>21</v>
      </c>
      <c r="AH716" s="1" t="s">
        <v>51</v>
      </c>
      <c r="AI716" s="2">
        <v>105212.07749999998</v>
      </c>
      <c r="AK716" s="1"/>
      <c r="AL716" s="1" t="s">
        <v>88</v>
      </c>
    </row>
    <row r="717" spans="1:38" ht="15" customHeight="1" x14ac:dyDescent="0.2">
      <c r="A717" s="1" t="s">
        <v>19</v>
      </c>
      <c r="B717" s="5" t="s">
        <v>18</v>
      </c>
      <c r="C717" s="1" t="s">
        <v>37</v>
      </c>
      <c r="D717" s="1" t="s">
        <v>63</v>
      </c>
      <c r="E717" s="1" t="s">
        <v>35</v>
      </c>
      <c r="F717" s="1" t="s">
        <v>62</v>
      </c>
      <c r="G717" s="1" t="s">
        <v>61</v>
      </c>
      <c r="H717" s="1" t="s">
        <v>60</v>
      </c>
      <c r="I717" s="1" t="s">
        <v>1878</v>
      </c>
      <c r="J717" s="1">
        <v>2020</v>
      </c>
      <c r="K717" s="1" t="s">
        <v>1877</v>
      </c>
      <c r="L717" s="1" t="s">
        <v>1876</v>
      </c>
      <c r="P717" s="1" t="s">
        <v>2086</v>
      </c>
      <c r="Q717" s="1" t="s">
        <v>780</v>
      </c>
      <c r="R717" s="1" t="s">
        <v>779</v>
      </c>
      <c r="S717" s="20" t="s">
        <v>2085</v>
      </c>
      <c r="T717" s="1" t="s">
        <v>2084</v>
      </c>
      <c r="U717" s="1">
        <v>1</v>
      </c>
      <c r="V717" s="1" t="s">
        <v>2077</v>
      </c>
      <c r="W717" s="1" t="s">
        <v>1876</v>
      </c>
      <c r="X717" s="1" t="s">
        <v>52</v>
      </c>
      <c r="Y717" s="3">
        <v>44127</v>
      </c>
      <c r="Z717" s="1">
        <v>2020</v>
      </c>
      <c r="AA717" s="2">
        <v>203934.52</v>
      </c>
      <c r="AB717" s="2"/>
      <c r="AC717" s="2">
        <v>152950.88999999998</v>
      </c>
      <c r="AD717" s="1">
        <v>0</v>
      </c>
      <c r="AG717" s="1" t="s">
        <v>21</v>
      </c>
      <c r="AH717" s="1" t="s">
        <v>51</v>
      </c>
      <c r="AI717" s="2">
        <v>152950.88999999998</v>
      </c>
      <c r="AK717" s="1"/>
      <c r="AL717" s="1" t="s">
        <v>88</v>
      </c>
    </row>
    <row r="718" spans="1:38" ht="15" customHeight="1" x14ac:dyDescent="0.2">
      <c r="A718" s="1" t="s">
        <v>19</v>
      </c>
      <c r="B718" s="5" t="s">
        <v>18</v>
      </c>
      <c r="C718" s="1" t="s">
        <v>37</v>
      </c>
      <c r="D718" s="1" t="s">
        <v>63</v>
      </c>
      <c r="E718" s="1" t="s">
        <v>35</v>
      </c>
      <c r="F718" s="1" t="s">
        <v>62</v>
      </c>
      <c r="G718" s="1" t="s">
        <v>61</v>
      </c>
      <c r="H718" s="1" t="s">
        <v>60</v>
      </c>
      <c r="I718" s="1" t="s">
        <v>1878</v>
      </c>
      <c r="J718" s="1">
        <v>2020</v>
      </c>
      <c r="K718" s="1" t="s">
        <v>1877</v>
      </c>
      <c r="L718" s="1" t="s">
        <v>1876</v>
      </c>
      <c r="P718" s="1" t="s">
        <v>2118</v>
      </c>
      <c r="Q718" s="1" t="s">
        <v>780</v>
      </c>
      <c r="R718" s="1" t="s">
        <v>779</v>
      </c>
      <c r="S718" s="1" t="s">
        <v>2117</v>
      </c>
      <c r="T718" s="1" t="s">
        <v>2116</v>
      </c>
      <c r="U718" s="1">
        <v>1</v>
      </c>
      <c r="V718" s="1" t="s">
        <v>2077</v>
      </c>
      <c r="W718" s="1" t="s">
        <v>1876</v>
      </c>
      <c r="X718" s="1" t="s">
        <v>52</v>
      </c>
      <c r="Y718" s="3">
        <v>44127</v>
      </c>
      <c r="Z718" s="1">
        <v>2020</v>
      </c>
      <c r="AA718" s="2">
        <v>555885.76</v>
      </c>
      <c r="AB718" s="2"/>
      <c r="AC718" s="2">
        <v>416914.32</v>
      </c>
      <c r="AD718" s="1">
        <v>0</v>
      </c>
      <c r="AG718" s="1" t="s">
        <v>21</v>
      </c>
      <c r="AH718" s="1" t="s">
        <v>51</v>
      </c>
      <c r="AI718" s="2">
        <v>416914.32</v>
      </c>
      <c r="AK718" s="1"/>
      <c r="AL718" s="1" t="s">
        <v>88</v>
      </c>
    </row>
    <row r="719" spans="1:38" ht="15" customHeight="1" x14ac:dyDescent="0.2">
      <c r="A719" s="1" t="s">
        <v>19</v>
      </c>
      <c r="B719" s="5" t="s">
        <v>18</v>
      </c>
      <c r="C719" s="1" t="s">
        <v>37</v>
      </c>
      <c r="D719" s="1" t="s">
        <v>63</v>
      </c>
      <c r="E719" s="1" t="s">
        <v>35</v>
      </c>
      <c r="F719" s="1" t="s">
        <v>62</v>
      </c>
      <c r="G719" s="1" t="s">
        <v>61</v>
      </c>
      <c r="H719" s="1" t="s">
        <v>60</v>
      </c>
      <c r="I719" s="1" t="s">
        <v>1878</v>
      </c>
      <c r="J719" s="1">
        <v>2020</v>
      </c>
      <c r="K719" s="1" t="s">
        <v>1877</v>
      </c>
      <c r="L719" s="1" t="s">
        <v>1876</v>
      </c>
      <c r="P719" s="1" t="s">
        <v>2108</v>
      </c>
      <c r="Q719" s="1" t="s">
        <v>780</v>
      </c>
      <c r="R719" s="1" t="s">
        <v>779</v>
      </c>
      <c r="S719" s="1" t="s">
        <v>2107</v>
      </c>
      <c r="T719" s="1" t="s">
        <v>2106</v>
      </c>
      <c r="U719" s="1">
        <v>1</v>
      </c>
      <c r="V719" s="1" t="s">
        <v>2077</v>
      </c>
      <c r="W719" s="1" t="s">
        <v>1876</v>
      </c>
      <c r="X719" s="1" t="s">
        <v>52</v>
      </c>
      <c r="Y719" s="3">
        <v>44127</v>
      </c>
      <c r="Z719" s="1">
        <v>2020</v>
      </c>
      <c r="AA719" s="2">
        <v>944286.25</v>
      </c>
      <c r="AB719" s="2"/>
      <c r="AC719" s="2">
        <v>708214.6875</v>
      </c>
      <c r="AD719" s="1">
        <v>0</v>
      </c>
      <c r="AG719" s="1" t="s">
        <v>21</v>
      </c>
      <c r="AH719" s="1" t="s">
        <v>51</v>
      </c>
      <c r="AI719" s="2">
        <v>708214.6875</v>
      </c>
      <c r="AK719" s="1"/>
      <c r="AL719" s="1" t="s">
        <v>88</v>
      </c>
    </row>
    <row r="720" spans="1:38" ht="15" customHeight="1" x14ac:dyDescent="0.2">
      <c r="A720" s="1" t="s">
        <v>19</v>
      </c>
      <c r="B720" s="5" t="s">
        <v>18</v>
      </c>
      <c r="C720" s="1" t="s">
        <v>37</v>
      </c>
      <c r="D720" s="1" t="s">
        <v>63</v>
      </c>
      <c r="E720" s="1" t="s">
        <v>35</v>
      </c>
      <c r="F720" s="1" t="s">
        <v>62</v>
      </c>
      <c r="G720" s="1" t="s">
        <v>61</v>
      </c>
      <c r="H720" s="1" t="s">
        <v>60</v>
      </c>
      <c r="I720" s="1" t="s">
        <v>783</v>
      </c>
      <c r="J720" s="1">
        <v>2020</v>
      </c>
      <c r="K720" s="1" t="s">
        <v>782</v>
      </c>
      <c r="L720" s="1" t="s">
        <v>2115</v>
      </c>
      <c r="M720" s="38"/>
      <c r="P720" s="1" t="s">
        <v>2114</v>
      </c>
      <c r="Q720" s="1" t="s">
        <v>780</v>
      </c>
      <c r="R720" s="1" t="s">
        <v>779</v>
      </c>
      <c r="S720" s="1" t="s">
        <v>2107</v>
      </c>
      <c r="T720" s="1" t="s">
        <v>2106</v>
      </c>
      <c r="U720" s="1">
        <v>1</v>
      </c>
      <c r="V720" s="1" t="s">
        <v>2077</v>
      </c>
      <c r="W720" s="1" t="s">
        <v>776</v>
      </c>
      <c r="X720" s="1" t="s">
        <v>52</v>
      </c>
      <c r="Y720" s="3">
        <v>44127</v>
      </c>
      <c r="Z720" s="1">
        <v>2020</v>
      </c>
      <c r="AA720" s="2">
        <v>67124.02</v>
      </c>
      <c r="AB720" s="2"/>
      <c r="AC720" s="2">
        <v>50343.014999999999</v>
      </c>
      <c r="AD720" s="1">
        <v>0</v>
      </c>
      <c r="AG720" s="1" t="s">
        <v>21</v>
      </c>
      <c r="AH720" s="1" t="s">
        <v>65</v>
      </c>
      <c r="AI720" s="2">
        <v>50343.014999999999</v>
      </c>
      <c r="AK720" s="1"/>
    </row>
    <row r="721" spans="1:38" ht="15" customHeight="1" x14ac:dyDescent="0.2">
      <c r="A721" s="1" t="s">
        <v>19</v>
      </c>
      <c r="B721" s="5" t="s">
        <v>18</v>
      </c>
      <c r="C721" s="1" t="s">
        <v>37</v>
      </c>
      <c r="D721" s="1" t="s">
        <v>63</v>
      </c>
      <c r="E721" s="1" t="s">
        <v>35</v>
      </c>
      <c r="F721" s="1" t="s">
        <v>62</v>
      </c>
      <c r="G721" s="1" t="s">
        <v>61</v>
      </c>
      <c r="H721" s="1" t="s">
        <v>60</v>
      </c>
      <c r="I721" s="1" t="s">
        <v>783</v>
      </c>
      <c r="J721" s="1">
        <v>2020</v>
      </c>
      <c r="K721" s="1" t="s">
        <v>782</v>
      </c>
      <c r="L721" s="1" t="s">
        <v>2113</v>
      </c>
      <c r="P721" s="1" t="s">
        <v>2112</v>
      </c>
      <c r="Q721" s="1" t="s">
        <v>780</v>
      </c>
      <c r="R721" s="1" t="s">
        <v>779</v>
      </c>
      <c r="S721" s="1" t="s">
        <v>2111</v>
      </c>
      <c r="T721" s="1" t="s">
        <v>2110</v>
      </c>
      <c r="U721" s="1">
        <v>1</v>
      </c>
      <c r="V721" s="1" t="s">
        <v>2077</v>
      </c>
      <c r="W721" s="1" t="s">
        <v>776</v>
      </c>
      <c r="X721" s="1" t="s">
        <v>52</v>
      </c>
      <c r="Y721" s="3">
        <v>44127</v>
      </c>
      <c r="Z721" s="1">
        <v>2020</v>
      </c>
      <c r="AA721" s="2">
        <v>84384.49</v>
      </c>
      <c r="AB721" s="2"/>
      <c r="AC721" s="2">
        <v>63288.367500000008</v>
      </c>
      <c r="AD721" s="1">
        <v>0</v>
      </c>
      <c r="AG721" s="1" t="s">
        <v>21</v>
      </c>
      <c r="AH721" s="1" t="s">
        <v>65</v>
      </c>
      <c r="AI721" s="2">
        <v>63288.367500000008</v>
      </c>
      <c r="AK721" s="1"/>
    </row>
    <row r="722" spans="1:38" ht="15" customHeight="1" x14ac:dyDescent="0.2">
      <c r="A722" s="1" t="s">
        <v>19</v>
      </c>
      <c r="B722" s="5" t="s">
        <v>18</v>
      </c>
      <c r="C722" s="1" t="s">
        <v>37</v>
      </c>
      <c r="D722" s="1" t="s">
        <v>63</v>
      </c>
      <c r="E722" s="1" t="s">
        <v>35</v>
      </c>
      <c r="F722" s="1" t="s">
        <v>62</v>
      </c>
      <c r="G722" s="1" t="s">
        <v>61</v>
      </c>
      <c r="H722" s="1" t="s">
        <v>60</v>
      </c>
      <c r="I722" s="1" t="s">
        <v>1871</v>
      </c>
      <c r="J722" s="1">
        <v>2020</v>
      </c>
      <c r="K722" s="1" t="s">
        <v>1869</v>
      </c>
      <c r="L722" s="1" t="s">
        <v>2109</v>
      </c>
      <c r="P722" s="1" t="s">
        <v>2108</v>
      </c>
      <c r="Q722" s="1" t="s">
        <v>780</v>
      </c>
      <c r="R722" s="1" t="s">
        <v>779</v>
      </c>
      <c r="S722" s="1" t="s">
        <v>2107</v>
      </c>
      <c r="T722" s="1" t="s">
        <v>2106</v>
      </c>
      <c r="U722" s="1">
        <v>1</v>
      </c>
      <c r="V722" s="1" t="s">
        <v>2077</v>
      </c>
      <c r="W722" s="1" t="s">
        <v>1869</v>
      </c>
      <c r="X722" s="1" t="s">
        <v>52</v>
      </c>
      <c r="Y722" s="3">
        <v>44127</v>
      </c>
      <c r="Z722" s="1">
        <v>2020</v>
      </c>
      <c r="AA722" s="2">
        <v>117176.18</v>
      </c>
      <c r="AB722" s="2"/>
      <c r="AC722" s="2">
        <v>87882.134999999995</v>
      </c>
      <c r="AD722" s="1">
        <v>0</v>
      </c>
      <c r="AG722" s="1" t="s">
        <v>21</v>
      </c>
      <c r="AH722" s="1" t="s">
        <v>65</v>
      </c>
      <c r="AI722" s="2">
        <v>87882.134999999995</v>
      </c>
      <c r="AK722" s="1"/>
      <c r="AL722" s="1" t="s">
        <v>1868</v>
      </c>
    </row>
    <row r="723" spans="1:38" ht="15" customHeight="1" x14ac:dyDescent="0.2">
      <c r="A723" s="1" t="s">
        <v>19</v>
      </c>
      <c r="B723" s="5" t="s">
        <v>18</v>
      </c>
      <c r="C723" s="1" t="s">
        <v>37</v>
      </c>
      <c r="D723" s="1" t="s">
        <v>63</v>
      </c>
      <c r="E723" s="1" t="s">
        <v>35</v>
      </c>
      <c r="F723" s="1" t="s">
        <v>62</v>
      </c>
      <c r="G723" s="1" t="s">
        <v>61</v>
      </c>
      <c r="H723" s="1" t="s">
        <v>60</v>
      </c>
      <c r="I723" s="1" t="s">
        <v>2105</v>
      </c>
      <c r="J723" s="1">
        <v>2021</v>
      </c>
      <c r="K723" s="1" t="s">
        <v>2104</v>
      </c>
      <c r="L723" s="1" t="s">
        <v>2103</v>
      </c>
      <c r="M723" s="1" t="s">
        <v>2102</v>
      </c>
      <c r="P723" s="1" t="s">
        <v>2101</v>
      </c>
      <c r="Q723" s="1" t="s">
        <v>780</v>
      </c>
      <c r="R723" s="1" t="s">
        <v>779</v>
      </c>
      <c r="S723" s="1" t="s">
        <v>2100</v>
      </c>
      <c r="T723" s="1" t="s">
        <v>2099</v>
      </c>
      <c r="U723" s="1">
        <v>1</v>
      </c>
      <c r="V723" s="1" t="s">
        <v>2077</v>
      </c>
      <c r="W723" s="1" t="s">
        <v>2098</v>
      </c>
      <c r="X723" s="1" t="s">
        <v>430</v>
      </c>
      <c r="Y723" s="3">
        <v>44551</v>
      </c>
      <c r="Z723" s="1">
        <v>2021</v>
      </c>
      <c r="AA723" s="2">
        <v>2764693.41</v>
      </c>
      <c r="AB723" s="2"/>
      <c r="AC723" s="2">
        <v>2073520.06</v>
      </c>
      <c r="AD723" s="1">
        <v>2</v>
      </c>
      <c r="AF723" s="1">
        <v>9</v>
      </c>
      <c r="AG723" s="1" t="s">
        <v>21</v>
      </c>
      <c r="AH723" s="1" t="s">
        <v>51</v>
      </c>
      <c r="AI723" s="2">
        <v>2073520.06</v>
      </c>
      <c r="AK723" s="1"/>
      <c r="AL723" s="1" t="s">
        <v>1859</v>
      </c>
    </row>
    <row r="724" spans="1:38" ht="15" customHeight="1" x14ac:dyDescent="0.2">
      <c r="A724" s="1" t="s">
        <v>19</v>
      </c>
      <c r="B724" s="5" t="s">
        <v>109</v>
      </c>
      <c r="C724" s="1" t="s">
        <v>37</v>
      </c>
      <c r="D724" s="1" t="s">
        <v>63</v>
      </c>
      <c r="E724" s="1" t="s">
        <v>35</v>
      </c>
      <c r="F724" s="1" t="s">
        <v>62</v>
      </c>
      <c r="G724" s="1" t="s">
        <v>61</v>
      </c>
      <c r="H724" s="1" t="s">
        <v>60</v>
      </c>
      <c r="I724" s="1" t="s">
        <v>2097</v>
      </c>
      <c r="J724" s="1">
        <v>2021</v>
      </c>
      <c r="K724" s="1" t="s">
        <v>2091</v>
      </c>
      <c r="L724" s="1" t="s">
        <v>2096</v>
      </c>
      <c r="M724" s="1" t="s">
        <v>2095</v>
      </c>
      <c r="P724" s="1" t="s">
        <v>2094</v>
      </c>
      <c r="Q724" s="1" t="s">
        <v>780</v>
      </c>
      <c r="R724" s="1" t="s">
        <v>779</v>
      </c>
      <c r="S724" s="1" t="s">
        <v>2093</v>
      </c>
      <c r="T724" s="1" t="s">
        <v>2092</v>
      </c>
      <c r="U724" s="1">
        <v>1</v>
      </c>
      <c r="V724" s="1" t="s">
        <v>2077</v>
      </c>
      <c r="W724" s="1" t="s">
        <v>2091</v>
      </c>
      <c r="X724" s="1" t="s">
        <v>430</v>
      </c>
      <c r="Y724" s="3">
        <v>44559</v>
      </c>
      <c r="Z724" s="1">
        <v>2021</v>
      </c>
      <c r="AA724" s="2">
        <v>94868.86</v>
      </c>
      <c r="AB724" s="2"/>
      <c r="AC724" s="2">
        <v>71151.649999999994</v>
      </c>
      <c r="AD724" s="1">
        <v>0.5</v>
      </c>
      <c r="AG724" s="1" t="s">
        <v>106</v>
      </c>
      <c r="AH724" s="1" t="s">
        <v>794</v>
      </c>
      <c r="AI724" s="2">
        <v>0</v>
      </c>
      <c r="AK724" s="1"/>
      <c r="AL724" s="1" t="s">
        <v>88</v>
      </c>
    </row>
    <row r="725" spans="1:38" ht="15" customHeight="1" x14ac:dyDescent="0.2">
      <c r="A725" s="1" t="s">
        <v>19</v>
      </c>
      <c r="B725" s="5" t="s">
        <v>18</v>
      </c>
      <c r="C725" s="1" t="s">
        <v>37</v>
      </c>
      <c r="D725" s="1" t="s">
        <v>63</v>
      </c>
      <c r="E725" s="1" t="s">
        <v>35</v>
      </c>
      <c r="F725" s="1" t="s">
        <v>62</v>
      </c>
      <c r="G725" s="1" t="s">
        <v>61</v>
      </c>
      <c r="H725" s="1" t="s">
        <v>509</v>
      </c>
      <c r="I725" s="1" t="s">
        <v>2090</v>
      </c>
      <c r="J725" s="1">
        <v>2021</v>
      </c>
      <c r="K725" s="1" t="s">
        <v>2089</v>
      </c>
      <c r="L725" s="1" t="s">
        <v>2088</v>
      </c>
      <c r="M725" s="1" t="s">
        <v>2087</v>
      </c>
      <c r="P725" s="1" t="s">
        <v>2086</v>
      </c>
      <c r="Q725" s="1" t="s">
        <v>780</v>
      </c>
      <c r="R725" s="1" t="s">
        <v>779</v>
      </c>
      <c r="S725" s="1" t="s">
        <v>2085</v>
      </c>
      <c r="T725" s="1" t="s">
        <v>2084</v>
      </c>
      <c r="U725" s="1">
        <v>1</v>
      </c>
      <c r="V725" s="1" t="s">
        <v>2077</v>
      </c>
      <c r="W725" s="1" t="s">
        <v>2083</v>
      </c>
      <c r="X725" s="1" t="s">
        <v>430</v>
      </c>
      <c r="Y725" s="3">
        <v>44559</v>
      </c>
      <c r="Z725" s="1">
        <v>2021</v>
      </c>
      <c r="AA725" s="2">
        <v>688913.51</v>
      </c>
      <c r="AB725" s="2"/>
      <c r="AC725" s="2">
        <v>516685.13250000001</v>
      </c>
      <c r="AD725" s="1">
        <v>0.5</v>
      </c>
      <c r="AG725" s="1" t="s">
        <v>21</v>
      </c>
      <c r="AH725" s="1" t="s">
        <v>51</v>
      </c>
      <c r="AI725" s="2">
        <v>516685.13250000001</v>
      </c>
      <c r="AK725" s="1"/>
      <c r="AL725" s="1" t="s">
        <v>2082</v>
      </c>
    </row>
    <row r="726" spans="1:38" ht="15" customHeight="1" x14ac:dyDescent="0.2">
      <c r="A726" s="1" t="s">
        <v>19</v>
      </c>
      <c r="B726" s="5" t="s">
        <v>109</v>
      </c>
      <c r="C726" s="1" t="s">
        <v>37</v>
      </c>
      <c r="D726" s="1" t="s">
        <v>63</v>
      </c>
      <c r="E726" s="1" t="s">
        <v>35</v>
      </c>
      <c r="G726" s="1" t="s">
        <v>1619</v>
      </c>
      <c r="H726" s="1" t="s">
        <v>130</v>
      </c>
      <c r="I726" s="1" t="s">
        <v>2081</v>
      </c>
      <c r="J726" s="1">
        <v>2020</v>
      </c>
      <c r="K726" s="1" t="s">
        <v>2076</v>
      </c>
      <c r="P726" s="1" t="s">
        <v>2080</v>
      </c>
      <c r="Q726" s="1" t="s">
        <v>780</v>
      </c>
      <c r="R726" s="1" t="s">
        <v>779</v>
      </c>
      <c r="S726" s="1" t="s">
        <v>2079</v>
      </c>
      <c r="T726" s="1" t="s">
        <v>2078</v>
      </c>
      <c r="U726" s="1">
        <v>2</v>
      </c>
      <c r="V726" s="1" t="s">
        <v>2077</v>
      </c>
      <c r="W726" s="1" t="s">
        <v>2076</v>
      </c>
      <c r="X726" s="1" t="s">
        <v>667</v>
      </c>
      <c r="Y726" s="3">
        <v>44337</v>
      </c>
      <c r="Z726" s="1">
        <v>2021</v>
      </c>
      <c r="AA726" s="2">
        <v>1000000</v>
      </c>
      <c r="AB726" s="2"/>
      <c r="AC726" s="2">
        <v>500000</v>
      </c>
      <c r="AD726" s="1">
        <v>20</v>
      </c>
      <c r="AE726" s="1">
        <v>18</v>
      </c>
      <c r="AG726" s="1" t="s">
        <v>106</v>
      </c>
      <c r="AH726" s="1" t="s">
        <v>2075</v>
      </c>
      <c r="AI726" s="2">
        <v>0</v>
      </c>
      <c r="AK726" s="1">
        <v>20</v>
      </c>
      <c r="AL726" s="1" t="s">
        <v>2074</v>
      </c>
    </row>
    <row r="727" spans="1:38" ht="15" customHeight="1" x14ac:dyDescent="0.2">
      <c r="A727" s="1" t="s">
        <v>19</v>
      </c>
      <c r="B727" s="5" t="s">
        <v>18</v>
      </c>
      <c r="C727" s="1" t="s">
        <v>17</v>
      </c>
      <c r="D727" s="1" t="s">
        <v>16</v>
      </c>
      <c r="E727" s="1" t="s">
        <v>35</v>
      </c>
      <c r="F727" s="1" t="s">
        <v>2073</v>
      </c>
      <c r="G727" s="1" t="s">
        <v>2072</v>
      </c>
      <c r="H727" s="1" t="s">
        <v>12</v>
      </c>
      <c r="I727" s="1" t="s">
        <v>2071</v>
      </c>
      <c r="J727" s="1">
        <v>2024</v>
      </c>
      <c r="K727" s="1" t="s">
        <v>2070</v>
      </c>
      <c r="L727" s="1" t="s">
        <v>2069</v>
      </c>
      <c r="M727" s="1" t="s">
        <v>2068</v>
      </c>
      <c r="P727" s="1" t="s">
        <v>2067</v>
      </c>
      <c r="Q727" s="1" t="s">
        <v>780</v>
      </c>
      <c r="R727" s="1" t="s">
        <v>941</v>
      </c>
      <c r="S727" s="1" t="s">
        <v>1834</v>
      </c>
      <c r="T727" s="1" t="s">
        <v>1833</v>
      </c>
      <c r="U727" s="1">
        <v>1</v>
      </c>
      <c r="V727" s="1" t="s">
        <v>1832</v>
      </c>
      <c r="W727" s="1" t="s">
        <v>2066</v>
      </c>
      <c r="X727" s="1" t="s">
        <v>2065</v>
      </c>
      <c r="Y727" s="3">
        <v>45820</v>
      </c>
      <c r="Z727" s="1">
        <v>2025</v>
      </c>
      <c r="AA727" s="2">
        <v>712000000</v>
      </c>
      <c r="AB727" s="2"/>
      <c r="AC727" s="2">
        <v>179989972.27000001</v>
      </c>
      <c r="AD727" s="1">
        <v>200</v>
      </c>
      <c r="AG727" s="1" t="s">
        <v>1</v>
      </c>
      <c r="AI727" s="2">
        <v>179989972.27000001</v>
      </c>
      <c r="AK727" s="1"/>
    </row>
    <row r="728" spans="1:38" ht="15" customHeight="1" x14ac:dyDescent="0.2">
      <c r="A728" s="1" t="s">
        <v>19</v>
      </c>
      <c r="B728" s="5" t="s">
        <v>18</v>
      </c>
      <c r="C728" s="1" t="s">
        <v>17</v>
      </c>
      <c r="D728" s="1" t="s">
        <v>16</v>
      </c>
      <c r="E728" s="1" t="s">
        <v>15</v>
      </c>
      <c r="F728" s="1" t="s">
        <v>1554</v>
      </c>
      <c r="G728" s="1" t="s">
        <v>1553</v>
      </c>
      <c r="H728" s="1" t="s">
        <v>12</v>
      </c>
      <c r="I728" s="1" t="s">
        <v>2064</v>
      </c>
      <c r="J728" s="1">
        <v>2022</v>
      </c>
      <c r="K728" s="1" t="s">
        <v>2063</v>
      </c>
      <c r="L728" s="1" t="s">
        <v>2063</v>
      </c>
      <c r="M728" s="1" t="s">
        <v>2062</v>
      </c>
      <c r="P728" s="1" t="s">
        <v>2061</v>
      </c>
      <c r="Q728" s="1" t="s">
        <v>780</v>
      </c>
      <c r="R728" s="1" t="s">
        <v>941</v>
      </c>
      <c r="S728" s="1" t="s">
        <v>1907</v>
      </c>
      <c r="T728" s="1" t="s">
        <v>1906</v>
      </c>
      <c r="U728" s="1">
        <v>2</v>
      </c>
      <c r="V728" s="1" t="s">
        <v>1832</v>
      </c>
      <c r="W728" s="1" t="s">
        <v>2060</v>
      </c>
      <c r="X728" s="1" t="s">
        <v>1544</v>
      </c>
      <c r="Y728" s="3">
        <v>45254</v>
      </c>
      <c r="Z728" s="1">
        <v>2023</v>
      </c>
      <c r="AA728" s="2">
        <v>167600</v>
      </c>
      <c r="AB728" s="2"/>
      <c r="AC728" s="2">
        <v>100560</v>
      </c>
      <c r="AG728" s="1" t="s">
        <v>1</v>
      </c>
      <c r="AI728" s="2">
        <v>100560</v>
      </c>
      <c r="AK728" s="1"/>
    </row>
    <row r="729" spans="1:38" ht="15" customHeight="1" x14ac:dyDescent="0.2">
      <c r="A729" s="1" t="s">
        <v>19</v>
      </c>
      <c r="B729" s="5" t="s">
        <v>18</v>
      </c>
      <c r="C729" s="1" t="s">
        <v>17</v>
      </c>
      <c r="D729" s="1" t="s">
        <v>16</v>
      </c>
      <c r="E729" s="1" t="s">
        <v>15</v>
      </c>
      <c r="F729" s="1" t="s">
        <v>1554</v>
      </c>
      <c r="G729" s="1" t="s">
        <v>1553</v>
      </c>
      <c r="H729" s="1" t="s">
        <v>12</v>
      </c>
      <c r="I729" s="1" t="s">
        <v>2059</v>
      </c>
      <c r="J729" s="1">
        <v>2022</v>
      </c>
      <c r="K729" s="1" t="s">
        <v>2055</v>
      </c>
      <c r="L729" s="1" t="s">
        <v>2058</v>
      </c>
      <c r="M729" s="1" t="s">
        <v>2057</v>
      </c>
      <c r="P729" s="1" t="s">
        <v>2056</v>
      </c>
      <c r="Q729" s="1" t="s">
        <v>780</v>
      </c>
      <c r="R729" s="1" t="s">
        <v>941</v>
      </c>
      <c r="S729" s="1" t="s">
        <v>1873</v>
      </c>
      <c r="T729" s="1" t="s">
        <v>1872</v>
      </c>
      <c r="U729" s="1">
        <v>1</v>
      </c>
      <c r="V729" s="1" t="s">
        <v>1832</v>
      </c>
      <c r="W729" s="1" t="s">
        <v>2055</v>
      </c>
      <c r="X729" s="1" t="s">
        <v>1544</v>
      </c>
      <c r="Y729" s="3">
        <v>45254</v>
      </c>
      <c r="Z729" s="1">
        <v>2023</v>
      </c>
      <c r="AA729" s="2">
        <v>65515</v>
      </c>
      <c r="AB729" s="2"/>
      <c r="AC729" s="2">
        <v>26206</v>
      </c>
      <c r="AG729" s="1" t="s">
        <v>1</v>
      </c>
      <c r="AI729" s="2">
        <v>26206</v>
      </c>
      <c r="AK729" s="1"/>
    </row>
    <row r="730" spans="1:38" ht="15" customHeight="1" x14ac:dyDescent="0.2">
      <c r="A730" s="1" t="s">
        <v>19</v>
      </c>
      <c r="B730" s="5" t="s">
        <v>18</v>
      </c>
      <c r="C730" s="1" t="s">
        <v>17</v>
      </c>
      <c r="D730" s="1" t="s">
        <v>16</v>
      </c>
      <c r="E730" s="1" t="s">
        <v>15</v>
      </c>
      <c r="F730" s="1" t="s">
        <v>1554</v>
      </c>
      <c r="G730" s="1" t="s">
        <v>1553</v>
      </c>
      <c r="H730" s="1" t="s">
        <v>12</v>
      </c>
      <c r="I730" s="1" t="s">
        <v>2054</v>
      </c>
      <c r="J730" s="1">
        <v>2022</v>
      </c>
      <c r="K730" s="1" t="s">
        <v>2053</v>
      </c>
      <c r="L730" s="1" t="s">
        <v>2053</v>
      </c>
      <c r="M730" s="1" t="s">
        <v>2052</v>
      </c>
      <c r="P730" s="1" t="s">
        <v>2051</v>
      </c>
      <c r="Q730" s="1" t="s">
        <v>780</v>
      </c>
      <c r="R730" s="1" t="s">
        <v>941</v>
      </c>
      <c r="S730" s="1" t="s">
        <v>1862</v>
      </c>
      <c r="T730" s="1" t="s">
        <v>1861</v>
      </c>
      <c r="U730" s="1">
        <v>1</v>
      </c>
      <c r="V730" s="1" t="s">
        <v>1832</v>
      </c>
      <c r="W730" s="1" t="s">
        <v>2050</v>
      </c>
      <c r="X730" s="1" t="s">
        <v>1544</v>
      </c>
      <c r="Y730" s="3">
        <v>45254</v>
      </c>
      <c r="Z730" s="1">
        <v>2023</v>
      </c>
      <c r="AA730" s="2">
        <v>157238</v>
      </c>
      <c r="AB730" s="2"/>
      <c r="AC730" s="2">
        <v>62895</v>
      </c>
      <c r="AG730" s="1" t="s">
        <v>1</v>
      </c>
      <c r="AI730" s="2">
        <v>62895</v>
      </c>
      <c r="AK730" s="1"/>
    </row>
    <row r="731" spans="1:38" ht="15" customHeight="1" x14ac:dyDescent="0.2">
      <c r="A731" s="1" t="s">
        <v>19</v>
      </c>
      <c r="B731" s="5" t="s">
        <v>18</v>
      </c>
      <c r="C731" s="1" t="s">
        <v>17</v>
      </c>
      <c r="D731" s="1" t="s">
        <v>16</v>
      </c>
      <c r="E731" s="1" t="s">
        <v>15</v>
      </c>
      <c r="F731" s="1" t="s">
        <v>1554</v>
      </c>
      <c r="G731" s="1" t="s">
        <v>1553</v>
      </c>
      <c r="H731" s="1" t="s">
        <v>12</v>
      </c>
      <c r="I731" s="1" t="s">
        <v>2049</v>
      </c>
      <c r="J731" s="1">
        <v>2022</v>
      </c>
      <c r="K731" s="1" t="s">
        <v>2048</v>
      </c>
      <c r="L731" s="1" t="s">
        <v>2047</v>
      </c>
      <c r="M731" s="1" t="s">
        <v>2046</v>
      </c>
      <c r="P731" s="1" t="s">
        <v>2045</v>
      </c>
      <c r="Q731" s="1" t="s">
        <v>780</v>
      </c>
      <c r="R731" s="1" t="s">
        <v>941</v>
      </c>
      <c r="S731" s="1" t="s">
        <v>2038</v>
      </c>
      <c r="T731" s="1" t="s">
        <v>2037</v>
      </c>
      <c r="U731" s="1">
        <v>2</v>
      </c>
      <c r="V731" s="1" t="s">
        <v>1832</v>
      </c>
      <c r="W731" s="1" t="s">
        <v>2044</v>
      </c>
      <c r="X731" s="1" t="s">
        <v>1544</v>
      </c>
      <c r="Y731" s="3">
        <v>45254</v>
      </c>
      <c r="Z731" s="1">
        <v>2023</v>
      </c>
      <c r="AA731" s="2">
        <v>1588495</v>
      </c>
      <c r="AB731" s="2"/>
      <c r="AC731" s="2">
        <v>499990</v>
      </c>
      <c r="AG731" s="1" t="s">
        <v>1</v>
      </c>
      <c r="AI731" s="2">
        <v>499990</v>
      </c>
      <c r="AK731" s="1"/>
    </row>
    <row r="732" spans="1:38" ht="15" customHeight="1" x14ac:dyDescent="0.2">
      <c r="A732" s="1" t="s">
        <v>19</v>
      </c>
      <c r="B732" s="5" t="s">
        <v>18</v>
      </c>
      <c r="C732" s="1" t="s">
        <v>17</v>
      </c>
      <c r="D732" s="1" t="s">
        <v>16</v>
      </c>
      <c r="E732" s="1" t="s">
        <v>15</v>
      </c>
      <c r="F732" s="1" t="s">
        <v>1554</v>
      </c>
      <c r="G732" s="1" t="s">
        <v>1553</v>
      </c>
      <c r="H732" s="1" t="s">
        <v>12</v>
      </c>
      <c r="I732" s="1" t="s">
        <v>2043</v>
      </c>
      <c r="J732" s="1">
        <v>2022</v>
      </c>
      <c r="K732" s="1" t="s">
        <v>2042</v>
      </c>
      <c r="L732" s="1" t="s">
        <v>2041</v>
      </c>
      <c r="M732" s="1" t="s">
        <v>2040</v>
      </c>
      <c r="P732" s="1" t="s">
        <v>2039</v>
      </c>
      <c r="Q732" s="1" t="s">
        <v>780</v>
      </c>
      <c r="R732" s="1" t="s">
        <v>941</v>
      </c>
      <c r="S732" s="1" t="s">
        <v>2038</v>
      </c>
      <c r="T732" s="1" t="s">
        <v>2037</v>
      </c>
      <c r="U732" s="1">
        <v>2</v>
      </c>
      <c r="V732" s="1" t="s">
        <v>1832</v>
      </c>
      <c r="W732" s="1" t="s">
        <v>2036</v>
      </c>
      <c r="X732" s="1" t="s">
        <v>1544</v>
      </c>
      <c r="Y732" s="3">
        <v>45254</v>
      </c>
      <c r="Z732" s="1">
        <v>2023</v>
      </c>
      <c r="AA732" s="2">
        <v>61000</v>
      </c>
      <c r="AB732" s="2"/>
      <c r="AC732" s="2">
        <v>32574</v>
      </c>
      <c r="AG732" s="1" t="s">
        <v>1</v>
      </c>
      <c r="AI732" s="2">
        <v>32574</v>
      </c>
      <c r="AK732" s="1"/>
    </row>
    <row r="733" spans="1:38" ht="15" customHeight="1" x14ac:dyDescent="0.2">
      <c r="A733" s="1" t="s">
        <v>19</v>
      </c>
      <c r="B733" s="5" t="s">
        <v>109</v>
      </c>
      <c r="C733" s="1" t="s">
        <v>37</v>
      </c>
      <c r="D733" s="1" t="s">
        <v>132</v>
      </c>
      <c r="E733" s="1" t="s">
        <v>35</v>
      </c>
      <c r="G733" s="1" t="s">
        <v>131</v>
      </c>
      <c r="H733" s="1" t="s">
        <v>130</v>
      </c>
      <c r="I733" s="1" t="s">
        <v>2035</v>
      </c>
      <c r="J733" s="1">
        <v>2019</v>
      </c>
      <c r="P733" s="1" t="s">
        <v>1881</v>
      </c>
      <c r="Q733" s="1" t="s">
        <v>780</v>
      </c>
      <c r="R733" s="1" t="s">
        <v>941</v>
      </c>
      <c r="S733" s="1" t="s">
        <v>1880</v>
      </c>
      <c r="T733" s="1" t="s">
        <v>1879</v>
      </c>
      <c r="U733" s="1">
        <v>1</v>
      </c>
      <c r="V733" s="1" t="s">
        <v>1832</v>
      </c>
      <c r="Y733" s="3">
        <v>43466</v>
      </c>
      <c r="Z733" s="1">
        <v>2019</v>
      </c>
      <c r="AA733" s="2"/>
      <c r="AB733" s="2"/>
      <c r="AC733" s="2">
        <v>176215.02999999997</v>
      </c>
      <c r="AG733" s="1" t="s">
        <v>21</v>
      </c>
      <c r="AI733" s="2">
        <v>176215.02999999997</v>
      </c>
      <c r="AK733" s="1"/>
      <c r="AL733" s="1" t="s">
        <v>127</v>
      </c>
    </row>
    <row r="734" spans="1:38" ht="15" customHeight="1" x14ac:dyDescent="0.2">
      <c r="A734" s="1" t="s">
        <v>19</v>
      </c>
      <c r="B734" s="5" t="s">
        <v>109</v>
      </c>
      <c r="C734" s="1" t="s">
        <v>37</v>
      </c>
      <c r="D734" s="1" t="s">
        <v>132</v>
      </c>
      <c r="E734" s="1" t="s">
        <v>35</v>
      </c>
      <c r="G734" s="1" t="s">
        <v>131</v>
      </c>
      <c r="H734" s="1" t="s">
        <v>130</v>
      </c>
      <c r="I734" s="1" t="s">
        <v>2034</v>
      </c>
      <c r="J734" s="1">
        <v>2019</v>
      </c>
      <c r="P734" s="1" t="s">
        <v>1881</v>
      </c>
      <c r="Q734" s="1" t="s">
        <v>780</v>
      </c>
      <c r="R734" s="1" t="s">
        <v>941</v>
      </c>
      <c r="S734" s="1" t="s">
        <v>1880</v>
      </c>
      <c r="T734" s="1" t="s">
        <v>1879</v>
      </c>
      <c r="U734" s="1">
        <v>1</v>
      </c>
      <c r="V734" s="1" t="s">
        <v>1832</v>
      </c>
      <c r="Y734" s="3">
        <v>43617</v>
      </c>
      <c r="Z734" s="1">
        <v>2019</v>
      </c>
      <c r="AA734" s="2"/>
      <c r="AB734" s="2"/>
      <c r="AC734" s="2">
        <v>486839.55000000005</v>
      </c>
      <c r="AG734" s="1" t="s">
        <v>21</v>
      </c>
      <c r="AI734" s="2">
        <v>486839.55000000005</v>
      </c>
      <c r="AK734" s="1"/>
      <c r="AL734" s="1" t="s">
        <v>127</v>
      </c>
    </row>
    <row r="735" spans="1:38" ht="15" customHeight="1" x14ac:dyDescent="0.2">
      <c r="A735" s="1" t="s">
        <v>19</v>
      </c>
      <c r="B735" s="5" t="s">
        <v>109</v>
      </c>
      <c r="C735" s="1" t="s">
        <v>37</v>
      </c>
      <c r="D735" s="1" t="s">
        <v>132</v>
      </c>
      <c r="E735" s="1" t="s">
        <v>35</v>
      </c>
      <c r="G735" s="1" t="s">
        <v>131</v>
      </c>
      <c r="H735" s="1" t="s">
        <v>130</v>
      </c>
      <c r="I735" s="1" t="s">
        <v>2033</v>
      </c>
      <c r="J735" s="1">
        <v>2019</v>
      </c>
      <c r="P735" s="1" t="s">
        <v>1881</v>
      </c>
      <c r="Q735" s="1" t="s">
        <v>780</v>
      </c>
      <c r="R735" s="1" t="s">
        <v>941</v>
      </c>
      <c r="S735" s="1" t="s">
        <v>1880</v>
      </c>
      <c r="T735" s="1" t="s">
        <v>1879</v>
      </c>
      <c r="U735" s="1">
        <v>1</v>
      </c>
      <c r="V735" s="1" t="s">
        <v>1832</v>
      </c>
      <c r="Y735" s="3">
        <v>43466</v>
      </c>
      <c r="Z735" s="1">
        <v>2019</v>
      </c>
      <c r="AA735" s="2"/>
      <c r="AB735" s="2"/>
      <c r="AC735" s="2">
        <v>492208.64000000001</v>
      </c>
      <c r="AG735" s="1" t="s">
        <v>21</v>
      </c>
      <c r="AI735" s="2">
        <v>492208.64000000001</v>
      </c>
      <c r="AK735" s="1"/>
      <c r="AL735" s="1" t="s">
        <v>127</v>
      </c>
    </row>
    <row r="736" spans="1:38" ht="15" customHeight="1" x14ac:dyDescent="0.2">
      <c r="A736" s="1" t="s">
        <v>19</v>
      </c>
      <c r="B736" s="5" t="s">
        <v>109</v>
      </c>
      <c r="C736" s="1" t="s">
        <v>37</v>
      </c>
      <c r="D736" s="1" t="s">
        <v>132</v>
      </c>
      <c r="E736" s="1" t="s">
        <v>35</v>
      </c>
      <c r="G736" s="1" t="s">
        <v>131</v>
      </c>
      <c r="H736" s="1" t="s">
        <v>130</v>
      </c>
      <c r="I736" s="1" t="s">
        <v>2032</v>
      </c>
      <c r="J736" s="1">
        <v>2019</v>
      </c>
      <c r="P736" s="1" t="s">
        <v>1881</v>
      </c>
      <c r="Q736" s="1" t="s">
        <v>780</v>
      </c>
      <c r="R736" s="1" t="s">
        <v>941</v>
      </c>
      <c r="S736" s="1" t="s">
        <v>1880</v>
      </c>
      <c r="T736" s="1" t="s">
        <v>1879</v>
      </c>
      <c r="U736" s="1">
        <v>1</v>
      </c>
      <c r="V736" s="1" t="s">
        <v>1832</v>
      </c>
      <c r="Y736" s="3">
        <v>43466</v>
      </c>
      <c r="Z736" s="1">
        <v>2019</v>
      </c>
      <c r="AA736" s="2"/>
      <c r="AB736" s="2"/>
      <c r="AC736" s="2">
        <v>455002.91</v>
      </c>
      <c r="AG736" s="1" t="s">
        <v>21</v>
      </c>
      <c r="AI736" s="2">
        <v>455002.91</v>
      </c>
      <c r="AK736" s="1"/>
      <c r="AL736" s="1" t="s">
        <v>127</v>
      </c>
    </row>
    <row r="737" spans="1:38" ht="15" customHeight="1" x14ac:dyDescent="0.2">
      <c r="A737" s="1" t="s">
        <v>19</v>
      </c>
      <c r="B737" s="5" t="s">
        <v>109</v>
      </c>
      <c r="C737" s="1" t="s">
        <v>37</v>
      </c>
      <c r="D737" s="1" t="s">
        <v>132</v>
      </c>
      <c r="E737" s="1" t="s">
        <v>35</v>
      </c>
      <c r="G737" s="1" t="s">
        <v>131</v>
      </c>
      <c r="H737" s="1" t="s">
        <v>130</v>
      </c>
      <c r="I737" s="1" t="s">
        <v>2031</v>
      </c>
      <c r="J737" s="1">
        <v>2019</v>
      </c>
      <c r="P737" s="1" t="s">
        <v>1881</v>
      </c>
      <c r="Q737" s="1" t="s">
        <v>780</v>
      </c>
      <c r="R737" s="1" t="s">
        <v>941</v>
      </c>
      <c r="S737" s="1" t="s">
        <v>1880</v>
      </c>
      <c r="T737" s="1" t="s">
        <v>1879</v>
      </c>
      <c r="U737" s="1">
        <v>1</v>
      </c>
      <c r="V737" s="1" t="s">
        <v>1832</v>
      </c>
      <c r="Y737" s="3">
        <v>43466</v>
      </c>
      <c r="Z737" s="1">
        <v>2019</v>
      </c>
      <c r="AA737" s="2"/>
      <c r="AB737" s="2"/>
      <c r="AC737" s="2">
        <v>409715.19</v>
      </c>
      <c r="AG737" s="1" t="s">
        <v>21</v>
      </c>
      <c r="AI737" s="2">
        <v>409715.19</v>
      </c>
      <c r="AK737" s="1"/>
      <c r="AL737" s="1" t="s">
        <v>127</v>
      </c>
    </row>
    <row r="738" spans="1:38" ht="15" customHeight="1" x14ac:dyDescent="0.2">
      <c r="A738" s="1" t="s">
        <v>19</v>
      </c>
      <c r="B738" s="5" t="s">
        <v>109</v>
      </c>
      <c r="C738" s="1" t="s">
        <v>37</v>
      </c>
      <c r="D738" s="1" t="s">
        <v>132</v>
      </c>
      <c r="E738" s="1" t="s">
        <v>35</v>
      </c>
      <c r="G738" s="1" t="s">
        <v>131</v>
      </c>
      <c r="H738" s="1" t="s">
        <v>130</v>
      </c>
      <c r="I738" s="1" t="s">
        <v>2030</v>
      </c>
      <c r="J738" s="1">
        <v>2019</v>
      </c>
      <c r="P738" s="1" t="s">
        <v>1881</v>
      </c>
      <c r="Q738" s="1" t="s">
        <v>780</v>
      </c>
      <c r="R738" s="1" t="s">
        <v>941</v>
      </c>
      <c r="S738" s="1" t="s">
        <v>1880</v>
      </c>
      <c r="T738" s="1" t="s">
        <v>1879</v>
      </c>
      <c r="U738" s="1">
        <v>1</v>
      </c>
      <c r="V738" s="1" t="s">
        <v>1832</v>
      </c>
      <c r="Y738" s="3">
        <v>43466</v>
      </c>
      <c r="Z738" s="1">
        <v>2019</v>
      </c>
      <c r="AA738" s="2"/>
      <c r="AB738" s="2"/>
      <c r="AC738" s="2">
        <v>485538.8</v>
      </c>
      <c r="AG738" s="1" t="s">
        <v>21</v>
      </c>
      <c r="AI738" s="2">
        <v>485538.8</v>
      </c>
      <c r="AK738" s="1"/>
      <c r="AL738" s="1" t="s">
        <v>127</v>
      </c>
    </row>
    <row r="739" spans="1:38" ht="15" customHeight="1" x14ac:dyDescent="0.2">
      <c r="A739" s="1" t="s">
        <v>19</v>
      </c>
      <c r="B739" s="5" t="s">
        <v>109</v>
      </c>
      <c r="C739" s="1" t="s">
        <v>37</v>
      </c>
      <c r="D739" s="1" t="s">
        <v>132</v>
      </c>
      <c r="E739" s="1" t="s">
        <v>35</v>
      </c>
      <c r="G739" s="1" t="s">
        <v>131</v>
      </c>
      <c r="H739" s="1" t="s">
        <v>130</v>
      </c>
      <c r="I739" s="1" t="s">
        <v>2029</v>
      </c>
      <c r="J739" s="1">
        <v>2019</v>
      </c>
      <c r="P739" s="1" t="s">
        <v>1881</v>
      </c>
      <c r="Q739" s="1" t="s">
        <v>780</v>
      </c>
      <c r="R739" s="1" t="s">
        <v>941</v>
      </c>
      <c r="S739" s="1" t="s">
        <v>1880</v>
      </c>
      <c r="T739" s="1" t="s">
        <v>1879</v>
      </c>
      <c r="U739" s="1">
        <v>1</v>
      </c>
      <c r="V739" s="1" t="s">
        <v>1832</v>
      </c>
      <c r="Y739" s="3">
        <v>43466</v>
      </c>
      <c r="Z739" s="1">
        <v>2019</v>
      </c>
      <c r="AA739" s="2"/>
      <c r="AB739" s="2"/>
      <c r="AC739" s="2">
        <v>402767.21</v>
      </c>
      <c r="AG739" s="1" t="s">
        <v>21</v>
      </c>
      <c r="AI739" s="2">
        <v>402767.21</v>
      </c>
      <c r="AK739" s="1"/>
      <c r="AL739" s="1" t="s">
        <v>127</v>
      </c>
    </row>
    <row r="740" spans="1:38" ht="15" customHeight="1" x14ac:dyDescent="0.2">
      <c r="A740" s="1" t="s">
        <v>19</v>
      </c>
      <c r="B740" s="5" t="s">
        <v>109</v>
      </c>
      <c r="C740" s="1" t="s">
        <v>37</v>
      </c>
      <c r="D740" s="1" t="s">
        <v>132</v>
      </c>
      <c r="E740" s="1" t="s">
        <v>35</v>
      </c>
      <c r="G740" s="1" t="s">
        <v>131</v>
      </c>
      <c r="H740" s="1" t="s">
        <v>130</v>
      </c>
      <c r="I740" s="1" t="s">
        <v>2028</v>
      </c>
      <c r="J740" s="1">
        <v>2019</v>
      </c>
      <c r="P740" s="1" t="s">
        <v>1881</v>
      </c>
      <c r="Q740" s="1" t="s">
        <v>780</v>
      </c>
      <c r="R740" s="1" t="s">
        <v>941</v>
      </c>
      <c r="S740" s="1" t="s">
        <v>1880</v>
      </c>
      <c r="T740" s="1" t="s">
        <v>1879</v>
      </c>
      <c r="U740" s="1">
        <v>1</v>
      </c>
      <c r="V740" s="1" t="s">
        <v>1832</v>
      </c>
      <c r="Y740" s="3">
        <v>43466</v>
      </c>
      <c r="Z740" s="1">
        <v>2019</v>
      </c>
      <c r="AA740" s="2"/>
      <c r="AB740" s="2"/>
      <c r="AC740" s="2">
        <v>489243.20000000007</v>
      </c>
      <c r="AG740" s="1" t="s">
        <v>21</v>
      </c>
      <c r="AI740" s="2">
        <v>489243.20000000007</v>
      </c>
      <c r="AK740" s="1"/>
      <c r="AL740" s="1" t="s">
        <v>127</v>
      </c>
    </row>
    <row r="741" spans="1:38" ht="15" customHeight="1" x14ac:dyDescent="0.2">
      <c r="A741" s="1" t="s">
        <v>19</v>
      </c>
      <c r="B741" s="5" t="s">
        <v>109</v>
      </c>
      <c r="C741" s="1" t="s">
        <v>37</v>
      </c>
      <c r="D741" s="1" t="s">
        <v>132</v>
      </c>
      <c r="E741" s="1" t="s">
        <v>35</v>
      </c>
      <c r="G741" s="1" t="s">
        <v>131</v>
      </c>
      <c r="H741" s="1" t="s">
        <v>130</v>
      </c>
      <c r="I741" s="1" t="s">
        <v>2027</v>
      </c>
      <c r="J741" s="1">
        <v>2019</v>
      </c>
      <c r="P741" s="1" t="s">
        <v>1881</v>
      </c>
      <c r="Q741" s="1" t="s">
        <v>780</v>
      </c>
      <c r="R741" s="1" t="s">
        <v>941</v>
      </c>
      <c r="S741" s="1" t="s">
        <v>1880</v>
      </c>
      <c r="T741" s="1" t="s">
        <v>1879</v>
      </c>
      <c r="U741" s="1">
        <v>1</v>
      </c>
      <c r="V741" s="1" t="s">
        <v>1832</v>
      </c>
      <c r="Y741" s="3">
        <v>43466</v>
      </c>
      <c r="Z741" s="1">
        <v>2019</v>
      </c>
      <c r="AA741" s="2"/>
      <c r="AB741" s="2"/>
      <c r="AC741" s="2">
        <v>496982.76</v>
      </c>
      <c r="AG741" s="1" t="s">
        <v>21</v>
      </c>
      <c r="AI741" s="2">
        <v>496982.76</v>
      </c>
      <c r="AK741" s="1"/>
      <c r="AL741" s="1" t="s">
        <v>127</v>
      </c>
    </row>
    <row r="742" spans="1:38" ht="15" customHeight="1" x14ac:dyDescent="0.2">
      <c r="A742" s="1" t="s">
        <v>19</v>
      </c>
      <c r="B742" s="5" t="s">
        <v>109</v>
      </c>
      <c r="C742" s="1" t="s">
        <v>37</v>
      </c>
      <c r="D742" s="1" t="s">
        <v>132</v>
      </c>
      <c r="E742" s="1" t="s">
        <v>35</v>
      </c>
      <c r="G742" s="1" t="s">
        <v>131</v>
      </c>
      <c r="H742" s="1" t="s">
        <v>130</v>
      </c>
      <c r="I742" s="1" t="s">
        <v>2026</v>
      </c>
      <c r="J742" s="1">
        <v>2019</v>
      </c>
      <c r="P742" s="1" t="s">
        <v>1881</v>
      </c>
      <c r="Q742" s="1" t="s">
        <v>780</v>
      </c>
      <c r="R742" s="1" t="s">
        <v>941</v>
      </c>
      <c r="S742" s="1" t="s">
        <v>1880</v>
      </c>
      <c r="T742" s="1" t="s">
        <v>1879</v>
      </c>
      <c r="U742" s="1">
        <v>1</v>
      </c>
      <c r="V742" s="1" t="s">
        <v>1832</v>
      </c>
      <c r="Y742" s="3">
        <v>43466</v>
      </c>
      <c r="Z742" s="1">
        <v>2019</v>
      </c>
      <c r="AA742" s="2"/>
      <c r="AB742" s="2"/>
      <c r="AC742" s="2">
        <v>504981.52</v>
      </c>
      <c r="AG742" s="1" t="s">
        <v>21</v>
      </c>
      <c r="AI742" s="2">
        <v>504981.52</v>
      </c>
      <c r="AK742" s="1"/>
      <c r="AL742" s="1" t="s">
        <v>127</v>
      </c>
    </row>
    <row r="743" spans="1:38" ht="15" customHeight="1" x14ac:dyDescent="0.2">
      <c r="A743" s="1" t="s">
        <v>19</v>
      </c>
      <c r="B743" s="5" t="s">
        <v>109</v>
      </c>
      <c r="C743" s="1" t="s">
        <v>37</v>
      </c>
      <c r="D743" s="1" t="s">
        <v>132</v>
      </c>
      <c r="E743" s="1" t="s">
        <v>35</v>
      </c>
      <c r="G743" s="1" t="s">
        <v>131</v>
      </c>
      <c r="H743" s="1" t="s">
        <v>130</v>
      </c>
      <c r="I743" s="1" t="s">
        <v>2025</v>
      </c>
      <c r="J743" s="1">
        <v>2019</v>
      </c>
      <c r="P743" s="1" t="s">
        <v>1881</v>
      </c>
      <c r="Q743" s="1" t="s">
        <v>780</v>
      </c>
      <c r="R743" s="1" t="s">
        <v>941</v>
      </c>
      <c r="S743" s="1" t="s">
        <v>1880</v>
      </c>
      <c r="T743" s="1" t="s">
        <v>1879</v>
      </c>
      <c r="U743" s="1">
        <v>1</v>
      </c>
      <c r="V743" s="1" t="s">
        <v>1832</v>
      </c>
      <c r="Y743" s="3">
        <v>43466</v>
      </c>
      <c r="Z743" s="1">
        <v>2019</v>
      </c>
      <c r="AA743" s="2"/>
      <c r="AB743" s="2"/>
      <c r="AC743" s="2">
        <v>419619.83999999997</v>
      </c>
      <c r="AG743" s="1" t="s">
        <v>21</v>
      </c>
      <c r="AI743" s="2">
        <v>419619.83999999997</v>
      </c>
      <c r="AK743" s="1"/>
      <c r="AL743" s="1" t="s">
        <v>127</v>
      </c>
    </row>
    <row r="744" spans="1:38" ht="15" customHeight="1" x14ac:dyDescent="0.2">
      <c r="A744" s="1" t="s">
        <v>19</v>
      </c>
      <c r="B744" s="5" t="s">
        <v>109</v>
      </c>
      <c r="C744" s="1" t="s">
        <v>37</v>
      </c>
      <c r="D744" s="1" t="s">
        <v>132</v>
      </c>
      <c r="E744" s="1" t="s">
        <v>35</v>
      </c>
      <c r="G744" s="1" t="s">
        <v>131</v>
      </c>
      <c r="H744" s="1" t="s">
        <v>130</v>
      </c>
      <c r="I744" s="1" t="s">
        <v>2024</v>
      </c>
      <c r="J744" s="1">
        <v>2019</v>
      </c>
      <c r="P744" s="1" t="s">
        <v>1881</v>
      </c>
      <c r="Q744" s="1" t="s">
        <v>780</v>
      </c>
      <c r="R744" s="1" t="s">
        <v>941</v>
      </c>
      <c r="S744" s="1" t="s">
        <v>1880</v>
      </c>
      <c r="T744" s="1" t="s">
        <v>1879</v>
      </c>
      <c r="U744" s="1">
        <v>1</v>
      </c>
      <c r="V744" s="1" t="s">
        <v>1832</v>
      </c>
      <c r="Y744" s="3">
        <v>43466</v>
      </c>
      <c r="Z744" s="1">
        <v>2019</v>
      </c>
      <c r="AA744" s="2"/>
      <c r="AB744" s="2"/>
      <c r="AC744" s="2">
        <v>731795.95000000007</v>
      </c>
      <c r="AG744" s="1" t="s">
        <v>21</v>
      </c>
      <c r="AI744" s="2">
        <v>731795.95000000007</v>
      </c>
      <c r="AK744" s="1"/>
      <c r="AL744" s="1" t="s">
        <v>127</v>
      </c>
    </row>
    <row r="745" spans="1:38" ht="15" customHeight="1" x14ac:dyDescent="0.2">
      <c r="A745" s="1" t="s">
        <v>19</v>
      </c>
      <c r="B745" s="5" t="s">
        <v>109</v>
      </c>
      <c r="C745" s="1" t="s">
        <v>37</v>
      </c>
      <c r="D745" s="1" t="s">
        <v>132</v>
      </c>
      <c r="E745" s="1" t="s">
        <v>35</v>
      </c>
      <c r="G745" s="1" t="s">
        <v>131</v>
      </c>
      <c r="H745" s="1" t="s">
        <v>130</v>
      </c>
      <c r="I745" s="1" t="s">
        <v>2023</v>
      </c>
      <c r="J745" s="1">
        <v>2019</v>
      </c>
      <c r="P745" s="1" t="s">
        <v>1881</v>
      </c>
      <c r="Q745" s="1" t="s">
        <v>780</v>
      </c>
      <c r="R745" s="1" t="s">
        <v>941</v>
      </c>
      <c r="S745" s="1" t="s">
        <v>1880</v>
      </c>
      <c r="T745" s="1" t="s">
        <v>1879</v>
      </c>
      <c r="U745" s="1">
        <v>1</v>
      </c>
      <c r="V745" s="1" t="s">
        <v>1832</v>
      </c>
      <c r="Y745" s="3">
        <v>43466</v>
      </c>
      <c r="Z745" s="1">
        <v>2019</v>
      </c>
      <c r="AA745" s="2"/>
      <c r="AB745" s="2"/>
      <c r="AC745" s="2">
        <v>324148.20999999996</v>
      </c>
      <c r="AG745" s="1" t="s">
        <v>21</v>
      </c>
      <c r="AI745" s="2">
        <v>324148.20999999996</v>
      </c>
      <c r="AK745" s="1"/>
      <c r="AL745" s="1" t="s">
        <v>127</v>
      </c>
    </row>
    <row r="746" spans="1:38" ht="15" customHeight="1" x14ac:dyDescent="0.2">
      <c r="A746" s="1" t="s">
        <v>19</v>
      </c>
      <c r="B746" s="5" t="s">
        <v>109</v>
      </c>
      <c r="C746" s="1" t="s">
        <v>37</v>
      </c>
      <c r="D746" s="1" t="s">
        <v>132</v>
      </c>
      <c r="E746" s="1" t="s">
        <v>35</v>
      </c>
      <c r="G746" s="1" t="s">
        <v>131</v>
      </c>
      <c r="H746" s="1" t="s">
        <v>130</v>
      </c>
      <c r="I746" s="1" t="s">
        <v>2022</v>
      </c>
      <c r="J746" s="1">
        <v>2019</v>
      </c>
      <c r="P746" s="1" t="s">
        <v>1881</v>
      </c>
      <c r="Q746" s="1" t="s">
        <v>780</v>
      </c>
      <c r="R746" s="1" t="s">
        <v>941</v>
      </c>
      <c r="S746" s="1" t="s">
        <v>1880</v>
      </c>
      <c r="T746" s="1" t="s">
        <v>1879</v>
      </c>
      <c r="U746" s="1">
        <v>1</v>
      </c>
      <c r="V746" s="1" t="s">
        <v>1832</v>
      </c>
      <c r="Y746" s="3">
        <v>43466</v>
      </c>
      <c r="Z746" s="1">
        <v>2019</v>
      </c>
      <c r="AA746" s="2"/>
      <c r="AB746" s="2"/>
      <c r="AC746" s="2">
        <v>706727.48999999987</v>
      </c>
      <c r="AG746" s="1" t="s">
        <v>21</v>
      </c>
      <c r="AI746" s="2">
        <v>706727.48999999987</v>
      </c>
      <c r="AK746" s="1"/>
      <c r="AL746" s="1" t="s">
        <v>127</v>
      </c>
    </row>
    <row r="747" spans="1:38" ht="15" customHeight="1" x14ac:dyDescent="0.2">
      <c r="A747" s="1" t="s">
        <v>19</v>
      </c>
      <c r="B747" s="5" t="s">
        <v>109</v>
      </c>
      <c r="C747" s="1" t="s">
        <v>37</v>
      </c>
      <c r="D747" s="1" t="s">
        <v>132</v>
      </c>
      <c r="E747" s="1" t="s">
        <v>35</v>
      </c>
      <c r="G747" s="1" t="s">
        <v>131</v>
      </c>
      <c r="H747" s="1" t="s">
        <v>130</v>
      </c>
      <c r="I747" s="1" t="s">
        <v>2021</v>
      </c>
      <c r="J747" s="1">
        <v>2019</v>
      </c>
      <c r="P747" s="1" t="s">
        <v>1881</v>
      </c>
      <c r="Q747" s="1" t="s">
        <v>780</v>
      </c>
      <c r="R747" s="1" t="s">
        <v>941</v>
      </c>
      <c r="S747" s="1" t="s">
        <v>1880</v>
      </c>
      <c r="T747" s="1" t="s">
        <v>1879</v>
      </c>
      <c r="U747" s="1">
        <v>1</v>
      </c>
      <c r="V747" s="1" t="s">
        <v>1832</v>
      </c>
      <c r="Y747" s="3">
        <v>43466</v>
      </c>
      <c r="Z747" s="1">
        <v>2019</v>
      </c>
      <c r="AA747" s="2"/>
      <c r="AB747" s="2"/>
      <c r="AC747" s="2">
        <v>880147.22</v>
      </c>
      <c r="AG747" s="1" t="s">
        <v>21</v>
      </c>
      <c r="AI747" s="2">
        <v>880147.22</v>
      </c>
      <c r="AK747" s="1"/>
      <c r="AL747" s="1" t="s">
        <v>127</v>
      </c>
    </row>
    <row r="748" spans="1:38" ht="15" customHeight="1" x14ac:dyDescent="0.2">
      <c r="A748" s="1" t="s">
        <v>19</v>
      </c>
      <c r="B748" s="5" t="s">
        <v>109</v>
      </c>
      <c r="C748" s="1" t="s">
        <v>37</v>
      </c>
      <c r="D748" s="1" t="s">
        <v>132</v>
      </c>
      <c r="E748" s="1" t="s">
        <v>35</v>
      </c>
      <c r="G748" s="1" t="s">
        <v>131</v>
      </c>
      <c r="H748" s="1" t="s">
        <v>130</v>
      </c>
      <c r="I748" s="1" t="s">
        <v>2020</v>
      </c>
      <c r="J748" s="1">
        <v>2019</v>
      </c>
      <c r="P748" s="1" t="s">
        <v>1881</v>
      </c>
      <c r="Q748" s="1" t="s">
        <v>780</v>
      </c>
      <c r="R748" s="1" t="s">
        <v>941</v>
      </c>
      <c r="S748" s="1" t="s">
        <v>1880</v>
      </c>
      <c r="T748" s="1" t="s">
        <v>1879</v>
      </c>
      <c r="U748" s="1">
        <v>1</v>
      </c>
      <c r="V748" s="1" t="s">
        <v>1832</v>
      </c>
      <c r="Y748" s="3">
        <v>43466</v>
      </c>
      <c r="Z748" s="1">
        <v>2019</v>
      </c>
      <c r="AA748" s="2"/>
      <c r="AB748" s="2"/>
      <c r="AC748" s="2">
        <v>484522.89999999991</v>
      </c>
      <c r="AG748" s="1" t="s">
        <v>21</v>
      </c>
      <c r="AI748" s="2">
        <v>484522.89999999991</v>
      </c>
      <c r="AK748" s="1"/>
      <c r="AL748" s="1" t="s">
        <v>127</v>
      </c>
    </row>
    <row r="749" spans="1:38" ht="15" customHeight="1" x14ac:dyDescent="0.2">
      <c r="A749" s="1" t="s">
        <v>19</v>
      </c>
      <c r="B749" s="5" t="s">
        <v>109</v>
      </c>
      <c r="C749" s="1" t="s">
        <v>37</v>
      </c>
      <c r="D749" s="1" t="s">
        <v>132</v>
      </c>
      <c r="E749" s="1" t="s">
        <v>35</v>
      </c>
      <c r="G749" s="1" t="s">
        <v>131</v>
      </c>
      <c r="H749" s="1" t="s">
        <v>130</v>
      </c>
      <c r="I749" s="1" t="s">
        <v>2019</v>
      </c>
      <c r="J749" s="1">
        <v>2019</v>
      </c>
      <c r="P749" s="1" t="s">
        <v>1881</v>
      </c>
      <c r="Q749" s="1" t="s">
        <v>780</v>
      </c>
      <c r="R749" s="1" t="s">
        <v>941</v>
      </c>
      <c r="S749" s="1" t="s">
        <v>1880</v>
      </c>
      <c r="T749" s="1" t="s">
        <v>1879</v>
      </c>
      <c r="U749" s="1">
        <v>1</v>
      </c>
      <c r="V749" s="1" t="s">
        <v>1832</v>
      </c>
      <c r="Y749" s="3">
        <v>43466</v>
      </c>
      <c r="Z749" s="1">
        <v>2019</v>
      </c>
      <c r="AA749" s="2"/>
      <c r="AB749" s="2"/>
      <c r="AC749" s="2">
        <v>413815.69999999995</v>
      </c>
      <c r="AG749" s="1" t="s">
        <v>21</v>
      </c>
      <c r="AI749" s="2">
        <v>413815.69999999995</v>
      </c>
      <c r="AK749" s="1"/>
      <c r="AL749" s="1" t="s">
        <v>127</v>
      </c>
    </row>
    <row r="750" spans="1:38" ht="15" customHeight="1" x14ac:dyDescent="0.2">
      <c r="A750" s="1" t="s">
        <v>19</v>
      </c>
      <c r="B750" s="5" t="s">
        <v>109</v>
      </c>
      <c r="C750" s="1" t="s">
        <v>37</v>
      </c>
      <c r="D750" s="1" t="s">
        <v>132</v>
      </c>
      <c r="E750" s="1" t="s">
        <v>35</v>
      </c>
      <c r="G750" s="1" t="s">
        <v>131</v>
      </c>
      <c r="H750" s="1" t="s">
        <v>130</v>
      </c>
      <c r="I750" s="1" t="s">
        <v>2018</v>
      </c>
      <c r="J750" s="1">
        <v>2019</v>
      </c>
      <c r="P750" s="1" t="s">
        <v>1881</v>
      </c>
      <c r="Q750" s="1" t="s">
        <v>780</v>
      </c>
      <c r="R750" s="1" t="s">
        <v>941</v>
      </c>
      <c r="S750" s="1" t="s">
        <v>1880</v>
      </c>
      <c r="T750" s="1" t="s">
        <v>1879</v>
      </c>
      <c r="U750" s="1">
        <v>1</v>
      </c>
      <c r="V750" s="1" t="s">
        <v>1832</v>
      </c>
      <c r="Y750" s="3">
        <v>43466</v>
      </c>
      <c r="Z750" s="1">
        <v>2019</v>
      </c>
      <c r="AA750" s="2"/>
      <c r="AB750" s="2"/>
      <c r="AC750" s="2">
        <v>387692.1100000001</v>
      </c>
      <c r="AG750" s="1" t="s">
        <v>21</v>
      </c>
      <c r="AI750" s="2">
        <v>387692.1100000001</v>
      </c>
      <c r="AK750" s="1"/>
      <c r="AL750" s="1" t="s">
        <v>127</v>
      </c>
    </row>
    <row r="751" spans="1:38" ht="15" customHeight="1" x14ac:dyDescent="0.2">
      <c r="A751" s="1" t="s">
        <v>19</v>
      </c>
      <c r="B751" s="5" t="s">
        <v>109</v>
      </c>
      <c r="C751" s="1" t="s">
        <v>37</v>
      </c>
      <c r="D751" s="1" t="s">
        <v>132</v>
      </c>
      <c r="E751" s="1" t="s">
        <v>35</v>
      </c>
      <c r="G751" s="1" t="s">
        <v>131</v>
      </c>
      <c r="H751" s="1" t="s">
        <v>130</v>
      </c>
      <c r="I751" s="1" t="s">
        <v>2017</v>
      </c>
      <c r="J751" s="1">
        <v>2019</v>
      </c>
      <c r="P751" s="1" t="s">
        <v>1881</v>
      </c>
      <c r="Q751" s="1" t="s">
        <v>780</v>
      </c>
      <c r="R751" s="1" t="s">
        <v>941</v>
      </c>
      <c r="S751" s="1" t="s">
        <v>1880</v>
      </c>
      <c r="T751" s="1" t="s">
        <v>1879</v>
      </c>
      <c r="U751" s="1">
        <v>1</v>
      </c>
      <c r="V751" s="1" t="s">
        <v>1832</v>
      </c>
      <c r="Y751" s="3">
        <v>43617</v>
      </c>
      <c r="Z751" s="1">
        <v>2019</v>
      </c>
      <c r="AA751" s="2"/>
      <c r="AB751" s="2"/>
      <c r="AC751" s="2">
        <v>629541.70000000007</v>
      </c>
      <c r="AG751" s="1" t="s">
        <v>21</v>
      </c>
      <c r="AI751" s="2">
        <v>629541.70000000007</v>
      </c>
      <c r="AK751" s="1"/>
      <c r="AL751" s="1" t="s">
        <v>127</v>
      </c>
    </row>
    <row r="752" spans="1:38" ht="15" customHeight="1" x14ac:dyDescent="0.2">
      <c r="A752" s="1" t="s">
        <v>19</v>
      </c>
      <c r="B752" s="5" t="s">
        <v>109</v>
      </c>
      <c r="C752" s="1" t="s">
        <v>37</v>
      </c>
      <c r="D752" s="1" t="s">
        <v>132</v>
      </c>
      <c r="E752" s="1" t="s">
        <v>35</v>
      </c>
      <c r="G752" s="1" t="s">
        <v>131</v>
      </c>
      <c r="H752" s="1" t="s">
        <v>130</v>
      </c>
      <c r="I752" s="1" t="s">
        <v>2016</v>
      </c>
      <c r="J752" s="1">
        <v>2019</v>
      </c>
      <c r="P752" s="1" t="s">
        <v>1881</v>
      </c>
      <c r="Q752" s="1" t="s">
        <v>780</v>
      </c>
      <c r="R752" s="1" t="s">
        <v>941</v>
      </c>
      <c r="S752" s="1" t="s">
        <v>1880</v>
      </c>
      <c r="T752" s="1" t="s">
        <v>1879</v>
      </c>
      <c r="U752" s="1">
        <v>1</v>
      </c>
      <c r="V752" s="1" t="s">
        <v>1832</v>
      </c>
      <c r="Y752" s="3">
        <v>43466</v>
      </c>
      <c r="Z752" s="1">
        <v>2019</v>
      </c>
      <c r="AA752" s="2"/>
      <c r="AB752" s="2"/>
      <c r="AC752" s="2">
        <v>492105.07000000007</v>
      </c>
      <c r="AG752" s="1" t="s">
        <v>21</v>
      </c>
      <c r="AI752" s="2">
        <v>492105.07000000007</v>
      </c>
      <c r="AK752" s="1"/>
      <c r="AL752" s="1" t="s">
        <v>127</v>
      </c>
    </row>
    <row r="753" spans="1:38" ht="15" customHeight="1" x14ac:dyDescent="0.2">
      <c r="A753" s="1" t="s">
        <v>19</v>
      </c>
      <c r="B753" s="5" t="s">
        <v>109</v>
      </c>
      <c r="C753" s="1" t="s">
        <v>37</v>
      </c>
      <c r="D753" s="1" t="s">
        <v>132</v>
      </c>
      <c r="E753" s="1" t="s">
        <v>35</v>
      </c>
      <c r="G753" s="1" t="s">
        <v>131</v>
      </c>
      <c r="H753" s="1" t="s">
        <v>130</v>
      </c>
      <c r="I753" s="1" t="s">
        <v>2015</v>
      </c>
      <c r="J753" s="1">
        <v>2018</v>
      </c>
      <c r="P753" s="1" t="s">
        <v>1881</v>
      </c>
      <c r="Q753" s="1" t="s">
        <v>780</v>
      </c>
      <c r="R753" s="1" t="s">
        <v>941</v>
      </c>
      <c r="S753" s="1" t="s">
        <v>1880</v>
      </c>
      <c r="T753" s="1" t="s">
        <v>1879</v>
      </c>
      <c r="U753" s="1">
        <v>1</v>
      </c>
      <c r="V753" s="1" t="s">
        <v>1832</v>
      </c>
      <c r="Y753" s="3">
        <v>43463</v>
      </c>
      <c r="Z753" s="1">
        <v>2018</v>
      </c>
      <c r="AA753" s="2"/>
      <c r="AB753" s="2"/>
      <c r="AC753" s="2">
        <v>586369.19000000006</v>
      </c>
      <c r="AG753" s="1" t="s">
        <v>21</v>
      </c>
      <c r="AI753" s="2">
        <v>586369.19000000006</v>
      </c>
      <c r="AK753" s="1"/>
      <c r="AL753" s="1" t="s">
        <v>127</v>
      </c>
    </row>
    <row r="754" spans="1:38" ht="15" customHeight="1" x14ac:dyDescent="0.2">
      <c r="A754" s="1" t="s">
        <v>19</v>
      </c>
      <c r="B754" s="5" t="s">
        <v>109</v>
      </c>
      <c r="C754" s="1" t="s">
        <v>37</v>
      </c>
      <c r="D754" s="1" t="s">
        <v>132</v>
      </c>
      <c r="E754" s="1" t="s">
        <v>35</v>
      </c>
      <c r="G754" s="1" t="s">
        <v>131</v>
      </c>
      <c r="H754" s="1" t="s">
        <v>130</v>
      </c>
      <c r="I754" s="1" t="s">
        <v>2014</v>
      </c>
      <c r="J754" s="1">
        <v>2019</v>
      </c>
      <c r="P754" s="1" t="s">
        <v>1881</v>
      </c>
      <c r="Q754" s="1" t="s">
        <v>780</v>
      </c>
      <c r="R754" s="1" t="s">
        <v>941</v>
      </c>
      <c r="S754" s="1" t="s">
        <v>1880</v>
      </c>
      <c r="T754" s="1" t="s">
        <v>1879</v>
      </c>
      <c r="U754" s="1">
        <v>1</v>
      </c>
      <c r="V754" s="1" t="s">
        <v>1832</v>
      </c>
      <c r="Y754" s="3">
        <v>43466</v>
      </c>
      <c r="Z754" s="1">
        <v>2019</v>
      </c>
      <c r="AA754" s="2"/>
      <c r="AB754" s="2"/>
      <c r="AC754" s="2">
        <v>709823.49</v>
      </c>
      <c r="AG754" s="1" t="s">
        <v>21</v>
      </c>
      <c r="AI754" s="2">
        <v>709823.49</v>
      </c>
      <c r="AK754" s="1"/>
      <c r="AL754" s="1" t="s">
        <v>127</v>
      </c>
    </row>
    <row r="755" spans="1:38" ht="15" customHeight="1" x14ac:dyDescent="0.2">
      <c r="A755" s="1" t="s">
        <v>19</v>
      </c>
      <c r="B755" s="5" t="s">
        <v>109</v>
      </c>
      <c r="C755" s="1" t="s">
        <v>37</v>
      </c>
      <c r="D755" s="1" t="s">
        <v>132</v>
      </c>
      <c r="E755" s="1" t="s">
        <v>35</v>
      </c>
      <c r="G755" s="1" t="s">
        <v>131</v>
      </c>
      <c r="H755" s="1" t="s">
        <v>130</v>
      </c>
      <c r="I755" s="1" t="s">
        <v>2013</v>
      </c>
      <c r="J755" s="1">
        <v>2019</v>
      </c>
      <c r="P755" s="1" t="s">
        <v>1881</v>
      </c>
      <c r="Q755" s="1" t="s">
        <v>780</v>
      </c>
      <c r="R755" s="1" t="s">
        <v>941</v>
      </c>
      <c r="S755" s="1" t="s">
        <v>1880</v>
      </c>
      <c r="T755" s="1" t="s">
        <v>1879</v>
      </c>
      <c r="U755" s="1">
        <v>1</v>
      </c>
      <c r="V755" s="1" t="s">
        <v>1832</v>
      </c>
      <c r="Y755" s="3">
        <v>43466</v>
      </c>
      <c r="Z755" s="1">
        <v>2019</v>
      </c>
      <c r="AA755" s="2"/>
      <c r="AB755" s="2"/>
      <c r="AC755" s="2">
        <v>509028.73999999993</v>
      </c>
      <c r="AG755" s="1" t="s">
        <v>21</v>
      </c>
      <c r="AI755" s="2">
        <v>509028.73999999993</v>
      </c>
      <c r="AK755" s="1"/>
      <c r="AL755" s="1" t="s">
        <v>127</v>
      </c>
    </row>
    <row r="756" spans="1:38" ht="15" customHeight="1" x14ac:dyDescent="0.2">
      <c r="A756" s="1" t="s">
        <v>19</v>
      </c>
      <c r="B756" s="5" t="s">
        <v>109</v>
      </c>
      <c r="C756" s="1" t="s">
        <v>37</v>
      </c>
      <c r="D756" s="1" t="s">
        <v>132</v>
      </c>
      <c r="E756" s="1" t="s">
        <v>35</v>
      </c>
      <c r="G756" s="1" t="s">
        <v>131</v>
      </c>
      <c r="H756" s="1" t="s">
        <v>130</v>
      </c>
      <c r="I756" s="1" t="s">
        <v>2012</v>
      </c>
      <c r="J756" s="1">
        <v>2019</v>
      </c>
      <c r="P756" s="1" t="s">
        <v>1881</v>
      </c>
      <c r="Q756" s="1" t="s">
        <v>780</v>
      </c>
      <c r="R756" s="1" t="s">
        <v>941</v>
      </c>
      <c r="S756" s="1" t="s">
        <v>1880</v>
      </c>
      <c r="T756" s="1" t="s">
        <v>1879</v>
      </c>
      <c r="U756" s="1">
        <v>1</v>
      </c>
      <c r="V756" s="1" t="s">
        <v>1832</v>
      </c>
      <c r="Y756" s="3">
        <v>43466</v>
      </c>
      <c r="Z756" s="1">
        <v>2019</v>
      </c>
      <c r="AA756" s="2"/>
      <c r="AB756" s="2"/>
      <c r="AC756" s="2">
        <v>693706.56000000017</v>
      </c>
      <c r="AG756" s="1" t="s">
        <v>21</v>
      </c>
      <c r="AI756" s="2">
        <v>693706.56000000017</v>
      </c>
      <c r="AK756" s="1"/>
      <c r="AL756" s="1" t="s">
        <v>127</v>
      </c>
    </row>
    <row r="757" spans="1:38" ht="15" customHeight="1" x14ac:dyDescent="0.2">
      <c r="A757" s="1" t="s">
        <v>19</v>
      </c>
      <c r="B757" s="5" t="s">
        <v>109</v>
      </c>
      <c r="C757" s="1" t="s">
        <v>37</v>
      </c>
      <c r="D757" s="1" t="s">
        <v>132</v>
      </c>
      <c r="E757" s="1" t="s">
        <v>35</v>
      </c>
      <c r="G757" s="1" t="s">
        <v>131</v>
      </c>
      <c r="H757" s="1" t="s">
        <v>130</v>
      </c>
      <c r="I757" s="1" t="s">
        <v>2011</v>
      </c>
      <c r="J757" s="1">
        <v>2023</v>
      </c>
      <c r="P757" s="1" t="s">
        <v>1881</v>
      </c>
      <c r="Q757" s="1" t="s">
        <v>780</v>
      </c>
      <c r="R757" s="1" t="s">
        <v>941</v>
      </c>
      <c r="S757" s="1" t="s">
        <v>1880</v>
      </c>
      <c r="T757" s="1" t="s">
        <v>1879</v>
      </c>
      <c r="U757" s="1">
        <v>1</v>
      </c>
      <c r="V757" s="1" t="s">
        <v>1832</v>
      </c>
      <c r="Y757" s="3">
        <v>45291</v>
      </c>
      <c r="Z757" s="1">
        <v>2023</v>
      </c>
      <c r="AA757" s="2"/>
      <c r="AB757" s="2"/>
      <c r="AC757" s="2">
        <v>720247.63000000082</v>
      </c>
      <c r="AG757" s="1" t="s">
        <v>21</v>
      </c>
      <c r="AI757" s="2">
        <v>720247.63000000082</v>
      </c>
      <c r="AK757" s="1"/>
      <c r="AL757" s="1" t="s">
        <v>127</v>
      </c>
    </row>
    <row r="758" spans="1:38" ht="15" customHeight="1" x14ac:dyDescent="0.2">
      <c r="A758" s="1" t="s">
        <v>19</v>
      </c>
      <c r="B758" s="5" t="s">
        <v>109</v>
      </c>
      <c r="C758" s="1" t="s">
        <v>37</v>
      </c>
      <c r="D758" s="1" t="s">
        <v>132</v>
      </c>
      <c r="E758" s="1" t="s">
        <v>35</v>
      </c>
      <c r="G758" s="1" t="s">
        <v>131</v>
      </c>
      <c r="H758" s="1" t="s">
        <v>130</v>
      </c>
      <c r="I758" s="1" t="s">
        <v>2010</v>
      </c>
      <c r="J758" s="1">
        <v>2019</v>
      </c>
      <c r="P758" s="1" t="s">
        <v>1881</v>
      </c>
      <c r="Q758" s="1" t="s">
        <v>780</v>
      </c>
      <c r="R758" s="1" t="s">
        <v>941</v>
      </c>
      <c r="S758" s="1" t="s">
        <v>1880</v>
      </c>
      <c r="T758" s="1" t="s">
        <v>1879</v>
      </c>
      <c r="U758" s="1">
        <v>1</v>
      </c>
      <c r="V758" s="1" t="s">
        <v>1832</v>
      </c>
      <c r="Y758" s="3">
        <v>43466</v>
      </c>
      <c r="Z758" s="1">
        <v>2019</v>
      </c>
      <c r="AA758" s="2"/>
      <c r="AB758" s="2"/>
      <c r="AC758" s="2">
        <v>600163.20000000007</v>
      </c>
      <c r="AG758" s="1" t="s">
        <v>21</v>
      </c>
      <c r="AI758" s="2">
        <v>600163.20000000007</v>
      </c>
      <c r="AK758" s="1"/>
      <c r="AL758" s="1" t="s">
        <v>127</v>
      </c>
    </row>
    <row r="759" spans="1:38" ht="15" customHeight="1" x14ac:dyDescent="0.2">
      <c r="A759" s="1" t="s">
        <v>19</v>
      </c>
      <c r="B759" s="5" t="s">
        <v>109</v>
      </c>
      <c r="C759" s="1" t="s">
        <v>37</v>
      </c>
      <c r="D759" s="1" t="s">
        <v>132</v>
      </c>
      <c r="E759" s="1" t="s">
        <v>35</v>
      </c>
      <c r="G759" s="1" t="s">
        <v>131</v>
      </c>
      <c r="H759" s="1" t="s">
        <v>130</v>
      </c>
      <c r="I759" s="1" t="s">
        <v>2009</v>
      </c>
      <c r="J759" s="1">
        <v>2019</v>
      </c>
      <c r="P759" s="1" t="s">
        <v>1881</v>
      </c>
      <c r="Q759" s="1" t="s">
        <v>780</v>
      </c>
      <c r="R759" s="1" t="s">
        <v>941</v>
      </c>
      <c r="S759" s="1" t="s">
        <v>1880</v>
      </c>
      <c r="T759" s="1" t="s">
        <v>1879</v>
      </c>
      <c r="U759" s="1">
        <v>1</v>
      </c>
      <c r="V759" s="1" t="s">
        <v>1832</v>
      </c>
      <c r="Y759" s="3">
        <v>43466</v>
      </c>
      <c r="Z759" s="1">
        <v>2019</v>
      </c>
      <c r="AA759" s="2"/>
      <c r="AB759" s="2"/>
      <c r="AC759" s="2">
        <v>681254.41999999993</v>
      </c>
      <c r="AG759" s="1" t="s">
        <v>21</v>
      </c>
      <c r="AI759" s="2">
        <v>681254.41999999993</v>
      </c>
      <c r="AK759" s="1"/>
      <c r="AL759" s="1" t="s">
        <v>127</v>
      </c>
    </row>
    <row r="760" spans="1:38" ht="15" customHeight="1" x14ac:dyDescent="0.2">
      <c r="A760" s="1" t="s">
        <v>19</v>
      </c>
      <c r="B760" s="5" t="s">
        <v>109</v>
      </c>
      <c r="C760" s="1" t="s">
        <v>37</v>
      </c>
      <c r="D760" s="1" t="s">
        <v>132</v>
      </c>
      <c r="E760" s="1" t="s">
        <v>35</v>
      </c>
      <c r="G760" s="1" t="s">
        <v>131</v>
      </c>
      <c r="H760" s="1" t="s">
        <v>130</v>
      </c>
      <c r="I760" s="1" t="s">
        <v>2008</v>
      </c>
      <c r="J760" s="1">
        <v>2019</v>
      </c>
      <c r="P760" s="1" t="s">
        <v>1881</v>
      </c>
      <c r="Q760" s="1" t="s">
        <v>780</v>
      </c>
      <c r="R760" s="1" t="s">
        <v>941</v>
      </c>
      <c r="S760" s="1" t="s">
        <v>1880</v>
      </c>
      <c r="T760" s="1" t="s">
        <v>1879</v>
      </c>
      <c r="U760" s="1">
        <v>1</v>
      </c>
      <c r="V760" s="1" t="s">
        <v>1832</v>
      </c>
      <c r="Y760" s="3">
        <v>43466</v>
      </c>
      <c r="Z760" s="1">
        <v>2019</v>
      </c>
      <c r="AA760" s="2"/>
      <c r="AB760" s="2"/>
      <c r="AC760" s="2">
        <v>377740.25</v>
      </c>
      <c r="AG760" s="1" t="s">
        <v>21</v>
      </c>
      <c r="AI760" s="2">
        <v>377740.25</v>
      </c>
      <c r="AK760" s="1"/>
      <c r="AL760" s="1" t="s">
        <v>127</v>
      </c>
    </row>
    <row r="761" spans="1:38" ht="15" customHeight="1" x14ac:dyDescent="0.2">
      <c r="A761" s="1" t="s">
        <v>19</v>
      </c>
      <c r="B761" s="5" t="s">
        <v>109</v>
      </c>
      <c r="C761" s="1" t="s">
        <v>37</v>
      </c>
      <c r="D761" s="1" t="s">
        <v>132</v>
      </c>
      <c r="E761" s="1" t="s">
        <v>35</v>
      </c>
      <c r="G761" s="1" t="s">
        <v>131</v>
      </c>
      <c r="H761" s="1" t="s">
        <v>130</v>
      </c>
      <c r="I761" s="1" t="s">
        <v>2007</v>
      </c>
      <c r="J761" s="1">
        <v>2019</v>
      </c>
      <c r="P761" s="1" t="s">
        <v>1881</v>
      </c>
      <c r="Q761" s="1" t="s">
        <v>780</v>
      </c>
      <c r="R761" s="1" t="s">
        <v>941</v>
      </c>
      <c r="S761" s="1" t="s">
        <v>1880</v>
      </c>
      <c r="T761" s="1" t="s">
        <v>1879</v>
      </c>
      <c r="U761" s="1">
        <v>1</v>
      </c>
      <c r="V761" s="1" t="s">
        <v>1832</v>
      </c>
      <c r="Y761" s="3">
        <v>43466</v>
      </c>
      <c r="Z761" s="1">
        <v>2019</v>
      </c>
      <c r="AA761" s="2"/>
      <c r="AB761" s="2"/>
      <c r="AC761" s="2">
        <v>715205.15</v>
      </c>
      <c r="AG761" s="1" t="s">
        <v>21</v>
      </c>
      <c r="AI761" s="2">
        <v>715205.15</v>
      </c>
      <c r="AK761" s="1"/>
      <c r="AL761" s="1" t="s">
        <v>127</v>
      </c>
    </row>
    <row r="762" spans="1:38" ht="15" customHeight="1" x14ac:dyDescent="0.2">
      <c r="A762" s="1" t="s">
        <v>19</v>
      </c>
      <c r="B762" s="5" t="s">
        <v>109</v>
      </c>
      <c r="C762" s="1" t="s">
        <v>37</v>
      </c>
      <c r="D762" s="1" t="s">
        <v>132</v>
      </c>
      <c r="E762" s="1" t="s">
        <v>35</v>
      </c>
      <c r="G762" s="1" t="s">
        <v>131</v>
      </c>
      <c r="H762" s="1" t="s">
        <v>130</v>
      </c>
      <c r="I762" s="1" t="s">
        <v>2006</v>
      </c>
      <c r="J762" s="1">
        <v>2019</v>
      </c>
      <c r="P762" s="1" t="s">
        <v>1881</v>
      </c>
      <c r="Q762" s="1" t="s">
        <v>780</v>
      </c>
      <c r="R762" s="1" t="s">
        <v>941</v>
      </c>
      <c r="S762" s="1" t="s">
        <v>1880</v>
      </c>
      <c r="T762" s="1" t="s">
        <v>1879</v>
      </c>
      <c r="U762" s="1">
        <v>1</v>
      </c>
      <c r="V762" s="1" t="s">
        <v>1832</v>
      </c>
      <c r="Y762" s="3">
        <v>43466</v>
      </c>
      <c r="Z762" s="1">
        <v>2019</v>
      </c>
      <c r="AA762" s="2"/>
      <c r="AB762" s="2"/>
      <c r="AC762" s="2">
        <v>616037.94999999995</v>
      </c>
      <c r="AG762" s="1" t="s">
        <v>21</v>
      </c>
      <c r="AI762" s="2">
        <v>616037.94999999995</v>
      </c>
      <c r="AK762" s="1"/>
      <c r="AL762" s="1" t="s">
        <v>127</v>
      </c>
    </row>
    <row r="763" spans="1:38" ht="15" customHeight="1" x14ac:dyDescent="0.2">
      <c r="A763" s="1" t="s">
        <v>19</v>
      </c>
      <c r="B763" s="5" t="s">
        <v>109</v>
      </c>
      <c r="C763" s="1" t="s">
        <v>37</v>
      </c>
      <c r="D763" s="1" t="s">
        <v>132</v>
      </c>
      <c r="E763" s="1" t="s">
        <v>35</v>
      </c>
      <c r="G763" s="1" t="s">
        <v>131</v>
      </c>
      <c r="H763" s="1" t="s">
        <v>130</v>
      </c>
      <c r="I763" s="1" t="s">
        <v>2005</v>
      </c>
      <c r="J763" s="1">
        <v>2019</v>
      </c>
      <c r="P763" s="1" t="s">
        <v>1881</v>
      </c>
      <c r="Q763" s="1" t="s">
        <v>780</v>
      </c>
      <c r="R763" s="1" t="s">
        <v>941</v>
      </c>
      <c r="S763" s="1" t="s">
        <v>1880</v>
      </c>
      <c r="T763" s="1" t="s">
        <v>1879</v>
      </c>
      <c r="U763" s="1">
        <v>1</v>
      </c>
      <c r="V763" s="1" t="s">
        <v>1832</v>
      </c>
      <c r="Y763" s="3">
        <v>43466</v>
      </c>
      <c r="Z763" s="1">
        <v>2019</v>
      </c>
      <c r="AA763" s="2"/>
      <c r="AB763" s="2"/>
      <c r="AC763" s="2">
        <v>725457.19</v>
      </c>
      <c r="AG763" s="1" t="s">
        <v>21</v>
      </c>
      <c r="AI763" s="2">
        <v>725457.19</v>
      </c>
      <c r="AK763" s="1"/>
      <c r="AL763" s="1" t="s">
        <v>127</v>
      </c>
    </row>
    <row r="764" spans="1:38" ht="15" customHeight="1" x14ac:dyDescent="0.2">
      <c r="A764" s="1" t="s">
        <v>19</v>
      </c>
      <c r="B764" s="5" t="s">
        <v>109</v>
      </c>
      <c r="C764" s="1" t="s">
        <v>37</v>
      </c>
      <c r="D764" s="1" t="s">
        <v>132</v>
      </c>
      <c r="E764" s="1" t="s">
        <v>35</v>
      </c>
      <c r="G764" s="1" t="s">
        <v>131</v>
      </c>
      <c r="H764" s="1" t="s">
        <v>130</v>
      </c>
      <c r="I764" s="1" t="s">
        <v>2004</v>
      </c>
      <c r="J764" s="1">
        <v>2019</v>
      </c>
      <c r="P764" s="1" t="s">
        <v>1881</v>
      </c>
      <c r="Q764" s="1" t="s">
        <v>780</v>
      </c>
      <c r="R764" s="1" t="s">
        <v>941</v>
      </c>
      <c r="S764" s="1" t="s">
        <v>1880</v>
      </c>
      <c r="T764" s="1" t="s">
        <v>1879</v>
      </c>
      <c r="U764" s="1">
        <v>1</v>
      </c>
      <c r="V764" s="1" t="s">
        <v>1832</v>
      </c>
      <c r="Y764" s="3">
        <v>43466</v>
      </c>
      <c r="Z764" s="1">
        <v>2019</v>
      </c>
      <c r="AA764" s="2"/>
      <c r="AB764" s="2"/>
      <c r="AC764" s="2">
        <v>521100.17</v>
      </c>
      <c r="AG764" s="1" t="s">
        <v>21</v>
      </c>
      <c r="AI764" s="2">
        <v>521100.17</v>
      </c>
      <c r="AK764" s="1"/>
      <c r="AL764" s="1" t="s">
        <v>127</v>
      </c>
    </row>
    <row r="765" spans="1:38" ht="15" customHeight="1" x14ac:dyDescent="0.2">
      <c r="A765" s="1" t="s">
        <v>19</v>
      </c>
      <c r="B765" s="5" t="s">
        <v>109</v>
      </c>
      <c r="C765" s="1" t="s">
        <v>37</v>
      </c>
      <c r="D765" s="1" t="s">
        <v>132</v>
      </c>
      <c r="E765" s="1" t="s">
        <v>35</v>
      </c>
      <c r="G765" s="1" t="s">
        <v>131</v>
      </c>
      <c r="H765" s="1" t="s">
        <v>130</v>
      </c>
      <c r="I765" s="1" t="s">
        <v>2003</v>
      </c>
      <c r="J765" s="1">
        <v>2019</v>
      </c>
      <c r="P765" s="1" t="s">
        <v>1881</v>
      </c>
      <c r="Q765" s="1" t="s">
        <v>780</v>
      </c>
      <c r="R765" s="1" t="s">
        <v>941</v>
      </c>
      <c r="S765" s="1" t="s">
        <v>1880</v>
      </c>
      <c r="T765" s="1" t="s">
        <v>1879</v>
      </c>
      <c r="U765" s="1">
        <v>1</v>
      </c>
      <c r="V765" s="1" t="s">
        <v>1832</v>
      </c>
      <c r="Y765" s="3">
        <v>43466</v>
      </c>
      <c r="Z765" s="1">
        <v>2019</v>
      </c>
      <c r="AA765" s="2"/>
      <c r="AB765" s="2"/>
      <c r="AC765" s="2">
        <v>401465.83999999997</v>
      </c>
      <c r="AG765" s="1" t="s">
        <v>21</v>
      </c>
      <c r="AI765" s="2">
        <v>401465.83999999997</v>
      </c>
      <c r="AK765" s="1"/>
      <c r="AL765" s="1" t="s">
        <v>127</v>
      </c>
    </row>
    <row r="766" spans="1:38" ht="15" customHeight="1" x14ac:dyDescent="0.2">
      <c r="A766" s="1" t="s">
        <v>19</v>
      </c>
      <c r="B766" s="5" t="s">
        <v>109</v>
      </c>
      <c r="C766" s="1" t="s">
        <v>37</v>
      </c>
      <c r="D766" s="1" t="s">
        <v>132</v>
      </c>
      <c r="E766" s="1" t="s">
        <v>35</v>
      </c>
      <c r="G766" s="1" t="s">
        <v>131</v>
      </c>
      <c r="H766" s="1" t="s">
        <v>130</v>
      </c>
      <c r="I766" s="1" t="s">
        <v>2002</v>
      </c>
      <c r="J766" s="1">
        <v>2019</v>
      </c>
      <c r="P766" s="1" t="s">
        <v>1881</v>
      </c>
      <c r="Q766" s="1" t="s">
        <v>780</v>
      </c>
      <c r="R766" s="1" t="s">
        <v>941</v>
      </c>
      <c r="S766" s="1" t="s">
        <v>1880</v>
      </c>
      <c r="T766" s="1" t="s">
        <v>1879</v>
      </c>
      <c r="U766" s="1">
        <v>1</v>
      </c>
      <c r="V766" s="1" t="s">
        <v>1832</v>
      </c>
      <c r="Y766" s="3">
        <v>43466</v>
      </c>
      <c r="Z766" s="1">
        <v>2019</v>
      </c>
      <c r="AA766" s="2"/>
      <c r="AB766" s="2"/>
      <c r="AC766" s="2">
        <v>698174.30999999994</v>
      </c>
      <c r="AG766" s="1" t="s">
        <v>21</v>
      </c>
      <c r="AI766" s="2">
        <v>698174.30999999994</v>
      </c>
      <c r="AK766" s="1"/>
      <c r="AL766" s="1" t="s">
        <v>127</v>
      </c>
    </row>
    <row r="767" spans="1:38" ht="15" customHeight="1" x14ac:dyDescent="0.2">
      <c r="A767" s="1" t="s">
        <v>19</v>
      </c>
      <c r="B767" s="5" t="s">
        <v>109</v>
      </c>
      <c r="C767" s="1" t="s">
        <v>37</v>
      </c>
      <c r="D767" s="1" t="s">
        <v>132</v>
      </c>
      <c r="E767" s="1" t="s">
        <v>35</v>
      </c>
      <c r="G767" s="1" t="s">
        <v>131</v>
      </c>
      <c r="H767" s="1" t="s">
        <v>130</v>
      </c>
      <c r="I767" s="1" t="s">
        <v>2001</v>
      </c>
      <c r="J767" s="1">
        <v>2019</v>
      </c>
      <c r="P767" s="1" t="s">
        <v>1881</v>
      </c>
      <c r="Q767" s="1" t="s">
        <v>780</v>
      </c>
      <c r="R767" s="1" t="s">
        <v>941</v>
      </c>
      <c r="S767" s="1" t="s">
        <v>1880</v>
      </c>
      <c r="T767" s="1" t="s">
        <v>1879</v>
      </c>
      <c r="U767" s="1">
        <v>1</v>
      </c>
      <c r="V767" s="1" t="s">
        <v>1832</v>
      </c>
      <c r="Y767" s="3">
        <v>43617</v>
      </c>
      <c r="Z767" s="1">
        <v>2019</v>
      </c>
      <c r="AA767" s="2"/>
      <c r="AB767" s="2"/>
      <c r="AC767" s="2">
        <v>683240.28</v>
      </c>
      <c r="AG767" s="1" t="s">
        <v>21</v>
      </c>
      <c r="AI767" s="2">
        <v>683240.28</v>
      </c>
      <c r="AK767" s="1"/>
      <c r="AL767" s="1" t="s">
        <v>127</v>
      </c>
    </row>
    <row r="768" spans="1:38" ht="15" customHeight="1" x14ac:dyDescent="0.2">
      <c r="A768" s="1" t="s">
        <v>19</v>
      </c>
      <c r="B768" s="5" t="s">
        <v>109</v>
      </c>
      <c r="C768" s="1" t="s">
        <v>37</v>
      </c>
      <c r="D768" s="1" t="s">
        <v>132</v>
      </c>
      <c r="E768" s="1" t="s">
        <v>35</v>
      </c>
      <c r="G768" s="1" t="s">
        <v>131</v>
      </c>
      <c r="H768" s="1" t="s">
        <v>130</v>
      </c>
      <c r="I768" s="1" t="s">
        <v>2000</v>
      </c>
      <c r="J768" s="1">
        <v>2019</v>
      </c>
      <c r="P768" s="1" t="s">
        <v>1881</v>
      </c>
      <c r="Q768" s="1" t="s">
        <v>780</v>
      </c>
      <c r="R768" s="1" t="s">
        <v>941</v>
      </c>
      <c r="S768" s="1" t="s">
        <v>1880</v>
      </c>
      <c r="T768" s="1" t="s">
        <v>1879</v>
      </c>
      <c r="U768" s="1">
        <v>1</v>
      </c>
      <c r="V768" s="1" t="s">
        <v>1832</v>
      </c>
      <c r="Y768" s="3">
        <v>43466</v>
      </c>
      <c r="Z768" s="1">
        <v>2019</v>
      </c>
      <c r="AA768" s="2"/>
      <c r="AB768" s="2"/>
      <c r="AC768" s="2">
        <v>622913.55999999994</v>
      </c>
      <c r="AG768" s="1" t="s">
        <v>21</v>
      </c>
      <c r="AI768" s="2">
        <v>622913.55999999994</v>
      </c>
      <c r="AK768" s="1"/>
      <c r="AL768" s="1" t="s">
        <v>127</v>
      </c>
    </row>
    <row r="769" spans="1:38" ht="15" customHeight="1" x14ac:dyDescent="0.2">
      <c r="A769" s="1" t="s">
        <v>19</v>
      </c>
      <c r="B769" s="5" t="s">
        <v>109</v>
      </c>
      <c r="C769" s="1" t="s">
        <v>37</v>
      </c>
      <c r="D769" s="1" t="s">
        <v>132</v>
      </c>
      <c r="E769" s="1" t="s">
        <v>35</v>
      </c>
      <c r="G769" s="1" t="s">
        <v>131</v>
      </c>
      <c r="H769" s="1" t="s">
        <v>130</v>
      </c>
      <c r="I769" s="1" t="s">
        <v>1999</v>
      </c>
      <c r="J769" s="1">
        <v>2019</v>
      </c>
      <c r="P769" s="1" t="s">
        <v>1881</v>
      </c>
      <c r="Q769" s="1" t="s">
        <v>780</v>
      </c>
      <c r="R769" s="1" t="s">
        <v>941</v>
      </c>
      <c r="S769" s="1" t="s">
        <v>1880</v>
      </c>
      <c r="T769" s="1" t="s">
        <v>1879</v>
      </c>
      <c r="U769" s="1">
        <v>1</v>
      </c>
      <c r="V769" s="1" t="s">
        <v>1832</v>
      </c>
      <c r="Y769" s="3">
        <v>43617</v>
      </c>
      <c r="Z769" s="1">
        <v>2019</v>
      </c>
      <c r="AA769" s="2"/>
      <c r="AB769" s="2"/>
      <c r="AC769" s="2">
        <v>510154.51000000007</v>
      </c>
      <c r="AG769" s="1" t="s">
        <v>21</v>
      </c>
      <c r="AI769" s="2">
        <v>510154.51000000007</v>
      </c>
      <c r="AK769" s="1"/>
      <c r="AL769" s="1" t="s">
        <v>127</v>
      </c>
    </row>
    <row r="770" spans="1:38" ht="15" customHeight="1" x14ac:dyDescent="0.2">
      <c r="A770" s="1" t="s">
        <v>19</v>
      </c>
      <c r="B770" s="5" t="s">
        <v>109</v>
      </c>
      <c r="C770" s="1" t="s">
        <v>37</v>
      </c>
      <c r="D770" s="1" t="s">
        <v>132</v>
      </c>
      <c r="E770" s="1" t="s">
        <v>35</v>
      </c>
      <c r="G770" s="1" t="s">
        <v>135</v>
      </c>
      <c r="H770" s="1" t="s">
        <v>130</v>
      </c>
      <c r="I770" s="1" t="s">
        <v>1998</v>
      </c>
      <c r="J770" s="1">
        <v>2020</v>
      </c>
      <c r="P770" s="1" t="s">
        <v>1881</v>
      </c>
      <c r="Q770" s="1" t="s">
        <v>780</v>
      </c>
      <c r="R770" s="1" t="s">
        <v>941</v>
      </c>
      <c r="S770" s="1" t="s">
        <v>1880</v>
      </c>
      <c r="T770" s="1" t="s">
        <v>1879</v>
      </c>
      <c r="U770" s="1">
        <v>1</v>
      </c>
      <c r="V770" s="1" t="s">
        <v>1832</v>
      </c>
      <c r="Y770" s="3">
        <v>44008</v>
      </c>
      <c r="Z770" s="1">
        <v>2020</v>
      </c>
      <c r="AA770" s="2"/>
      <c r="AB770" s="2"/>
      <c r="AC770" s="2">
        <v>20623.89</v>
      </c>
      <c r="AG770" s="1" t="s">
        <v>21</v>
      </c>
      <c r="AI770" s="2">
        <v>20623.89</v>
      </c>
      <c r="AK770" s="1"/>
    </row>
    <row r="771" spans="1:38" ht="15" customHeight="1" x14ac:dyDescent="0.2">
      <c r="A771" s="1" t="s">
        <v>19</v>
      </c>
      <c r="B771" s="5" t="s">
        <v>109</v>
      </c>
      <c r="C771" s="1" t="s">
        <v>37</v>
      </c>
      <c r="D771" s="1" t="s">
        <v>132</v>
      </c>
      <c r="E771" s="1" t="s">
        <v>35</v>
      </c>
      <c r="G771" s="1" t="s">
        <v>135</v>
      </c>
      <c r="H771" s="1" t="s">
        <v>130</v>
      </c>
      <c r="I771" s="1" t="s">
        <v>1997</v>
      </c>
      <c r="J771" s="1">
        <v>2020</v>
      </c>
      <c r="P771" s="1" t="s">
        <v>1881</v>
      </c>
      <c r="Q771" s="1" t="s">
        <v>780</v>
      </c>
      <c r="R771" s="1" t="s">
        <v>941</v>
      </c>
      <c r="S771" s="1" t="s">
        <v>1880</v>
      </c>
      <c r="T771" s="1" t="s">
        <v>1879</v>
      </c>
      <c r="U771" s="1">
        <v>1</v>
      </c>
      <c r="V771" s="1" t="s">
        <v>1832</v>
      </c>
      <c r="Y771" s="3">
        <v>44008</v>
      </c>
      <c r="Z771" s="1">
        <v>2020</v>
      </c>
      <c r="AA771" s="2"/>
      <c r="AB771" s="2"/>
      <c r="AC771" s="2">
        <v>20041.41</v>
      </c>
      <c r="AG771" s="1" t="s">
        <v>21</v>
      </c>
      <c r="AI771" s="2">
        <v>20041.41</v>
      </c>
      <c r="AK771" s="1"/>
    </row>
    <row r="772" spans="1:38" ht="15" customHeight="1" x14ac:dyDescent="0.2">
      <c r="A772" s="1" t="s">
        <v>19</v>
      </c>
      <c r="B772" s="5" t="s">
        <v>109</v>
      </c>
      <c r="C772" s="1" t="s">
        <v>37</v>
      </c>
      <c r="D772" s="1" t="s">
        <v>132</v>
      </c>
      <c r="E772" s="1" t="s">
        <v>35</v>
      </c>
      <c r="G772" s="1" t="s">
        <v>131</v>
      </c>
      <c r="H772" s="1" t="s">
        <v>130</v>
      </c>
      <c r="I772" s="1" t="s">
        <v>1996</v>
      </c>
      <c r="J772" s="1">
        <v>2019</v>
      </c>
      <c r="P772" s="1" t="s">
        <v>1881</v>
      </c>
      <c r="Q772" s="1" t="s">
        <v>780</v>
      </c>
      <c r="R772" s="1" t="s">
        <v>941</v>
      </c>
      <c r="S772" s="1" t="s">
        <v>1880</v>
      </c>
      <c r="T772" s="1" t="s">
        <v>1879</v>
      </c>
      <c r="U772" s="1">
        <v>1</v>
      </c>
      <c r="V772" s="1" t="s">
        <v>1832</v>
      </c>
      <c r="Y772" s="3">
        <v>43466</v>
      </c>
      <c r="Z772" s="1">
        <v>2019</v>
      </c>
      <c r="AA772" s="2"/>
      <c r="AB772" s="2"/>
      <c r="AC772" s="2">
        <v>709778.02</v>
      </c>
      <c r="AG772" s="1" t="s">
        <v>21</v>
      </c>
      <c r="AI772" s="2">
        <v>709778.02</v>
      </c>
      <c r="AK772" s="1"/>
      <c r="AL772" s="1" t="s">
        <v>127</v>
      </c>
    </row>
    <row r="773" spans="1:38" ht="15" customHeight="1" x14ac:dyDescent="0.2">
      <c r="A773" s="1" t="s">
        <v>19</v>
      </c>
      <c r="B773" s="5" t="s">
        <v>109</v>
      </c>
      <c r="C773" s="1" t="s">
        <v>37</v>
      </c>
      <c r="D773" s="1" t="s">
        <v>132</v>
      </c>
      <c r="E773" s="1" t="s">
        <v>35</v>
      </c>
      <c r="G773" s="1" t="s">
        <v>131</v>
      </c>
      <c r="H773" s="1" t="s">
        <v>130</v>
      </c>
      <c r="I773" s="1" t="s">
        <v>1995</v>
      </c>
      <c r="J773" s="1">
        <v>2019</v>
      </c>
      <c r="P773" s="1" t="s">
        <v>1881</v>
      </c>
      <c r="Q773" s="1" t="s">
        <v>780</v>
      </c>
      <c r="R773" s="1" t="s">
        <v>941</v>
      </c>
      <c r="S773" s="1" t="s">
        <v>1880</v>
      </c>
      <c r="T773" s="1" t="s">
        <v>1879</v>
      </c>
      <c r="U773" s="1">
        <v>1</v>
      </c>
      <c r="V773" s="1" t="s">
        <v>1832</v>
      </c>
      <c r="Y773" s="3">
        <v>43466</v>
      </c>
      <c r="Z773" s="1">
        <v>2019</v>
      </c>
      <c r="AA773" s="2"/>
      <c r="AB773" s="2"/>
      <c r="AC773" s="2">
        <v>594440.16</v>
      </c>
      <c r="AG773" s="1" t="s">
        <v>21</v>
      </c>
      <c r="AI773" s="2">
        <v>594440.16</v>
      </c>
      <c r="AK773" s="1"/>
      <c r="AL773" s="1" t="s">
        <v>127</v>
      </c>
    </row>
    <row r="774" spans="1:38" ht="15" customHeight="1" x14ac:dyDescent="0.2">
      <c r="A774" s="1" t="s">
        <v>19</v>
      </c>
      <c r="B774" s="5" t="s">
        <v>109</v>
      </c>
      <c r="C774" s="1" t="s">
        <v>37</v>
      </c>
      <c r="D774" s="1" t="s">
        <v>211</v>
      </c>
      <c r="E774" s="1" t="s">
        <v>35</v>
      </c>
      <c r="F774" s="1" t="s">
        <v>260</v>
      </c>
      <c r="G774" s="1" t="s">
        <v>259</v>
      </c>
      <c r="H774" s="1" t="s">
        <v>130</v>
      </c>
      <c r="I774" s="1" t="s">
        <v>1994</v>
      </c>
      <c r="J774" s="1" t="s">
        <v>316</v>
      </c>
      <c r="K774" s="1" t="s">
        <v>1992</v>
      </c>
      <c r="P774" s="1" t="s">
        <v>1993</v>
      </c>
      <c r="Q774" s="1" t="s">
        <v>780</v>
      </c>
      <c r="R774" s="1" t="s">
        <v>941</v>
      </c>
      <c r="S774" s="1" t="s">
        <v>1873</v>
      </c>
      <c r="T774" s="1" t="s">
        <v>1872</v>
      </c>
      <c r="U774" s="1">
        <v>1</v>
      </c>
      <c r="V774" s="1" t="s">
        <v>1832</v>
      </c>
      <c r="W774" s="1" t="s">
        <v>1992</v>
      </c>
      <c r="X774" s="1" t="s">
        <v>319</v>
      </c>
      <c r="Y774" s="3">
        <v>44392</v>
      </c>
      <c r="Z774" s="1">
        <v>2021</v>
      </c>
      <c r="AA774" s="2">
        <v>498195</v>
      </c>
      <c r="AB774" s="2"/>
      <c r="AC774" s="2">
        <v>50000</v>
      </c>
      <c r="AD774" s="1">
        <v>1</v>
      </c>
      <c r="AG774" s="1" t="s">
        <v>106</v>
      </c>
      <c r="AH774" s="1" t="s">
        <v>105</v>
      </c>
      <c r="AI774" s="2">
        <v>0</v>
      </c>
      <c r="AK774" s="1"/>
    </row>
    <row r="775" spans="1:38" ht="15" customHeight="1" x14ac:dyDescent="0.2">
      <c r="A775" s="1" t="s">
        <v>19</v>
      </c>
      <c r="B775" s="5" t="s">
        <v>18</v>
      </c>
      <c r="C775" s="1" t="s">
        <v>37</v>
      </c>
      <c r="D775" s="1" t="s">
        <v>211</v>
      </c>
      <c r="E775" s="1" t="s">
        <v>35</v>
      </c>
      <c r="F775" s="1" t="s">
        <v>260</v>
      </c>
      <c r="G775" s="1" t="s">
        <v>259</v>
      </c>
      <c r="H775" s="1" t="s">
        <v>130</v>
      </c>
      <c r="I775" s="1" t="s">
        <v>1991</v>
      </c>
      <c r="J775" s="1" t="s">
        <v>316</v>
      </c>
      <c r="K775" s="1" t="s">
        <v>1987</v>
      </c>
      <c r="L775" s="1" t="s">
        <v>1990</v>
      </c>
      <c r="M775" s="1" t="s">
        <v>1989</v>
      </c>
      <c r="P775" s="1" t="s">
        <v>1988</v>
      </c>
      <c r="Q775" s="1" t="s">
        <v>780</v>
      </c>
      <c r="R775" s="1" t="s">
        <v>941</v>
      </c>
      <c r="S775" s="1" t="s">
        <v>1880</v>
      </c>
      <c r="T775" s="1" t="s">
        <v>1879</v>
      </c>
      <c r="U775" s="1">
        <v>1</v>
      </c>
      <c r="V775" s="1" t="s">
        <v>1832</v>
      </c>
      <c r="W775" s="1" t="s">
        <v>1987</v>
      </c>
      <c r="X775" s="1" t="s">
        <v>529</v>
      </c>
      <c r="Y775" s="3">
        <v>43825</v>
      </c>
      <c r="Z775" s="1">
        <v>2019</v>
      </c>
      <c r="AA775" s="2">
        <v>151106.1</v>
      </c>
      <c r="AB775" s="2"/>
      <c r="AC775" s="2">
        <v>45331.83</v>
      </c>
      <c r="AD775" s="1">
        <v>1</v>
      </c>
      <c r="AG775" s="1" t="s">
        <v>21</v>
      </c>
      <c r="AI775" s="2">
        <v>45331.83</v>
      </c>
      <c r="AK775" s="1"/>
    </row>
    <row r="776" spans="1:38" ht="15" customHeight="1" x14ac:dyDescent="0.2">
      <c r="A776" s="1" t="s">
        <v>19</v>
      </c>
      <c r="B776" s="5" t="s">
        <v>109</v>
      </c>
      <c r="C776" s="1" t="s">
        <v>37</v>
      </c>
      <c r="D776" s="1" t="s">
        <v>211</v>
      </c>
      <c r="E776" s="1" t="s">
        <v>35</v>
      </c>
      <c r="F776" s="1" t="s">
        <v>260</v>
      </c>
      <c r="G776" s="1" t="s">
        <v>259</v>
      </c>
      <c r="H776" s="1" t="s">
        <v>130</v>
      </c>
      <c r="I776" s="1" t="s">
        <v>1986</v>
      </c>
      <c r="J776" s="1" t="s">
        <v>316</v>
      </c>
      <c r="K776" s="1" t="s">
        <v>1984</v>
      </c>
      <c r="P776" s="1" t="s">
        <v>1985</v>
      </c>
      <c r="Q776" s="1" t="s">
        <v>780</v>
      </c>
      <c r="R776" s="1" t="s">
        <v>941</v>
      </c>
      <c r="S776" s="1" t="s">
        <v>1834</v>
      </c>
      <c r="T776" s="1" t="s">
        <v>1833</v>
      </c>
      <c r="U776" s="1">
        <v>1</v>
      </c>
      <c r="V776" s="1" t="s">
        <v>1832</v>
      </c>
      <c r="W776" s="1" t="s">
        <v>1984</v>
      </c>
      <c r="X776" s="1" t="s">
        <v>529</v>
      </c>
      <c r="Y776" s="3">
        <v>44315</v>
      </c>
      <c r="Z776" s="1">
        <v>2021</v>
      </c>
      <c r="AA776" s="2">
        <v>199954</v>
      </c>
      <c r="AB776" s="2"/>
      <c r="AC776" s="2">
        <v>50000</v>
      </c>
      <c r="AD776" s="1">
        <v>1</v>
      </c>
      <c r="AG776" s="1" t="s">
        <v>106</v>
      </c>
      <c r="AH776" s="1" t="s">
        <v>105</v>
      </c>
      <c r="AI776" s="2">
        <v>0</v>
      </c>
      <c r="AK776" s="1"/>
    </row>
    <row r="777" spans="1:38" ht="15" customHeight="1" x14ac:dyDescent="0.2">
      <c r="A777" s="1" t="s">
        <v>19</v>
      </c>
      <c r="B777" s="5" t="s">
        <v>109</v>
      </c>
      <c r="C777" s="1" t="s">
        <v>37</v>
      </c>
      <c r="D777" s="1" t="s">
        <v>211</v>
      </c>
      <c r="E777" s="1" t="s">
        <v>35</v>
      </c>
      <c r="F777" s="1" t="s">
        <v>260</v>
      </c>
      <c r="G777" s="1" t="s">
        <v>259</v>
      </c>
      <c r="H777" s="1" t="s">
        <v>130</v>
      </c>
      <c r="I777" s="1" t="s">
        <v>1983</v>
      </c>
      <c r="J777" s="1">
        <v>2021</v>
      </c>
      <c r="K777" s="1" t="s">
        <v>1981</v>
      </c>
      <c r="P777" s="1" t="s">
        <v>1982</v>
      </c>
      <c r="Q777" s="1" t="s">
        <v>780</v>
      </c>
      <c r="R777" s="1" t="s">
        <v>941</v>
      </c>
      <c r="S777" s="1" t="s">
        <v>1880</v>
      </c>
      <c r="T777" s="1" t="s">
        <v>1879</v>
      </c>
      <c r="U777" s="1">
        <v>1</v>
      </c>
      <c r="V777" s="1" t="s">
        <v>1832</v>
      </c>
      <c r="W777" s="1" t="s">
        <v>1981</v>
      </c>
      <c r="X777" s="1" t="s">
        <v>304</v>
      </c>
      <c r="Y777" s="3">
        <v>44557</v>
      </c>
      <c r="Z777" s="1">
        <v>2021</v>
      </c>
      <c r="AA777" s="2">
        <v>199900</v>
      </c>
      <c r="AB777" s="2"/>
      <c r="AC777" s="2">
        <v>30000</v>
      </c>
      <c r="AD777" s="1">
        <v>1</v>
      </c>
      <c r="AG777" s="1" t="s">
        <v>106</v>
      </c>
      <c r="AH777" s="1" t="s">
        <v>105</v>
      </c>
      <c r="AI777" s="2">
        <v>0</v>
      </c>
      <c r="AK777" s="1"/>
    </row>
    <row r="778" spans="1:38" ht="15" customHeight="1" x14ac:dyDescent="0.2">
      <c r="A778" s="1" t="s">
        <v>19</v>
      </c>
      <c r="B778" s="5" t="s">
        <v>109</v>
      </c>
      <c r="C778" s="1" t="s">
        <v>37</v>
      </c>
      <c r="D778" s="1" t="s">
        <v>211</v>
      </c>
      <c r="E778" s="1" t="s">
        <v>35</v>
      </c>
      <c r="F778" s="1" t="s">
        <v>260</v>
      </c>
      <c r="G778" s="1" t="s">
        <v>259</v>
      </c>
      <c r="H778" s="1" t="s">
        <v>130</v>
      </c>
      <c r="I778" s="1" t="s">
        <v>1980</v>
      </c>
      <c r="J778" s="1">
        <v>2021</v>
      </c>
      <c r="K778" s="1" t="s">
        <v>1978</v>
      </c>
      <c r="P778" s="1" t="s">
        <v>1979</v>
      </c>
      <c r="Q778" s="1" t="s">
        <v>780</v>
      </c>
      <c r="R778" s="1" t="s">
        <v>941</v>
      </c>
      <c r="S778" s="1" t="s">
        <v>1862</v>
      </c>
      <c r="T778" s="1" t="s">
        <v>1861</v>
      </c>
      <c r="U778" s="1">
        <v>1</v>
      </c>
      <c r="V778" s="1" t="s">
        <v>1832</v>
      </c>
      <c r="W778" s="1" t="s">
        <v>1978</v>
      </c>
      <c r="X778" s="1" t="s">
        <v>304</v>
      </c>
      <c r="Y778" s="3">
        <v>44557</v>
      </c>
      <c r="Z778" s="1">
        <v>2021</v>
      </c>
      <c r="AA778" s="2">
        <v>77368.509999999995</v>
      </c>
      <c r="AB778" s="2"/>
      <c r="AC778" s="2">
        <v>23210.55</v>
      </c>
      <c r="AD778" s="1">
        <v>1</v>
      </c>
      <c r="AG778" s="1" t="s">
        <v>106</v>
      </c>
      <c r="AH778" s="1" t="s">
        <v>105</v>
      </c>
      <c r="AI778" s="2">
        <v>0</v>
      </c>
      <c r="AK778" s="1"/>
      <c r="AL778" s="19" t="s">
        <v>1977</v>
      </c>
    </row>
    <row r="779" spans="1:38" ht="15" customHeight="1" x14ac:dyDescent="0.2">
      <c r="A779" s="1" t="s">
        <v>19</v>
      </c>
      <c r="B779" s="5" t="s">
        <v>109</v>
      </c>
      <c r="C779" s="1" t="s">
        <v>37</v>
      </c>
      <c r="D779" s="1" t="s">
        <v>211</v>
      </c>
      <c r="E779" s="1" t="s">
        <v>35</v>
      </c>
      <c r="F779" s="1" t="s">
        <v>260</v>
      </c>
      <c r="G779" s="1" t="s">
        <v>259</v>
      </c>
      <c r="H779" s="1" t="s">
        <v>130</v>
      </c>
      <c r="I779" s="1" t="s">
        <v>1976</v>
      </c>
      <c r="J779" s="1">
        <v>2021</v>
      </c>
      <c r="K779" s="1" t="s">
        <v>1974</v>
      </c>
      <c r="P779" s="1" t="s">
        <v>1975</v>
      </c>
      <c r="Q779" s="1" t="s">
        <v>780</v>
      </c>
      <c r="R779" s="1" t="s">
        <v>941</v>
      </c>
      <c r="S779" s="1" t="s">
        <v>1880</v>
      </c>
      <c r="T779" s="1" t="s">
        <v>1879</v>
      </c>
      <c r="U779" s="1">
        <v>1</v>
      </c>
      <c r="V779" s="1" t="s">
        <v>1832</v>
      </c>
      <c r="W779" s="1" t="s">
        <v>1974</v>
      </c>
      <c r="X779" s="1" t="s">
        <v>304</v>
      </c>
      <c r="Y779" s="3">
        <v>44557</v>
      </c>
      <c r="Z779" s="1">
        <v>2021</v>
      </c>
      <c r="AA779" s="2">
        <v>199990</v>
      </c>
      <c r="AB779" s="2"/>
      <c r="AC779" s="2">
        <v>30000</v>
      </c>
      <c r="AD779" s="1">
        <v>1</v>
      </c>
      <c r="AG779" s="1" t="s">
        <v>106</v>
      </c>
      <c r="AH779" s="1" t="s">
        <v>105</v>
      </c>
      <c r="AI779" s="2">
        <v>0</v>
      </c>
      <c r="AK779" s="1"/>
    </row>
    <row r="780" spans="1:38" ht="15" customHeight="1" x14ac:dyDescent="0.2">
      <c r="A780" s="1" t="s">
        <v>19</v>
      </c>
      <c r="B780" s="5" t="s">
        <v>18</v>
      </c>
      <c r="C780" s="1" t="s">
        <v>37</v>
      </c>
      <c r="D780" s="1" t="s">
        <v>211</v>
      </c>
      <c r="E780" s="1" t="s">
        <v>35</v>
      </c>
      <c r="F780" s="1" t="s">
        <v>260</v>
      </c>
      <c r="G780" s="1" t="s">
        <v>259</v>
      </c>
      <c r="H780" s="1" t="s">
        <v>130</v>
      </c>
      <c r="I780" s="1" t="s">
        <v>1973</v>
      </c>
      <c r="J780" s="1">
        <v>2021</v>
      </c>
      <c r="K780" s="1" t="s">
        <v>1972</v>
      </c>
      <c r="L780" s="1" t="s">
        <v>1971</v>
      </c>
      <c r="M780" s="1" t="s">
        <v>1970</v>
      </c>
      <c r="P780" s="1" t="s">
        <v>1969</v>
      </c>
      <c r="Q780" s="1" t="s">
        <v>780</v>
      </c>
      <c r="R780" s="1" t="s">
        <v>941</v>
      </c>
      <c r="S780" s="1" t="s">
        <v>1841</v>
      </c>
      <c r="T780" s="1" t="s">
        <v>1840</v>
      </c>
      <c r="U780" s="1">
        <v>1</v>
      </c>
      <c r="V780" s="1" t="s">
        <v>1832</v>
      </c>
      <c r="W780" s="1" t="s">
        <v>1968</v>
      </c>
      <c r="X780" s="1" t="s">
        <v>298</v>
      </c>
      <c r="Y780" s="3">
        <v>44557</v>
      </c>
      <c r="Z780" s="1">
        <v>2021</v>
      </c>
      <c r="AA780" s="2">
        <v>289827.71999999997</v>
      </c>
      <c r="AB780" s="2"/>
      <c r="AC780" s="2">
        <v>86948.32</v>
      </c>
      <c r="AD780" s="1">
        <v>2.5</v>
      </c>
      <c r="AE780" s="1">
        <v>1.5</v>
      </c>
      <c r="AG780" s="1" t="s">
        <v>21</v>
      </c>
      <c r="AI780" s="2">
        <v>86948.32</v>
      </c>
      <c r="AK780" s="1"/>
    </row>
    <row r="781" spans="1:38" ht="15" customHeight="1" x14ac:dyDescent="0.2">
      <c r="A781" s="1" t="s">
        <v>19</v>
      </c>
      <c r="B781" s="5" t="s">
        <v>18</v>
      </c>
      <c r="C781" s="1" t="s">
        <v>37</v>
      </c>
      <c r="D781" s="1" t="s">
        <v>211</v>
      </c>
      <c r="E781" s="1" t="s">
        <v>35</v>
      </c>
      <c r="F781" s="1" t="s">
        <v>260</v>
      </c>
      <c r="G781" s="1" t="s">
        <v>259</v>
      </c>
      <c r="H781" s="1" t="s">
        <v>130</v>
      </c>
      <c r="I781" s="1" t="s">
        <v>1967</v>
      </c>
      <c r="J781" s="1">
        <v>2021</v>
      </c>
      <c r="K781" s="1" t="s">
        <v>1966</v>
      </c>
      <c r="L781" s="1" t="s">
        <v>1965</v>
      </c>
      <c r="M781" s="1" t="s">
        <v>1964</v>
      </c>
      <c r="P781" s="1" t="s">
        <v>1963</v>
      </c>
      <c r="Q781" s="1" t="s">
        <v>780</v>
      </c>
      <c r="R781" s="1" t="s">
        <v>941</v>
      </c>
      <c r="S781" s="1" t="s">
        <v>1834</v>
      </c>
      <c r="T781" s="1" t="s">
        <v>1833</v>
      </c>
      <c r="U781" s="1">
        <v>1</v>
      </c>
      <c r="V781" s="1" t="s">
        <v>1832</v>
      </c>
      <c r="W781" s="1" t="s">
        <v>1962</v>
      </c>
      <c r="X781" s="1" t="s">
        <v>304</v>
      </c>
      <c r="Y781" s="3">
        <v>44557</v>
      </c>
      <c r="Z781" s="1">
        <v>2021</v>
      </c>
      <c r="AA781" s="2">
        <v>176559.75</v>
      </c>
      <c r="AB781" s="2"/>
      <c r="AC781" s="2">
        <v>52967.93</v>
      </c>
      <c r="AD781" s="1">
        <v>1.5</v>
      </c>
      <c r="AE781" s="1">
        <v>1</v>
      </c>
      <c r="AG781" s="1" t="s">
        <v>21</v>
      </c>
      <c r="AI781" s="2">
        <v>48547.28</v>
      </c>
      <c r="AK781" s="1"/>
      <c r="AL781" s="29" t="s">
        <v>1961</v>
      </c>
    </row>
    <row r="782" spans="1:38" ht="15" customHeight="1" x14ac:dyDescent="0.2">
      <c r="A782" s="1" t="s">
        <v>19</v>
      </c>
      <c r="B782" s="5" t="s">
        <v>18</v>
      </c>
      <c r="C782" s="1" t="s">
        <v>37</v>
      </c>
      <c r="D782" s="1" t="s">
        <v>211</v>
      </c>
      <c r="E782" s="1" t="s">
        <v>35</v>
      </c>
      <c r="F782" s="1" t="s">
        <v>260</v>
      </c>
      <c r="G782" s="1" t="s">
        <v>259</v>
      </c>
      <c r="H782" s="1" t="s">
        <v>130</v>
      </c>
      <c r="I782" s="1" t="s">
        <v>1960</v>
      </c>
      <c r="J782" s="1">
        <v>2021</v>
      </c>
      <c r="K782" s="1" t="s">
        <v>1957</v>
      </c>
      <c r="L782" s="1" t="s">
        <v>1959</v>
      </c>
      <c r="P782" s="1" t="s">
        <v>1958</v>
      </c>
      <c r="Q782" s="1" t="s">
        <v>780</v>
      </c>
      <c r="R782" s="1" t="s">
        <v>941</v>
      </c>
      <c r="S782" s="1" t="s">
        <v>1834</v>
      </c>
      <c r="T782" s="1" t="s">
        <v>1833</v>
      </c>
      <c r="U782" s="1">
        <v>1</v>
      </c>
      <c r="V782" s="1" t="s">
        <v>1832</v>
      </c>
      <c r="W782" s="1" t="s">
        <v>1957</v>
      </c>
      <c r="X782" s="1" t="s">
        <v>667</v>
      </c>
      <c r="Y782" s="3">
        <v>44557</v>
      </c>
      <c r="Z782" s="1">
        <v>2021</v>
      </c>
      <c r="AA782" s="2">
        <v>71359.81</v>
      </c>
      <c r="AB782" s="2"/>
      <c r="AC782" s="2">
        <v>21407.94</v>
      </c>
      <c r="AD782" s="1">
        <v>2</v>
      </c>
      <c r="AG782" s="1" t="s">
        <v>21</v>
      </c>
      <c r="AI782" s="2">
        <v>21407.94</v>
      </c>
      <c r="AK782" s="1"/>
    </row>
    <row r="783" spans="1:38" ht="15" customHeight="1" x14ac:dyDescent="0.2">
      <c r="A783" s="1" t="s">
        <v>19</v>
      </c>
      <c r="B783" s="5" t="s">
        <v>18</v>
      </c>
      <c r="C783" s="1" t="s">
        <v>37</v>
      </c>
      <c r="D783" s="1" t="s">
        <v>211</v>
      </c>
      <c r="E783" s="1" t="s">
        <v>35</v>
      </c>
      <c r="F783" s="1" t="s">
        <v>260</v>
      </c>
      <c r="G783" s="1" t="s">
        <v>259</v>
      </c>
      <c r="H783" s="1" t="s">
        <v>130</v>
      </c>
      <c r="I783" s="1" t="s">
        <v>1956</v>
      </c>
      <c r="J783" s="1">
        <v>2021</v>
      </c>
      <c r="K783" s="1" t="s">
        <v>1953</v>
      </c>
      <c r="L783" s="1" t="s">
        <v>1955</v>
      </c>
      <c r="P783" s="1" t="s">
        <v>1954</v>
      </c>
      <c r="Q783" s="1" t="s">
        <v>780</v>
      </c>
      <c r="R783" s="1" t="s">
        <v>941</v>
      </c>
      <c r="S783" s="1" t="s">
        <v>1880</v>
      </c>
      <c r="T783" s="1" t="s">
        <v>1879</v>
      </c>
      <c r="U783" s="1">
        <v>1</v>
      </c>
      <c r="V783" s="1" t="s">
        <v>1832</v>
      </c>
      <c r="W783" s="1" t="s">
        <v>1953</v>
      </c>
      <c r="X783" s="1" t="s">
        <v>667</v>
      </c>
      <c r="Y783" s="3">
        <v>44557</v>
      </c>
      <c r="Z783" s="1">
        <v>2021</v>
      </c>
      <c r="AA783" s="2">
        <v>238330.18</v>
      </c>
      <c r="AB783" s="2"/>
      <c r="AC783" s="2">
        <v>71499.05</v>
      </c>
      <c r="AD783" s="1">
        <v>6</v>
      </c>
      <c r="AE783" s="1">
        <v>2</v>
      </c>
      <c r="AG783" s="1" t="s">
        <v>21</v>
      </c>
      <c r="AI783" s="2">
        <v>71499.05</v>
      </c>
      <c r="AK783" s="1"/>
    </row>
    <row r="784" spans="1:38" ht="15" customHeight="1" x14ac:dyDescent="0.2">
      <c r="A784" s="1" t="s">
        <v>19</v>
      </c>
      <c r="B784" s="5" t="s">
        <v>18</v>
      </c>
      <c r="C784" s="1" t="s">
        <v>37</v>
      </c>
      <c r="D784" s="1" t="s">
        <v>63</v>
      </c>
      <c r="E784" s="1" t="s">
        <v>35</v>
      </c>
      <c r="G784" s="1" t="s">
        <v>288</v>
      </c>
      <c r="H784" s="1" t="s">
        <v>32</v>
      </c>
      <c r="I784" s="1" t="s">
        <v>1952</v>
      </c>
      <c r="J784" s="1">
        <v>2022</v>
      </c>
      <c r="K784" s="1" t="s">
        <v>1951</v>
      </c>
      <c r="L784" s="1" t="s">
        <v>1950</v>
      </c>
      <c r="M784" s="1" t="s">
        <v>1949</v>
      </c>
      <c r="P784" s="1" t="s">
        <v>1835</v>
      </c>
      <c r="Q784" s="1" t="s">
        <v>780</v>
      </c>
      <c r="R784" s="1" t="s">
        <v>941</v>
      </c>
      <c r="S784" s="1" t="s">
        <v>1834</v>
      </c>
      <c r="T784" s="1" t="s">
        <v>1833</v>
      </c>
      <c r="U784" s="1">
        <v>1</v>
      </c>
      <c r="V784" s="1" t="s">
        <v>1832</v>
      </c>
      <c r="W784" s="1" t="s">
        <v>1948</v>
      </c>
      <c r="Y784" s="3">
        <v>45112</v>
      </c>
      <c r="Z784" s="1">
        <v>2023</v>
      </c>
      <c r="AA784" s="2">
        <v>500000</v>
      </c>
      <c r="AB784" s="2"/>
      <c r="AC784" s="2">
        <v>500000</v>
      </c>
      <c r="AG784" s="1" t="s">
        <v>21</v>
      </c>
      <c r="AI784" s="2">
        <v>500000</v>
      </c>
      <c r="AK784" s="1"/>
    </row>
    <row r="785" spans="1:38" ht="15" customHeight="1" x14ac:dyDescent="0.2">
      <c r="A785" s="1" t="s">
        <v>19</v>
      </c>
      <c r="B785" s="5" t="s">
        <v>18</v>
      </c>
      <c r="C785" s="1" t="s">
        <v>37</v>
      </c>
      <c r="D785" s="1" t="s">
        <v>63</v>
      </c>
      <c r="E785" s="1" t="s">
        <v>35</v>
      </c>
      <c r="G785" s="1" t="s">
        <v>288</v>
      </c>
      <c r="H785" s="1" t="s">
        <v>32</v>
      </c>
      <c r="I785" s="1" t="s">
        <v>1947</v>
      </c>
      <c r="J785" s="1">
        <v>2022</v>
      </c>
      <c r="K785" s="1" t="s">
        <v>1946</v>
      </c>
      <c r="L785" s="1" t="s">
        <v>1945</v>
      </c>
      <c r="M785" s="1" t="s">
        <v>1944</v>
      </c>
      <c r="N785" s="1" t="s">
        <v>1943</v>
      </c>
      <c r="P785" s="1" t="s">
        <v>1937</v>
      </c>
      <c r="Q785" s="1" t="s">
        <v>780</v>
      </c>
      <c r="R785" s="1" t="s">
        <v>941</v>
      </c>
      <c r="S785" s="1" t="s">
        <v>1880</v>
      </c>
      <c r="T785" s="1" t="s">
        <v>1879</v>
      </c>
      <c r="U785" s="1">
        <v>1</v>
      </c>
      <c r="V785" s="1" t="s">
        <v>1832</v>
      </c>
      <c r="W785" s="1" t="s">
        <v>1942</v>
      </c>
      <c r="Y785" s="3">
        <v>45112</v>
      </c>
      <c r="Z785" s="1">
        <v>2023</v>
      </c>
      <c r="AA785" s="2">
        <v>425598.66</v>
      </c>
      <c r="AB785" s="2"/>
      <c r="AC785" s="2">
        <v>425598.66</v>
      </c>
      <c r="AG785" s="1" t="s">
        <v>21</v>
      </c>
      <c r="AI785" s="2">
        <v>425598.66</v>
      </c>
      <c r="AK785" s="1"/>
    </row>
    <row r="786" spans="1:38" ht="15" customHeight="1" x14ac:dyDescent="0.2">
      <c r="A786" s="1" t="s">
        <v>19</v>
      </c>
      <c r="B786" s="5" t="s">
        <v>18</v>
      </c>
      <c r="C786" s="1" t="s">
        <v>37</v>
      </c>
      <c r="D786" s="1" t="s">
        <v>63</v>
      </c>
      <c r="E786" s="1" t="s">
        <v>35</v>
      </c>
      <c r="G786" s="1" t="s">
        <v>288</v>
      </c>
      <c r="H786" s="1" t="s">
        <v>32</v>
      </c>
      <c r="I786" s="1" t="s">
        <v>1941</v>
      </c>
      <c r="J786" s="1">
        <v>2022</v>
      </c>
      <c r="K786" s="1" t="s">
        <v>1940</v>
      </c>
      <c r="L786" s="1" t="s">
        <v>1939</v>
      </c>
      <c r="M786" s="1" t="s">
        <v>1938</v>
      </c>
      <c r="P786" s="1" t="s">
        <v>1937</v>
      </c>
      <c r="Q786" s="1" t="s">
        <v>780</v>
      </c>
      <c r="R786" s="1" t="s">
        <v>941</v>
      </c>
      <c r="S786" s="1" t="s">
        <v>1880</v>
      </c>
      <c r="T786" s="1" t="s">
        <v>1879</v>
      </c>
      <c r="U786" s="1">
        <v>1</v>
      </c>
      <c r="V786" s="1" t="s">
        <v>1832</v>
      </c>
      <c r="W786" s="1" t="s">
        <v>1936</v>
      </c>
      <c r="Y786" s="3">
        <v>45112</v>
      </c>
      <c r="Z786" s="1">
        <v>2023</v>
      </c>
      <c r="AA786" s="2">
        <v>1812163.34</v>
      </c>
      <c r="AB786" s="2"/>
      <c r="AC786" s="2">
        <v>1812163.34</v>
      </c>
      <c r="AG786" s="1" t="s">
        <v>21</v>
      </c>
      <c r="AI786" s="2">
        <v>1812163.34</v>
      </c>
      <c r="AK786" s="1"/>
    </row>
    <row r="787" spans="1:38" ht="15" customHeight="1" x14ac:dyDescent="0.2">
      <c r="A787" s="1" t="s">
        <v>19</v>
      </c>
      <c r="B787" s="5" t="s">
        <v>18</v>
      </c>
      <c r="C787" s="1" t="s">
        <v>37</v>
      </c>
      <c r="D787" s="1" t="s">
        <v>63</v>
      </c>
      <c r="E787" s="1" t="s">
        <v>35</v>
      </c>
      <c r="G787" s="1" t="s">
        <v>288</v>
      </c>
      <c r="H787" s="1" t="s">
        <v>32</v>
      </c>
      <c r="I787" s="1" t="s">
        <v>1935</v>
      </c>
      <c r="J787" s="1">
        <v>2022</v>
      </c>
      <c r="K787" s="1" t="s">
        <v>1934</v>
      </c>
      <c r="L787" s="1" t="s">
        <v>1933</v>
      </c>
      <c r="M787" s="1" t="s">
        <v>1932</v>
      </c>
      <c r="P787" s="1" t="s">
        <v>1931</v>
      </c>
      <c r="Q787" s="1" t="s">
        <v>780</v>
      </c>
      <c r="R787" s="1" t="s">
        <v>941</v>
      </c>
      <c r="S787" s="1" t="s">
        <v>1907</v>
      </c>
      <c r="T787" s="1" t="s">
        <v>1906</v>
      </c>
      <c r="U787" s="1">
        <v>2</v>
      </c>
      <c r="V787" s="1" t="s">
        <v>1832</v>
      </c>
      <c r="W787" s="1" t="s">
        <v>1930</v>
      </c>
      <c r="Y787" s="3">
        <v>45112</v>
      </c>
      <c r="Z787" s="1">
        <v>2023</v>
      </c>
      <c r="AA787" s="2">
        <v>361700.7</v>
      </c>
      <c r="AB787" s="2"/>
      <c r="AC787" s="2">
        <v>361700.7</v>
      </c>
      <c r="AG787" s="1" t="s">
        <v>21</v>
      </c>
      <c r="AI787" s="2">
        <v>361700.7</v>
      </c>
      <c r="AK787" s="1"/>
    </row>
    <row r="788" spans="1:38" ht="15" customHeight="1" x14ac:dyDescent="0.2">
      <c r="A788" s="1" t="s">
        <v>19</v>
      </c>
      <c r="B788" s="5" t="s">
        <v>18</v>
      </c>
      <c r="C788" s="1" t="s">
        <v>37</v>
      </c>
      <c r="D788" s="1" t="s">
        <v>63</v>
      </c>
      <c r="E788" s="1" t="s">
        <v>35</v>
      </c>
      <c r="G788" s="1" t="s">
        <v>288</v>
      </c>
      <c r="H788" s="1" t="s">
        <v>32</v>
      </c>
      <c r="I788" s="1" t="s">
        <v>1929</v>
      </c>
      <c r="J788" s="1">
        <v>2022</v>
      </c>
      <c r="K788" s="1" t="s">
        <v>1928</v>
      </c>
      <c r="L788" s="1" t="s">
        <v>1927</v>
      </c>
      <c r="M788" s="1" t="s">
        <v>1926</v>
      </c>
      <c r="P788" s="1" t="s">
        <v>1835</v>
      </c>
      <c r="Q788" s="1" t="s">
        <v>780</v>
      </c>
      <c r="R788" s="1" t="s">
        <v>941</v>
      </c>
      <c r="S788" s="1" t="s">
        <v>1834</v>
      </c>
      <c r="T788" s="1" t="s">
        <v>1833</v>
      </c>
      <c r="U788" s="1">
        <v>1</v>
      </c>
      <c r="V788" s="1" t="s">
        <v>1832</v>
      </c>
      <c r="W788" s="1" t="s">
        <v>1925</v>
      </c>
      <c r="Y788" s="3">
        <v>45112</v>
      </c>
      <c r="Z788" s="1">
        <v>2023</v>
      </c>
      <c r="AA788" s="2">
        <v>1750255.14</v>
      </c>
      <c r="AB788" s="2"/>
      <c r="AC788" s="2">
        <v>1750255.14</v>
      </c>
      <c r="AG788" s="1" t="s">
        <v>21</v>
      </c>
      <c r="AI788" s="2">
        <v>1750255.14</v>
      </c>
      <c r="AK788" s="1"/>
    </row>
    <row r="789" spans="1:38" ht="15" customHeight="1" x14ac:dyDescent="0.2">
      <c r="A789" s="1" t="s">
        <v>19</v>
      </c>
      <c r="B789" s="5" t="s">
        <v>18</v>
      </c>
      <c r="C789" s="1" t="s">
        <v>37</v>
      </c>
      <c r="D789" s="1" t="s">
        <v>211</v>
      </c>
      <c r="E789" s="1" t="s">
        <v>35</v>
      </c>
      <c r="F789" s="1" t="s">
        <v>210</v>
      </c>
      <c r="G789" s="1" t="s">
        <v>209</v>
      </c>
      <c r="H789" s="1" t="s">
        <v>208</v>
      </c>
      <c r="I789" s="1" t="s">
        <v>1924</v>
      </c>
      <c r="J789" s="1">
        <v>2023</v>
      </c>
      <c r="K789" s="1" t="s">
        <v>1921</v>
      </c>
      <c r="L789" s="1" t="s">
        <v>1923</v>
      </c>
      <c r="P789" s="1" t="s">
        <v>1922</v>
      </c>
      <c r="Q789" s="1" t="s">
        <v>780</v>
      </c>
      <c r="R789" s="1" t="s">
        <v>941</v>
      </c>
      <c r="S789" s="1" t="s">
        <v>1848</v>
      </c>
      <c r="T789" s="1" t="s">
        <v>1847</v>
      </c>
      <c r="U789" s="1">
        <v>1</v>
      </c>
      <c r="V789" s="1" t="s">
        <v>1832</v>
      </c>
      <c r="W789" s="1" t="s">
        <v>1921</v>
      </c>
      <c r="Y789" s="3">
        <v>45478</v>
      </c>
      <c r="Z789" s="1">
        <v>2024</v>
      </c>
      <c r="AA789" s="2">
        <v>216245.1</v>
      </c>
      <c r="AB789" s="2"/>
      <c r="AC789" s="2">
        <v>108122.55</v>
      </c>
      <c r="AD789" s="1">
        <v>2.75</v>
      </c>
      <c r="AE789" s="1">
        <v>2</v>
      </c>
      <c r="AG789" s="1" t="s">
        <v>21</v>
      </c>
      <c r="AI789" s="2">
        <v>108122.55</v>
      </c>
      <c r="AK789" s="1"/>
    </row>
    <row r="790" spans="1:38" ht="15" customHeight="1" x14ac:dyDescent="0.2">
      <c r="A790" s="1" t="s">
        <v>19</v>
      </c>
      <c r="B790" s="5" t="s">
        <v>18</v>
      </c>
      <c r="C790" s="1" t="s">
        <v>37</v>
      </c>
      <c r="D790" s="1" t="s">
        <v>211</v>
      </c>
      <c r="E790" s="1" t="s">
        <v>35</v>
      </c>
      <c r="F790" s="1" t="s">
        <v>210</v>
      </c>
      <c r="G790" s="1" t="s">
        <v>209</v>
      </c>
      <c r="H790" s="1" t="s">
        <v>208</v>
      </c>
      <c r="I790" s="1" t="s">
        <v>1920</v>
      </c>
      <c r="J790" s="1">
        <v>2023</v>
      </c>
      <c r="K790" s="1" t="s">
        <v>1917</v>
      </c>
      <c r="L790" s="1" t="s">
        <v>1919</v>
      </c>
      <c r="P790" s="1" t="s">
        <v>1918</v>
      </c>
      <c r="Q790" s="1" t="s">
        <v>780</v>
      </c>
      <c r="R790" s="1" t="s">
        <v>941</v>
      </c>
      <c r="S790" s="1" t="s">
        <v>1848</v>
      </c>
      <c r="T790" s="1" t="s">
        <v>1847</v>
      </c>
      <c r="U790" s="1">
        <v>1</v>
      </c>
      <c r="V790" s="1" t="s">
        <v>1832</v>
      </c>
      <c r="W790" s="1" t="s">
        <v>1917</v>
      </c>
      <c r="Y790" s="3">
        <v>45478</v>
      </c>
      <c r="Z790" s="1">
        <v>2024</v>
      </c>
      <c r="AA790" s="2">
        <v>335847</v>
      </c>
      <c r="AB790" s="2"/>
      <c r="AC790" s="2">
        <v>112169.4</v>
      </c>
      <c r="AD790" s="1">
        <v>3</v>
      </c>
      <c r="AG790" s="1" t="s">
        <v>21</v>
      </c>
      <c r="AI790" s="2">
        <v>112169.4</v>
      </c>
      <c r="AK790" s="1"/>
    </row>
    <row r="791" spans="1:38" ht="15" customHeight="1" x14ac:dyDescent="0.2">
      <c r="A791" s="1" t="s">
        <v>19</v>
      </c>
      <c r="B791" s="5" t="s">
        <v>18</v>
      </c>
      <c r="C791" s="1" t="s">
        <v>37</v>
      </c>
      <c r="D791" s="1" t="s">
        <v>211</v>
      </c>
      <c r="E791" s="1" t="s">
        <v>35</v>
      </c>
      <c r="F791" s="1" t="s">
        <v>210</v>
      </c>
      <c r="G791" s="1" t="s">
        <v>209</v>
      </c>
      <c r="H791" s="1" t="s">
        <v>208</v>
      </c>
      <c r="I791" s="1" t="s">
        <v>1916</v>
      </c>
      <c r="J791" s="1">
        <v>2023</v>
      </c>
      <c r="K791" s="1" t="s">
        <v>1912</v>
      </c>
      <c r="L791" s="1" t="s">
        <v>1915</v>
      </c>
      <c r="M791" s="1" t="s">
        <v>1914</v>
      </c>
      <c r="P791" s="1" t="s">
        <v>1913</v>
      </c>
      <c r="Q791" s="1" t="s">
        <v>780</v>
      </c>
      <c r="R791" s="1" t="s">
        <v>941</v>
      </c>
      <c r="S791" s="1" t="s">
        <v>1907</v>
      </c>
      <c r="T791" s="1" t="s">
        <v>1906</v>
      </c>
      <c r="U791" s="1">
        <v>2</v>
      </c>
      <c r="V791" s="1" t="s">
        <v>1832</v>
      </c>
      <c r="W791" s="1" t="s">
        <v>1912</v>
      </c>
      <c r="Y791" s="3">
        <v>45478</v>
      </c>
      <c r="Z791" s="1">
        <v>2024</v>
      </c>
      <c r="AA791" s="2">
        <v>143214.79999999999</v>
      </c>
      <c r="AB791" s="2"/>
      <c r="AC791" s="2">
        <v>71607.399999999994</v>
      </c>
      <c r="AD791" s="1">
        <v>2</v>
      </c>
      <c r="AE791" s="1">
        <v>1</v>
      </c>
      <c r="AG791" s="1" t="s">
        <v>21</v>
      </c>
      <c r="AI791" s="2">
        <v>71607.399999999994</v>
      </c>
      <c r="AK791" s="1"/>
    </row>
    <row r="792" spans="1:38" ht="15" customHeight="1" x14ac:dyDescent="0.2">
      <c r="A792" s="1" t="s">
        <v>19</v>
      </c>
      <c r="B792" s="5" t="s">
        <v>18</v>
      </c>
      <c r="C792" s="1" t="s">
        <v>37</v>
      </c>
      <c r="D792" s="1" t="s">
        <v>211</v>
      </c>
      <c r="E792" s="1" t="s">
        <v>35</v>
      </c>
      <c r="F792" s="1" t="s">
        <v>210</v>
      </c>
      <c r="G792" s="1" t="s">
        <v>209</v>
      </c>
      <c r="H792" s="1" t="s">
        <v>130</v>
      </c>
      <c r="I792" s="1" t="s">
        <v>1911</v>
      </c>
      <c r="J792" s="1">
        <v>2023</v>
      </c>
      <c r="K792" s="1" t="s">
        <v>1910</v>
      </c>
      <c r="L792" s="1" t="s">
        <v>1909</v>
      </c>
      <c r="P792" s="1" t="s">
        <v>1908</v>
      </c>
      <c r="Q792" s="1" t="s">
        <v>780</v>
      </c>
      <c r="R792" s="1" t="s">
        <v>941</v>
      </c>
      <c r="S792" s="1" t="s">
        <v>1907</v>
      </c>
      <c r="T792" s="1" t="s">
        <v>1906</v>
      </c>
      <c r="U792" s="1">
        <v>2</v>
      </c>
      <c r="V792" s="1" t="s">
        <v>1832</v>
      </c>
      <c r="W792" s="1" t="s">
        <v>1905</v>
      </c>
      <c r="Y792" s="3">
        <v>45478</v>
      </c>
      <c r="Z792" s="1">
        <v>2024</v>
      </c>
      <c r="AA792" s="2">
        <v>289780.25</v>
      </c>
      <c r="AB792" s="2"/>
      <c r="AC792" s="2">
        <v>132445.06</v>
      </c>
      <c r="AD792" s="1">
        <v>2</v>
      </c>
      <c r="AE792" s="1">
        <v>1</v>
      </c>
      <c r="AG792" s="1" t="s">
        <v>21</v>
      </c>
      <c r="AI792" s="2">
        <v>132445.06</v>
      </c>
      <c r="AK792" s="1"/>
    </row>
    <row r="793" spans="1:38" ht="15" customHeight="1" x14ac:dyDescent="0.2">
      <c r="A793" s="1" t="s">
        <v>19</v>
      </c>
      <c r="B793" s="5" t="s">
        <v>18</v>
      </c>
      <c r="C793" s="1" t="s">
        <v>37</v>
      </c>
      <c r="D793" s="1" t="s">
        <v>211</v>
      </c>
      <c r="E793" s="1" t="s">
        <v>35</v>
      </c>
      <c r="F793" s="1" t="s">
        <v>210</v>
      </c>
      <c r="G793" s="1" t="s">
        <v>209</v>
      </c>
      <c r="H793" s="1" t="s">
        <v>208</v>
      </c>
      <c r="I793" s="1" t="s">
        <v>1904</v>
      </c>
      <c r="J793" s="1">
        <v>2023</v>
      </c>
      <c r="K793" s="1" t="s">
        <v>1901</v>
      </c>
      <c r="L793" s="1" t="s">
        <v>1901</v>
      </c>
      <c r="M793" s="1" t="s">
        <v>1903</v>
      </c>
      <c r="P793" s="1" t="s">
        <v>1902</v>
      </c>
      <c r="Q793" s="1" t="s">
        <v>780</v>
      </c>
      <c r="R793" s="1" t="s">
        <v>941</v>
      </c>
      <c r="S793" s="1" t="s">
        <v>1880</v>
      </c>
      <c r="T793" s="1" t="s">
        <v>1879</v>
      </c>
      <c r="U793" s="1">
        <v>1</v>
      </c>
      <c r="V793" s="1" t="s">
        <v>1832</v>
      </c>
      <c r="W793" s="1" t="s">
        <v>1901</v>
      </c>
      <c r="Y793" s="3">
        <v>45478</v>
      </c>
      <c r="Z793" s="1">
        <v>2024</v>
      </c>
      <c r="AA793" s="2">
        <v>101812.22</v>
      </c>
      <c r="AB793" s="2"/>
      <c r="AC793" s="2">
        <v>50906.11</v>
      </c>
      <c r="AD793" s="1">
        <v>2</v>
      </c>
      <c r="AE793" s="1">
        <v>1</v>
      </c>
      <c r="AG793" s="1" t="s">
        <v>21</v>
      </c>
      <c r="AI793" s="2">
        <v>50906.11</v>
      </c>
      <c r="AK793" s="1"/>
    </row>
    <row r="794" spans="1:38" ht="15" customHeight="1" x14ac:dyDescent="0.2">
      <c r="A794" s="1" t="s">
        <v>19</v>
      </c>
      <c r="B794" s="5" t="s">
        <v>109</v>
      </c>
      <c r="C794" s="1" t="s">
        <v>37</v>
      </c>
      <c r="D794" s="1" t="s">
        <v>132</v>
      </c>
      <c r="E794" s="1" t="s">
        <v>35</v>
      </c>
      <c r="G794" s="1" t="s">
        <v>131</v>
      </c>
      <c r="H794" s="1" t="s">
        <v>130</v>
      </c>
      <c r="I794" s="1" t="s">
        <v>1900</v>
      </c>
      <c r="J794" s="1">
        <v>2019</v>
      </c>
      <c r="P794" s="1" t="s">
        <v>1881</v>
      </c>
      <c r="Q794" s="1" t="s">
        <v>780</v>
      </c>
      <c r="R794" s="1" t="s">
        <v>941</v>
      </c>
      <c r="S794" s="1" t="s">
        <v>1880</v>
      </c>
      <c r="T794" s="1" t="s">
        <v>1879</v>
      </c>
      <c r="U794" s="1">
        <v>1</v>
      </c>
      <c r="V794" s="1" t="s">
        <v>1832</v>
      </c>
      <c r="Y794" s="3">
        <v>43466</v>
      </c>
      <c r="Z794" s="1">
        <v>2019</v>
      </c>
      <c r="AA794" s="2"/>
      <c r="AB794" s="2"/>
      <c r="AC794" s="2">
        <v>292051.86</v>
      </c>
      <c r="AG794" s="1" t="s">
        <v>21</v>
      </c>
      <c r="AI794" s="2">
        <v>292051.86</v>
      </c>
      <c r="AK794" s="1"/>
      <c r="AL794" s="1" t="s">
        <v>127</v>
      </c>
    </row>
    <row r="795" spans="1:38" ht="15" customHeight="1" x14ac:dyDescent="0.2">
      <c r="A795" s="1" t="s">
        <v>19</v>
      </c>
      <c r="B795" s="5" t="s">
        <v>109</v>
      </c>
      <c r="C795" s="1" t="s">
        <v>37</v>
      </c>
      <c r="D795" s="1" t="s">
        <v>132</v>
      </c>
      <c r="E795" s="1" t="s">
        <v>35</v>
      </c>
      <c r="G795" s="1" t="s">
        <v>131</v>
      </c>
      <c r="H795" s="1" t="s">
        <v>130</v>
      </c>
      <c r="I795" s="1" t="s">
        <v>1899</v>
      </c>
      <c r="J795" s="1">
        <v>2019</v>
      </c>
      <c r="P795" s="1" t="s">
        <v>1881</v>
      </c>
      <c r="Q795" s="1" t="s">
        <v>780</v>
      </c>
      <c r="R795" s="1" t="s">
        <v>941</v>
      </c>
      <c r="S795" s="1" t="s">
        <v>1880</v>
      </c>
      <c r="T795" s="1" t="s">
        <v>1879</v>
      </c>
      <c r="U795" s="1">
        <v>1</v>
      </c>
      <c r="V795" s="1" t="s">
        <v>1832</v>
      </c>
      <c r="Y795" s="3">
        <v>43466</v>
      </c>
      <c r="Z795" s="1">
        <v>2019</v>
      </c>
      <c r="AA795" s="2"/>
      <c r="AB795" s="2"/>
      <c r="AC795" s="2">
        <v>557497.35000000009</v>
      </c>
      <c r="AG795" s="1" t="s">
        <v>21</v>
      </c>
      <c r="AI795" s="2">
        <v>557497.35000000009</v>
      </c>
      <c r="AK795" s="1"/>
      <c r="AL795" s="1" t="s">
        <v>127</v>
      </c>
    </row>
    <row r="796" spans="1:38" ht="15" customHeight="1" x14ac:dyDescent="0.2">
      <c r="A796" s="1" t="s">
        <v>19</v>
      </c>
      <c r="B796" s="5" t="s">
        <v>109</v>
      </c>
      <c r="C796" s="1" t="s">
        <v>37</v>
      </c>
      <c r="D796" s="1" t="s">
        <v>132</v>
      </c>
      <c r="E796" s="1" t="s">
        <v>35</v>
      </c>
      <c r="G796" s="1" t="s">
        <v>131</v>
      </c>
      <c r="H796" s="1" t="s">
        <v>130</v>
      </c>
      <c r="I796" s="1" t="s">
        <v>1898</v>
      </c>
      <c r="J796" s="1">
        <v>2019</v>
      </c>
      <c r="P796" s="1" t="s">
        <v>1881</v>
      </c>
      <c r="Q796" s="1" t="s">
        <v>780</v>
      </c>
      <c r="R796" s="1" t="s">
        <v>941</v>
      </c>
      <c r="S796" s="1" t="s">
        <v>1880</v>
      </c>
      <c r="T796" s="1" t="s">
        <v>1879</v>
      </c>
      <c r="U796" s="1">
        <v>1</v>
      </c>
      <c r="V796" s="1" t="s">
        <v>1832</v>
      </c>
      <c r="Y796" s="3">
        <v>43466</v>
      </c>
      <c r="Z796" s="1">
        <v>2019</v>
      </c>
      <c r="AA796" s="2"/>
      <c r="AB796" s="2"/>
      <c r="AC796" s="2">
        <v>653936.09</v>
      </c>
      <c r="AG796" s="1" t="s">
        <v>21</v>
      </c>
      <c r="AI796" s="2">
        <v>653936.09</v>
      </c>
      <c r="AK796" s="1"/>
      <c r="AL796" s="1" t="s">
        <v>127</v>
      </c>
    </row>
    <row r="797" spans="1:38" ht="15" customHeight="1" x14ac:dyDescent="0.2">
      <c r="A797" s="1" t="s">
        <v>19</v>
      </c>
      <c r="B797" s="5" t="s">
        <v>109</v>
      </c>
      <c r="C797" s="1" t="s">
        <v>37</v>
      </c>
      <c r="D797" s="1" t="s">
        <v>132</v>
      </c>
      <c r="E797" s="1" t="s">
        <v>35</v>
      </c>
      <c r="G797" s="1" t="s">
        <v>131</v>
      </c>
      <c r="H797" s="1" t="s">
        <v>130</v>
      </c>
      <c r="I797" s="1" t="s">
        <v>1897</v>
      </c>
      <c r="J797" s="1">
        <v>2019</v>
      </c>
      <c r="P797" s="1" t="s">
        <v>1881</v>
      </c>
      <c r="Q797" s="1" t="s">
        <v>780</v>
      </c>
      <c r="R797" s="1" t="s">
        <v>941</v>
      </c>
      <c r="S797" s="1" t="s">
        <v>1880</v>
      </c>
      <c r="T797" s="1" t="s">
        <v>1879</v>
      </c>
      <c r="U797" s="1">
        <v>1</v>
      </c>
      <c r="V797" s="1" t="s">
        <v>1832</v>
      </c>
      <c r="Y797" s="3">
        <v>43466</v>
      </c>
      <c r="Z797" s="1">
        <v>2019</v>
      </c>
      <c r="AA797" s="2"/>
      <c r="AB797" s="2"/>
      <c r="AC797" s="2">
        <v>518535.76</v>
      </c>
      <c r="AG797" s="1" t="s">
        <v>21</v>
      </c>
      <c r="AI797" s="2">
        <v>518535.76</v>
      </c>
      <c r="AK797" s="1"/>
      <c r="AL797" s="1" t="s">
        <v>127</v>
      </c>
    </row>
    <row r="798" spans="1:38" ht="15" customHeight="1" x14ac:dyDescent="0.2">
      <c r="A798" s="1" t="s">
        <v>19</v>
      </c>
      <c r="B798" s="5" t="s">
        <v>109</v>
      </c>
      <c r="C798" s="1" t="s">
        <v>37</v>
      </c>
      <c r="D798" s="1" t="s">
        <v>132</v>
      </c>
      <c r="E798" s="1" t="s">
        <v>35</v>
      </c>
      <c r="G798" s="1" t="s">
        <v>131</v>
      </c>
      <c r="H798" s="1" t="s">
        <v>130</v>
      </c>
      <c r="I798" s="1" t="s">
        <v>1896</v>
      </c>
      <c r="J798" s="1">
        <v>2019</v>
      </c>
      <c r="P798" s="1" t="s">
        <v>1881</v>
      </c>
      <c r="Q798" s="1" t="s">
        <v>780</v>
      </c>
      <c r="R798" s="1" t="s">
        <v>941</v>
      </c>
      <c r="S798" s="1" t="s">
        <v>1880</v>
      </c>
      <c r="T798" s="1" t="s">
        <v>1879</v>
      </c>
      <c r="U798" s="1">
        <v>1</v>
      </c>
      <c r="V798" s="1" t="s">
        <v>1832</v>
      </c>
      <c r="Y798" s="3">
        <v>43466</v>
      </c>
      <c r="Z798" s="1">
        <v>2019</v>
      </c>
      <c r="AA798" s="2"/>
      <c r="AB798" s="2"/>
      <c r="AC798" s="2">
        <v>568858.25</v>
      </c>
      <c r="AG798" s="1" t="s">
        <v>21</v>
      </c>
      <c r="AI798" s="2">
        <v>568858.25</v>
      </c>
      <c r="AK798" s="1"/>
      <c r="AL798" s="1" t="s">
        <v>127</v>
      </c>
    </row>
    <row r="799" spans="1:38" ht="15" customHeight="1" x14ac:dyDescent="0.2">
      <c r="A799" s="1" t="s">
        <v>19</v>
      </c>
      <c r="B799" s="5" t="s">
        <v>109</v>
      </c>
      <c r="C799" s="1" t="s">
        <v>37</v>
      </c>
      <c r="D799" s="1" t="s">
        <v>132</v>
      </c>
      <c r="E799" s="1" t="s">
        <v>35</v>
      </c>
      <c r="G799" s="1" t="s">
        <v>131</v>
      </c>
      <c r="H799" s="1" t="s">
        <v>130</v>
      </c>
      <c r="I799" s="1" t="s">
        <v>1895</v>
      </c>
      <c r="J799" s="1">
        <v>2019</v>
      </c>
      <c r="P799" s="1" t="s">
        <v>1881</v>
      </c>
      <c r="Q799" s="1" t="s">
        <v>780</v>
      </c>
      <c r="R799" s="1" t="s">
        <v>941</v>
      </c>
      <c r="S799" s="1" t="s">
        <v>1880</v>
      </c>
      <c r="T799" s="1" t="s">
        <v>1879</v>
      </c>
      <c r="U799" s="1">
        <v>1</v>
      </c>
      <c r="V799" s="1" t="s">
        <v>1832</v>
      </c>
      <c r="Y799" s="3">
        <v>43466</v>
      </c>
      <c r="Z799" s="1">
        <v>2019</v>
      </c>
      <c r="AA799" s="2"/>
      <c r="AB799" s="2"/>
      <c r="AC799" s="2">
        <v>553194.42000000004</v>
      </c>
      <c r="AG799" s="1" t="s">
        <v>21</v>
      </c>
      <c r="AI799" s="2">
        <v>553194.42000000004</v>
      </c>
      <c r="AK799" s="1"/>
      <c r="AL799" s="1" t="s">
        <v>127</v>
      </c>
    </row>
    <row r="800" spans="1:38" ht="15" customHeight="1" x14ac:dyDescent="0.2">
      <c r="A800" s="1" t="s">
        <v>19</v>
      </c>
      <c r="B800" s="5" t="s">
        <v>109</v>
      </c>
      <c r="C800" s="1" t="s">
        <v>37</v>
      </c>
      <c r="D800" s="1" t="s">
        <v>132</v>
      </c>
      <c r="E800" s="1" t="s">
        <v>35</v>
      </c>
      <c r="G800" s="1" t="s">
        <v>131</v>
      </c>
      <c r="H800" s="1" t="s">
        <v>130</v>
      </c>
      <c r="I800" s="1" t="s">
        <v>1894</v>
      </c>
      <c r="J800" s="1">
        <v>2019</v>
      </c>
      <c r="P800" s="1" t="s">
        <v>1881</v>
      </c>
      <c r="Q800" s="1" t="s">
        <v>780</v>
      </c>
      <c r="R800" s="1" t="s">
        <v>941</v>
      </c>
      <c r="S800" s="1" t="s">
        <v>1880</v>
      </c>
      <c r="T800" s="1" t="s">
        <v>1879</v>
      </c>
      <c r="U800" s="1">
        <v>1</v>
      </c>
      <c r="V800" s="1" t="s">
        <v>1832</v>
      </c>
      <c r="Y800" s="3">
        <v>43466</v>
      </c>
      <c r="Z800" s="1">
        <v>2019</v>
      </c>
      <c r="AA800" s="2"/>
      <c r="AB800" s="2"/>
      <c r="AC800" s="2">
        <v>583412.57000000007</v>
      </c>
      <c r="AG800" s="1" t="s">
        <v>21</v>
      </c>
      <c r="AI800" s="2">
        <v>583412.57000000007</v>
      </c>
      <c r="AK800" s="1"/>
      <c r="AL800" s="1" t="s">
        <v>127</v>
      </c>
    </row>
    <row r="801" spans="1:38" ht="15" customHeight="1" x14ac:dyDescent="0.2">
      <c r="A801" s="1" t="s">
        <v>19</v>
      </c>
      <c r="B801" s="5" t="s">
        <v>109</v>
      </c>
      <c r="C801" s="1" t="s">
        <v>37</v>
      </c>
      <c r="D801" s="1" t="s">
        <v>132</v>
      </c>
      <c r="E801" s="1" t="s">
        <v>35</v>
      </c>
      <c r="G801" s="1" t="s">
        <v>131</v>
      </c>
      <c r="H801" s="1" t="s">
        <v>130</v>
      </c>
      <c r="I801" s="1" t="s">
        <v>1893</v>
      </c>
      <c r="J801" s="1">
        <v>2019</v>
      </c>
      <c r="P801" s="1" t="s">
        <v>1881</v>
      </c>
      <c r="Q801" s="1" t="s">
        <v>780</v>
      </c>
      <c r="R801" s="1" t="s">
        <v>941</v>
      </c>
      <c r="S801" s="1" t="s">
        <v>1880</v>
      </c>
      <c r="T801" s="1" t="s">
        <v>1879</v>
      </c>
      <c r="U801" s="1">
        <v>1</v>
      </c>
      <c r="V801" s="1" t="s">
        <v>1832</v>
      </c>
      <c r="Y801" s="3">
        <v>43466</v>
      </c>
      <c r="Z801" s="1">
        <v>2019</v>
      </c>
      <c r="AA801" s="2"/>
      <c r="AB801" s="2"/>
      <c r="AC801" s="2">
        <v>374169.52</v>
      </c>
      <c r="AG801" s="1" t="s">
        <v>21</v>
      </c>
      <c r="AI801" s="2">
        <v>374169.52</v>
      </c>
      <c r="AK801" s="1"/>
      <c r="AL801" s="1" t="s">
        <v>127</v>
      </c>
    </row>
    <row r="802" spans="1:38" ht="15" customHeight="1" x14ac:dyDescent="0.2">
      <c r="A802" s="1" t="s">
        <v>19</v>
      </c>
      <c r="B802" s="5" t="s">
        <v>109</v>
      </c>
      <c r="C802" s="1" t="s">
        <v>37</v>
      </c>
      <c r="D802" s="1" t="s">
        <v>132</v>
      </c>
      <c r="E802" s="1" t="s">
        <v>35</v>
      </c>
      <c r="G802" s="1" t="s">
        <v>131</v>
      </c>
      <c r="H802" s="1" t="s">
        <v>130</v>
      </c>
      <c r="I802" s="1" t="s">
        <v>1892</v>
      </c>
      <c r="J802" s="1">
        <v>2019</v>
      </c>
      <c r="P802" s="1" t="s">
        <v>1881</v>
      </c>
      <c r="Q802" s="1" t="s">
        <v>780</v>
      </c>
      <c r="R802" s="1" t="s">
        <v>941</v>
      </c>
      <c r="S802" s="1" t="s">
        <v>1880</v>
      </c>
      <c r="T802" s="1" t="s">
        <v>1879</v>
      </c>
      <c r="U802" s="1">
        <v>1</v>
      </c>
      <c r="V802" s="1" t="s">
        <v>1832</v>
      </c>
      <c r="Y802" s="3">
        <v>43466</v>
      </c>
      <c r="Z802" s="1">
        <v>2019</v>
      </c>
      <c r="AA802" s="2"/>
      <c r="AB802" s="2"/>
      <c r="AC802" s="2">
        <v>141698.82</v>
      </c>
      <c r="AG802" s="1" t="s">
        <v>21</v>
      </c>
      <c r="AI802" s="2">
        <v>141698.82</v>
      </c>
      <c r="AK802" s="1"/>
      <c r="AL802" s="1" t="s">
        <v>127</v>
      </c>
    </row>
    <row r="803" spans="1:38" ht="15" customHeight="1" x14ac:dyDescent="0.2">
      <c r="A803" s="1" t="s">
        <v>19</v>
      </c>
      <c r="B803" s="5" t="s">
        <v>109</v>
      </c>
      <c r="C803" s="1" t="s">
        <v>37</v>
      </c>
      <c r="D803" s="1" t="s">
        <v>132</v>
      </c>
      <c r="E803" s="1" t="s">
        <v>35</v>
      </c>
      <c r="G803" s="1" t="s">
        <v>131</v>
      </c>
      <c r="H803" s="1" t="s">
        <v>130</v>
      </c>
      <c r="I803" s="1" t="s">
        <v>1891</v>
      </c>
      <c r="J803" s="1">
        <v>2019</v>
      </c>
      <c r="P803" s="1" t="s">
        <v>1881</v>
      </c>
      <c r="Q803" s="1" t="s">
        <v>780</v>
      </c>
      <c r="R803" s="1" t="s">
        <v>941</v>
      </c>
      <c r="S803" s="1" t="s">
        <v>1880</v>
      </c>
      <c r="T803" s="1" t="s">
        <v>1879</v>
      </c>
      <c r="U803" s="1">
        <v>1</v>
      </c>
      <c r="V803" s="1" t="s">
        <v>1832</v>
      </c>
      <c r="Y803" s="3">
        <v>43466</v>
      </c>
      <c r="Z803" s="1">
        <v>2019</v>
      </c>
      <c r="AA803" s="2"/>
      <c r="AB803" s="2"/>
      <c r="AC803" s="2">
        <v>484258.33000000007</v>
      </c>
      <c r="AG803" s="1" t="s">
        <v>21</v>
      </c>
      <c r="AI803" s="2">
        <v>484258.33000000007</v>
      </c>
      <c r="AK803" s="1"/>
      <c r="AL803" s="1" t="s">
        <v>127</v>
      </c>
    </row>
    <row r="804" spans="1:38" ht="15" customHeight="1" x14ac:dyDescent="0.2">
      <c r="A804" s="1" t="s">
        <v>19</v>
      </c>
      <c r="B804" s="5" t="s">
        <v>109</v>
      </c>
      <c r="C804" s="1" t="s">
        <v>37</v>
      </c>
      <c r="D804" s="1" t="s">
        <v>132</v>
      </c>
      <c r="E804" s="1" t="s">
        <v>35</v>
      </c>
      <c r="G804" s="1" t="s">
        <v>131</v>
      </c>
      <c r="H804" s="1" t="s">
        <v>130</v>
      </c>
      <c r="I804" s="1" t="s">
        <v>1890</v>
      </c>
      <c r="J804" s="1">
        <v>2021</v>
      </c>
      <c r="P804" s="1" t="s">
        <v>1881</v>
      </c>
      <c r="Q804" s="1" t="s">
        <v>780</v>
      </c>
      <c r="R804" s="1" t="s">
        <v>941</v>
      </c>
      <c r="S804" s="1" t="s">
        <v>1880</v>
      </c>
      <c r="T804" s="1" t="s">
        <v>1879</v>
      </c>
      <c r="U804" s="1">
        <v>1</v>
      </c>
      <c r="V804" s="1" t="s">
        <v>1832</v>
      </c>
      <c r="Y804" s="3">
        <v>44317</v>
      </c>
      <c r="Z804" s="1">
        <v>2021</v>
      </c>
      <c r="AA804" s="2"/>
      <c r="AB804" s="2"/>
      <c r="AC804" s="2">
        <v>707416.6</v>
      </c>
      <c r="AG804" s="1" t="s">
        <v>21</v>
      </c>
      <c r="AI804" s="2">
        <v>707416.6</v>
      </c>
      <c r="AK804" s="1"/>
      <c r="AL804" s="1" t="s">
        <v>127</v>
      </c>
    </row>
    <row r="805" spans="1:38" ht="15" customHeight="1" x14ac:dyDescent="0.2">
      <c r="A805" s="1" t="s">
        <v>19</v>
      </c>
      <c r="B805" s="5" t="s">
        <v>109</v>
      </c>
      <c r="C805" s="1" t="s">
        <v>37</v>
      </c>
      <c r="D805" s="1" t="s">
        <v>132</v>
      </c>
      <c r="E805" s="1" t="s">
        <v>35</v>
      </c>
      <c r="G805" s="1" t="s">
        <v>131</v>
      </c>
      <c r="H805" s="1" t="s">
        <v>130</v>
      </c>
      <c r="I805" s="1" t="s">
        <v>1889</v>
      </c>
      <c r="J805" s="1">
        <v>2019</v>
      </c>
      <c r="P805" s="1" t="s">
        <v>1881</v>
      </c>
      <c r="Q805" s="1" t="s">
        <v>780</v>
      </c>
      <c r="R805" s="1" t="s">
        <v>941</v>
      </c>
      <c r="S805" s="1" t="s">
        <v>1880</v>
      </c>
      <c r="T805" s="1" t="s">
        <v>1879</v>
      </c>
      <c r="U805" s="1">
        <v>1</v>
      </c>
      <c r="V805" s="1" t="s">
        <v>1832</v>
      </c>
      <c r="Y805" s="3">
        <v>43800</v>
      </c>
      <c r="Z805" s="1">
        <v>2019</v>
      </c>
      <c r="AA805" s="2"/>
      <c r="AB805" s="2"/>
      <c r="AC805" s="2">
        <v>761693.16999999993</v>
      </c>
      <c r="AG805" s="1" t="s">
        <v>21</v>
      </c>
      <c r="AI805" s="2">
        <v>761693.16999999993</v>
      </c>
      <c r="AK805" s="1"/>
      <c r="AL805" s="1" t="s">
        <v>127</v>
      </c>
    </row>
    <row r="806" spans="1:38" ht="15" customHeight="1" x14ac:dyDescent="0.2">
      <c r="A806" s="1" t="s">
        <v>19</v>
      </c>
      <c r="B806" s="5" t="s">
        <v>109</v>
      </c>
      <c r="C806" s="1" t="s">
        <v>37</v>
      </c>
      <c r="D806" s="1" t="s">
        <v>132</v>
      </c>
      <c r="E806" s="1" t="s">
        <v>35</v>
      </c>
      <c r="G806" s="1" t="s">
        <v>131</v>
      </c>
      <c r="H806" s="1" t="s">
        <v>130</v>
      </c>
      <c r="I806" s="1" t="s">
        <v>1888</v>
      </c>
      <c r="J806" s="1">
        <v>2019</v>
      </c>
      <c r="P806" s="1" t="s">
        <v>1881</v>
      </c>
      <c r="Q806" s="1" t="s">
        <v>780</v>
      </c>
      <c r="R806" s="1" t="s">
        <v>941</v>
      </c>
      <c r="S806" s="1" t="s">
        <v>1880</v>
      </c>
      <c r="T806" s="1" t="s">
        <v>1879</v>
      </c>
      <c r="U806" s="1">
        <v>1</v>
      </c>
      <c r="V806" s="1" t="s">
        <v>1832</v>
      </c>
      <c r="Y806" s="3">
        <v>43800</v>
      </c>
      <c r="Z806" s="1">
        <v>2019</v>
      </c>
      <c r="AA806" s="2"/>
      <c r="AB806" s="2"/>
      <c r="AC806" s="2">
        <v>599196.84000000008</v>
      </c>
      <c r="AG806" s="1" t="s">
        <v>21</v>
      </c>
      <c r="AI806" s="2">
        <v>599196.84000000008</v>
      </c>
      <c r="AK806" s="1"/>
      <c r="AL806" s="1" t="s">
        <v>127</v>
      </c>
    </row>
    <row r="807" spans="1:38" ht="15" customHeight="1" x14ac:dyDescent="0.2">
      <c r="A807" s="1" t="s">
        <v>19</v>
      </c>
      <c r="B807" s="5" t="s">
        <v>109</v>
      </c>
      <c r="C807" s="1" t="s">
        <v>37</v>
      </c>
      <c r="D807" s="1" t="s">
        <v>132</v>
      </c>
      <c r="E807" s="1" t="s">
        <v>35</v>
      </c>
      <c r="G807" s="1" t="s">
        <v>131</v>
      </c>
      <c r="H807" s="1" t="s">
        <v>130</v>
      </c>
      <c r="I807" s="1" t="s">
        <v>1887</v>
      </c>
      <c r="J807" s="1">
        <v>2019</v>
      </c>
      <c r="P807" s="1" t="s">
        <v>1881</v>
      </c>
      <c r="Q807" s="1" t="s">
        <v>780</v>
      </c>
      <c r="R807" s="1" t="s">
        <v>941</v>
      </c>
      <c r="S807" s="1" t="s">
        <v>1880</v>
      </c>
      <c r="T807" s="1" t="s">
        <v>1879</v>
      </c>
      <c r="U807" s="1">
        <v>1</v>
      </c>
      <c r="V807" s="1" t="s">
        <v>1832</v>
      </c>
      <c r="Y807" s="3">
        <v>43466</v>
      </c>
      <c r="Z807" s="1">
        <v>2019</v>
      </c>
      <c r="AA807" s="2"/>
      <c r="AB807" s="2"/>
      <c r="AC807" s="2">
        <v>629315.83999999997</v>
      </c>
      <c r="AG807" s="1" t="s">
        <v>21</v>
      </c>
      <c r="AI807" s="2">
        <v>629315.83999999997</v>
      </c>
      <c r="AK807" s="1"/>
      <c r="AL807" s="1" t="s">
        <v>127</v>
      </c>
    </row>
    <row r="808" spans="1:38" ht="15" customHeight="1" x14ac:dyDescent="0.2">
      <c r="A808" s="1" t="s">
        <v>19</v>
      </c>
      <c r="B808" s="5" t="s">
        <v>109</v>
      </c>
      <c r="C808" s="1" t="s">
        <v>37</v>
      </c>
      <c r="D808" s="1" t="s">
        <v>132</v>
      </c>
      <c r="E808" s="1" t="s">
        <v>35</v>
      </c>
      <c r="G808" s="1" t="s">
        <v>131</v>
      </c>
      <c r="H808" s="1" t="s">
        <v>130</v>
      </c>
      <c r="I808" s="1" t="s">
        <v>1886</v>
      </c>
      <c r="J808" s="1">
        <v>2019</v>
      </c>
      <c r="P808" s="1" t="s">
        <v>1881</v>
      </c>
      <c r="Q808" s="1" t="s">
        <v>780</v>
      </c>
      <c r="R808" s="1" t="s">
        <v>941</v>
      </c>
      <c r="S808" s="1" t="s">
        <v>1880</v>
      </c>
      <c r="T808" s="1" t="s">
        <v>1879</v>
      </c>
      <c r="U808" s="1">
        <v>1</v>
      </c>
      <c r="V808" s="1" t="s">
        <v>1832</v>
      </c>
      <c r="Y808" s="3">
        <v>43466</v>
      </c>
      <c r="Z808" s="1">
        <v>2019</v>
      </c>
      <c r="AA808" s="2"/>
      <c r="AB808" s="2"/>
      <c r="AC808" s="2">
        <v>539089.87999999989</v>
      </c>
      <c r="AG808" s="1" t="s">
        <v>21</v>
      </c>
      <c r="AI808" s="2">
        <v>539089.87999999989</v>
      </c>
      <c r="AK808" s="1"/>
      <c r="AL808" s="1" t="s">
        <v>127</v>
      </c>
    </row>
    <row r="809" spans="1:38" ht="15" customHeight="1" x14ac:dyDescent="0.2">
      <c r="A809" s="1" t="s">
        <v>19</v>
      </c>
      <c r="B809" s="5" t="s">
        <v>109</v>
      </c>
      <c r="C809" s="1" t="s">
        <v>37</v>
      </c>
      <c r="D809" s="1" t="s">
        <v>132</v>
      </c>
      <c r="E809" s="1" t="s">
        <v>35</v>
      </c>
      <c r="G809" s="1" t="s">
        <v>131</v>
      </c>
      <c r="H809" s="1" t="s">
        <v>130</v>
      </c>
      <c r="I809" s="1" t="s">
        <v>1885</v>
      </c>
      <c r="J809" s="1">
        <v>2019</v>
      </c>
      <c r="P809" s="1" t="s">
        <v>1881</v>
      </c>
      <c r="Q809" s="1" t="s">
        <v>780</v>
      </c>
      <c r="R809" s="1" t="s">
        <v>941</v>
      </c>
      <c r="S809" s="1" t="s">
        <v>1880</v>
      </c>
      <c r="T809" s="1" t="s">
        <v>1879</v>
      </c>
      <c r="U809" s="1">
        <v>1</v>
      </c>
      <c r="V809" s="1" t="s">
        <v>1832</v>
      </c>
      <c r="Y809" s="3">
        <v>43466</v>
      </c>
      <c r="Z809" s="1">
        <v>2019</v>
      </c>
      <c r="AA809" s="2"/>
      <c r="AB809" s="2"/>
      <c r="AC809" s="2">
        <v>657624.27000000014</v>
      </c>
      <c r="AG809" s="1" t="s">
        <v>21</v>
      </c>
      <c r="AI809" s="2">
        <v>657624.27000000014</v>
      </c>
      <c r="AK809" s="1"/>
      <c r="AL809" s="1" t="s">
        <v>127</v>
      </c>
    </row>
    <row r="810" spans="1:38" ht="15" customHeight="1" x14ac:dyDescent="0.2">
      <c r="A810" s="1" t="s">
        <v>19</v>
      </c>
      <c r="B810" s="5" t="s">
        <v>109</v>
      </c>
      <c r="C810" s="1" t="s">
        <v>37</v>
      </c>
      <c r="D810" s="1" t="s">
        <v>132</v>
      </c>
      <c r="E810" s="1" t="s">
        <v>35</v>
      </c>
      <c r="G810" s="1" t="s">
        <v>135</v>
      </c>
      <c r="H810" s="1" t="s">
        <v>130</v>
      </c>
      <c r="I810" s="1" t="s">
        <v>1884</v>
      </c>
      <c r="J810" s="1">
        <v>2020</v>
      </c>
      <c r="P810" s="1" t="s">
        <v>1881</v>
      </c>
      <c r="Q810" s="1" t="s">
        <v>780</v>
      </c>
      <c r="R810" s="1" t="s">
        <v>941</v>
      </c>
      <c r="S810" s="1" t="s">
        <v>1880</v>
      </c>
      <c r="T810" s="1" t="s">
        <v>1879</v>
      </c>
      <c r="U810" s="1">
        <v>1</v>
      </c>
      <c r="V810" s="1" t="s">
        <v>1832</v>
      </c>
      <c r="Y810" s="3">
        <v>44008</v>
      </c>
      <c r="Z810" s="1">
        <v>2020</v>
      </c>
      <c r="AA810" s="2"/>
      <c r="AB810" s="2"/>
      <c r="AC810" s="2">
        <v>21286.15</v>
      </c>
      <c r="AG810" s="1" t="s">
        <v>21</v>
      </c>
      <c r="AI810" s="2">
        <v>21286.15</v>
      </c>
      <c r="AK810" s="1"/>
    </row>
    <row r="811" spans="1:38" ht="15" customHeight="1" x14ac:dyDescent="0.2">
      <c r="A811" s="1" t="s">
        <v>19</v>
      </c>
      <c r="B811" s="5" t="s">
        <v>109</v>
      </c>
      <c r="C811" s="1" t="s">
        <v>37</v>
      </c>
      <c r="D811" s="1" t="s">
        <v>132</v>
      </c>
      <c r="E811" s="1" t="s">
        <v>35</v>
      </c>
      <c r="G811" s="1" t="s">
        <v>131</v>
      </c>
      <c r="H811" s="1" t="s">
        <v>130</v>
      </c>
      <c r="I811" s="1" t="s">
        <v>1883</v>
      </c>
      <c r="J811" s="1">
        <v>2019</v>
      </c>
      <c r="P811" s="1" t="s">
        <v>1881</v>
      </c>
      <c r="Q811" s="1" t="s">
        <v>780</v>
      </c>
      <c r="R811" s="1" t="s">
        <v>941</v>
      </c>
      <c r="S811" s="1" t="s">
        <v>1880</v>
      </c>
      <c r="T811" s="1" t="s">
        <v>1879</v>
      </c>
      <c r="U811" s="1">
        <v>1</v>
      </c>
      <c r="V811" s="1" t="s">
        <v>1832</v>
      </c>
      <c r="Y811" s="3">
        <v>43466</v>
      </c>
      <c r="Z811" s="1">
        <v>2019</v>
      </c>
      <c r="AA811" s="2"/>
      <c r="AB811" s="2"/>
      <c r="AC811" s="2">
        <v>375555.14999999997</v>
      </c>
      <c r="AG811" s="1" t="s">
        <v>21</v>
      </c>
      <c r="AI811" s="2">
        <v>375555.14999999997</v>
      </c>
      <c r="AK811" s="1"/>
      <c r="AL811" s="1" t="s">
        <v>127</v>
      </c>
    </row>
    <row r="812" spans="1:38" ht="15" customHeight="1" x14ac:dyDescent="0.2">
      <c r="A812" s="1" t="s">
        <v>19</v>
      </c>
      <c r="B812" s="5" t="s">
        <v>109</v>
      </c>
      <c r="C812" s="1" t="s">
        <v>37</v>
      </c>
      <c r="D812" s="1" t="s">
        <v>132</v>
      </c>
      <c r="E812" s="1" t="s">
        <v>35</v>
      </c>
      <c r="G812" s="1" t="s">
        <v>131</v>
      </c>
      <c r="H812" s="1" t="s">
        <v>130</v>
      </c>
      <c r="I812" s="1" t="s">
        <v>1882</v>
      </c>
      <c r="J812" s="1">
        <v>2019</v>
      </c>
      <c r="P812" s="1" t="s">
        <v>1881</v>
      </c>
      <c r="Q812" s="1" t="s">
        <v>780</v>
      </c>
      <c r="R812" s="1" t="s">
        <v>941</v>
      </c>
      <c r="S812" s="1" t="s">
        <v>1880</v>
      </c>
      <c r="T812" s="1" t="s">
        <v>1879</v>
      </c>
      <c r="U812" s="1">
        <v>1</v>
      </c>
      <c r="V812" s="1" t="s">
        <v>1832</v>
      </c>
      <c r="Y812" s="3">
        <v>43466</v>
      </c>
      <c r="Z812" s="1">
        <v>2019</v>
      </c>
      <c r="AA812" s="2"/>
      <c r="AB812" s="2"/>
      <c r="AC812" s="2">
        <v>592187.8600000001</v>
      </c>
      <c r="AG812" s="1" t="s">
        <v>21</v>
      </c>
      <c r="AI812" s="2">
        <v>592187.8600000001</v>
      </c>
      <c r="AK812" s="1"/>
      <c r="AL812" s="1" t="s">
        <v>127</v>
      </c>
    </row>
    <row r="813" spans="1:38" ht="15" customHeight="1" x14ac:dyDescent="0.2">
      <c r="A813" s="1" t="s">
        <v>19</v>
      </c>
      <c r="B813" s="5" t="s">
        <v>18</v>
      </c>
      <c r="C813" s="1" t="s">
        <v>37</v>
      </c>
      <c r="D813" s="1" t="s">
        <v>63</v>
      </c>
      <c r="E813" s="1" t="s">
        <v>35</v>
      </c>
      <c r="F813" s="1" t="s">
        <v>62</v>
      </c>
      <c r="G813" s="1" t="s">
        <v>61</v>
      </c>
      <c r="H813" s="1" t="s">
        <v>60</v>
      </c>
      <c r="I813" s="1" t="s">
        <v>1878</v>
      </c>
      <c r="J813" s="1">
        <v>2020</v>
      </c>
      <c r="K813" s="1" t="s">
        <v>1877</v>
      </c>
      <c r="L813" s="1" t="s">
        <v>1876</v>
      </c>
      <c r="P813" s="1" t="s">
        <v>1835</v>
      </c>
      <c r="Q813" s="1" t="s">
        <v>780</v>
      </c>
      <c r="R813" s="1" t="s">
        <v>941</v>
      </c>
      <c r="S813" s="1" t="s">
        <v>1834</v>
      </c>
      <c r="T813" s="1" t="s">
        <v>1833</v>
      </c>
      <c r="U813" s="1">
        <v>1</v>
      </c>
      <c r="V813" s="1" t="s">
        <v>1832</v>
      </c>
      <c r="W813" s="1" t="s">
        <v>1876</v>
      </c>
      <c r="X813" s="1" t="s">
        <v>52</v>
      </c>
      <c r="Y813" s="3">
        <v>44127</v>
      </c>
      <c r="Z813" s="1">
        <v>2020</v>
      </c>
      <c r="AA813" s="2">
        <v>119709.6</v>
      </c>
      <c r="AB813" s="2"/>
      <c r="AC813" s="2">
        <v>89782.200000000012</v>
      </c>
      <c r="AD813" s="1">
        <v>0</v>
      </c>
      <c r="AG813" s="1" t="s">
        <v>21</v>
      </c>
      <c r="AH813" s="1" t="s">
        <v>51</v>
      </c>
      <c r="AI813" s="2">
        <v>89782.200000000012</v>
      </c>
      <c r="AK813" s="1"/>
      <c r="AL813" s="1" t="s">
        <v>88</v>
      </c>
    </row>
    <row r="814" spans="1:38" ht="15" customHeight="1" x14ac:dyDescent="0.2">
      <c r="A814" s="1" t="s">
        <v>19</v>
      </c>
      <c r="B814" s="5" t="s">
        <v>18</v>
      </c>
      <c r="C814" s="1" t="s">
        <v>37</v>
      </c>
      <c r="D814" s="1" t="s">
        <v>63</v>
      </c>
      <c r="E814" s="1" t="s">
        <v>35</v>
      </c>
      <c r="F814" s="1" t="s">
        <v>62</v>
      </c>
      <c r="G814" s="1" t="s">
        <v>61</v>
      </c>
      <c r="H814" s="1" t="s">
        <v>60</v>
      </c>
      <c r="I814" s="1" t="s">
        <v>1878</v>
      </c>
      <c r="J814" s="1">
        <v>2020</v>
      </c>
      <c r="K814" s="1" t="s">
        <v>1877</v>
      </c>
      <c r="L814" s="1" t="s">
        <v>1876</v>
      </c>
      <c r="P814" s="1" t="s">
        <v>1842</v>
      </c>
      <c r="Q814" s="1" t="s">
        <v>780</v>
      </c>
      <c r="R814" s="1" t="s">
        <v>941</v>
      </c>
      <c r="S814" s="1" t="s">
        <v>1841</v>
      </c>
      <c r="T814" s="1" t="s">
        <v>1840</v>
      </c>
      <c r="U814" s="1">
        <v>1</v>
      </c>
      <c r="V814" s="1" t="s">
        <v>1832</v>
      </c>
      <c r="W814" s="1" t="s">
        <v>1876</v>
      </c>
      <c r="X814" s="1" t="s">
        <v>52</v>
      </c>
      <c r="Y814" s="3">
        <v>44127</v>
      </c>
      <c r="Z814" s="1">
        <v>2020</v>
      </c>
      <c r="AA814" s="2">
        <v>590075.06000000006</v>
      </c>
      <c r="AB814" s="2"/>
      <c r="AC814" s="2">
        <v>442556.29500000004</v>
      </c>
      <c r="AD814" s="1">
        <v>0</v>
      </c>
      <c r="AG814" s="1" t="s">
        <v>21</v>
      </c>
      <c r="AH814" s="1" t="s">
        <v>51</v>
      </c>
      <c r="AI814" s="2">
        <v>442556.29500000004</v>
      </c>
      <c r="AK814" s="1"/>
      <c r="AL814" s="1" t="s">
        <v>88</v>
      </c>
    </row>
    <row r="815" spans="1:38" ht="15" customHeight="1" x14ac:dyDescent="0.2">
      <c r="A815" s="1" t="s">
        <v>19</v>
      </c>
      <c r="B815" s="5" t="s">
        <v>18</v>
      </c>
      <c r="C815" s="1" t="s">
        <v>37</v>
      </c>
      <c r="D815" s="1" t="s">
        <v>63</v>
      </c>
      <c r="E815" s="1" t="s">
        <v>35</v>
      </c>
      <c r="F815" s="1" t="s">
        <v>62</v>
      </c>
      <c r="G815" s="1" t="s">
        <v>61</v>
      </c>
      <c r="H815" s="1" t="s">
        <v>60</v>
      </c>
      <c r="I815" s="1" t="s">
        <v>1878</v>
      </c>
      <c r="J815" s="1">
        <v>2020</v>
      </c>
      <c r="K815" s="1" t="s">
        <v>1877</v>
      </c>
      <c r="L815" s="1" t="s">
        <v>1876</v>
      </c>
      <c r="P815" s="1" t="s">
        <v>1874</v>
      </c>
      <c r="Q815" s="1" t="s">
        <v>780</v>
      </c>
      <c r="R815" s="1" t="s">
        <v>941</v>
      </c>
      <c r="S815" s="1" t="s">
        <v>1873</v>
      </c>
      <c r="T815" s="1" t="s">
        <v>1872</v>
      </c>
      <c r="U815" s="1">
        <v>1</v>
      </c>
      <c r="V815" s="1" t="s">
        <v>1832</v>
      </c>
      <c r="W815" s="1" t="s">
        <v>1876</v>
      </c>
      <c r="X815" s="1" t="s">
        <v>52</v>
      </c>
      <c r="Y815" s="3">
        <v>44127</v>
      </c>
      <c r="Z815" s="1">
        <v>2020</v>
      </c>
      <c r="AA815" s="2">
        <v>666751.29</v>
      </c>
      <c r="AB815" s="2"/>
      <c r="AC815" s="2">
        <v>500063.46750000003</v>
      </c>
      <c r="AD815" s="1">
        <v>0</v>
      </c>
      <c r="AG815" s="1" t="s">
        <v>21</v>
      </c>
      <c r="AH815" s="1" t="s">
        <v>51</v>
      </c>
      <c r="AI815" s="2">
        <v>500063.46750000003</v>
      </c>
      <c r="AK815" s="1"/>
      <c r="AL815" s="1" t="s">
        <v>88</v>
      </c>
    </row>
    <row r="816" spans="1:38" ht="15" customHeight="1" x14ac:dyDescent="0.2">
      <c r="A816" s="1" t="s">
        <v>19</v>
      </c>
      <c r="B816" s="5" t="s">
        <v>18</v>
      </c>
      <c r="C816" s="1" t="s">
        <v>37</v>
      </c>
      <c r="D816" s="1" t="s">
        <v>63</v>
      </c>
      <c r="E816" s="1" t="s">
        <v>35</v>
      </c>
      <c r="F816" s="1" t="s">
        <v>62</v>
      </c>
      <c r="G816" s="1" t="s">
        <v>61</v>
      </c>
      <c r="H816" s="1" t="s">
        <v>60</v>
      </c>
      <c r="I816" s="1" t="s">
        <v>1878</v>
      </c>
      <c r="J816" s="1">
        <v>2020</v>
      </c>
      <c r="K816" s="1" t="s">
        <v>1877</v>
      </c>
      <c r="L816" s="1" t="s">
        <v>1876</v>
      </c>
      <c r="P816" s="1" t="s">
        <v>1863</v>
      </c>
      <c r="Q816" s="1" t="s">
        <v>780</v>
      </c>
      <c r="R816" s="1" t="s">
        <v>941</v>
      </c>
      <c r="S816" s="1" t="s">
        <v>1862</v>
      </c>
      <c r="T816" s="1" t="s">
        <v>1861</v>
      </c>
      <c r="U816" s="1">
        <v>1</v>
      </c>
      <c r="V816" s="1" t="s">
        <v>1832</v>
      </c>
      <c r="W816" s="1" t="s">
        <v>1876</v>
      </c>
      <c r="X816" s="1" t="s">
        <v>52</v>
      </c>
      <c r="Y816" s="3">
        <v>44127</v>
      </c>
      <c r="Z816" s="1">
        <v>2020</v>
      </c>
      <c r="AA816" s="2">
        <v>1527930.23</v>
      </c>
      <c r="AB816" s="2"/>
      <c r="AC816" s="2">
        <v>1145947.6724999999</v>
      </c>
      <c r="AD816" s="1">
        <v>0</v>
      </c>
      <c r="AG816" s="1" t="s">
        <v>21</v>
      </c>
      <c r="AH816" s="1" t="s">
        <v>51</v>
      </c>
      <c r="AI816" s="2">
        <v>1145947.6724999999</v>
      </c>
      <c r="AK816" s="1"/>
      <c r="AL816" s="1" t="s">
        <v>88</v>
      </c>
    </row>
    <row r="817" spans="1:38" ht="15" customHeight="1" x14ac:dyDescent="0.2">
      <c r="A817" s="1" t="s">
        <v>19</v>
      </c>
      <c r="B817" s="5" t="s">
        <v>18</v>
      </c>
      <c r="C817" s="1" t="s">
        <v>37</v>
      </c>
      <c r="D817" s="1" t="s">
        <v>63</v>
      </c>
      <c r="E817" s="1" t="s">
        <v>35</v>
      </c>
      <c r="F817" s="1" t="s">
        <v>62</v>
      </c>
      <c r="G817" s="1" t="s">
        <v>61</v>
      </c>
      <c r="H817" s="1" t="s">
        <v>60</v>
      </c>
      <c r="I817" s="1" t="s">
        <v>783</v>
      </c>
      <c r="J817" s="1">
        <v>2020</v>
      </c>
      <c r="K817" s="1" t="s">
        <v>782</v>
      </c>
      <c r="L817" s="1" t="s">
        <v>1875</v>
      </c>
      <c r="P817" s="1" t="s">
        <v>1874</v>
      </c>
      <c r="Q817" s="1" t="s">
        <v>780</v>
      </c>
      <c r="R817" s="1" t="s">
        <v>941</v>
      </c>
      <c r="S817" s="1" t="s">
        <v>1873</v>
      </c>
      <c r="T817" s="1" t="s">
        <v>1872</v>
      </c>
      <c r="U817" s="1">
        <v>1</v>
      </c>
      <c r="V817" s="1" t="s">
        <v>1832</v>
      </c>
      <c r="W817" s="1" t="s">
        <v>776</v>
      </c>
      <c r="X817" s="1" t="s">
        <v>52</v>
      </c>
      <c r="Y817" s="3">
        <v>44127</v>
      </c>
      <c r="Z817" s="1">
        <v>2020</v>
      </c>
      <c r="AA817" s="2">
        <v>132822.10999999999</v>
      </c>
      <c r="AB817" s="2"/>
      <c r="AC817" s="2">
        <v>99616.58249999999</v>
      </c>
      <c r="AD817" s="1">
        <v>0</v>
      </c>
      <c r="AG817" s="1" t="s">
        <v>21</v>
      </c>
      <c r="AH817" s="1" t="s">
        <v>65</v>
      </c>
      <c r="AI817" s="2">
        <v>99616.58249999999</v>
      </c>
      <c r="AK817" s="1"/>
    </row>
    <row r="818" spans="1:38" ht="15" customHeight="1" x14ac:dyDescent="0.2">
      <c r="A818" s="1" t="s">
        <v>19</v>
      </c>
      <c r="B818" s="5" t="s">
        <v>18</v>
      </c>
      <c r="C818" s="1" t="s">
        <v>37</v>
      </c>
      <c r="D818" s="1" t="s">
        <v>63</v>
      </c>
      <c r="E818" s="1" t="s">
        <v>35</v>
      </c>
      <c r="F818" s="1" t="s">
        <v>62</v>
      </c>
      <c r="G818" s="1" t="s">
        <v>61</v>
      </c>
      <c r="H818" s="1" t="s">
        <v>60</v>
      </c>
      <c r="I818" s="1" t="s">
        <v>1871</v>
      </c>
      <c r="J818" s="1">
        <v>2020</v>
      </c>
      <c r="K818" s="1" t="s">
        <v>1869</v>
      </c>
      <c r="L818" s="1" t="s">
        <v>1870</v>
      </c>
      <c r="P818" s="1" t="s">
        <v>1835</v>
      </c>
      <c r="Q818" s="1" t="s">
        <v>780</v>
      </c>
      <c r="R818" s="1" t="s">
        <v>941</v>
      </c>
      <c r="S818" s="1" t="s">
        <v>1834</v>
      </c>
      <c r="T818" s="1" t="s">
        <v>1833</v>
      </c>
      <c r="U818" s="1">
        <v>1</v>
      </c>
      <c r="V818" s="1" t="s">
        <v>1832</v>
      </c>
      <c r="W818" s="1" t="s">
        <v>1869</v>
      </c>
      <c r="X818" s="1" t="s">
        <v>52</v>
      </c>
      <c r="Y818" s="3">
        <v>44127</v>
      </c>
      <c r="Z818" s="1">
        <v>2020</v>
      </c>
      <c r="AA818" s="2">
        <v>131139.99</v>
      </c>
      <c r="AB818" s="2"/>
      <c r="AC818" s="2">
        <v>98354.992499999993</v>
      </c>
      <c r="AD818" s="1">
        <v>0</v>
      </c>
      <c r="AG818" s="1" t="s">
        <v>21</v>
      </c>
      <c r="AH818" s="1" t="s">
        <v>65</v>
      </c>
      <c r="AI818" s="2">
        <v>98354.992499999993</v>
      </c>
      <c r="AK818" s="1"/>
      <c r="AL818" s="1" t="s">
        <v>1868</v>
      </c>
    </row>
    <row r="819" spans="1:38" ht="15" customHeight="1" x14ac:dyDescent="0.2">
      <c r="A819" s="1" t="s">
        <v>19</v>
      </c>
      <c r="B819" s="5" t="s">
        <v>18</v>
      </c>
      <c r="C819" s="1" t="s">
        <v>37</v>
      </c>
      <c r="D819" s="1" t="s">
        <v>63</v>
      </c>
      <c r="E819" s="1" t="s">
        <v>35</v>
      </c>
      <c r="F819" s="1" t="s">
        <v>62</v>
      </c>
      <c r="G819" s="1" t="s">
        <v>61</v>
      </c>
      <c r="H819" s="1" t="s">
        <v>60</v>
      </c>
      <c r="I819" s="1" t="s">
        <v>1867</v>
      </c>
      <c r="J819" s="1">
        <v>2021</v>
      </c>
      <c r="K819" s="1" t="s">
        <v>1866</v>
      </c>
      <c r="L819" s="1" t="s">
        <v>1865</v>
      </c>
      <c r="M819" s="1" t="s">
        <v>1864</v>
      </c>
      <c r="P819" s="1" t="s">
        <v>1863</v>
      </c>
      <c r="Q819" s="1" t="s">
        <v>780</v>
      </c>
      <c r="R819" s="1" t="s">
        <v>941</v>
      </c>
      <c r="S819" s="1" t="s">
        <v>1862</v>
      </c>
      <c r="T819" s="1" t="s">
        <v>1861</v>
      </c>
      <c r="U819" s="1">
        <v>1</v>
      </c>
      <c r="V819" s="1" t="s">
        <v>1832</v>
      </c>
      <c r="W819" s="1" t="s">
        <v>1860</v>
      </c>
      <c r="X819" s="1" t="s">
        <v>430</v>
      </c>
      <c r="Y819" s="3">
        <v>44559</v>
      </c>
      <c r="Z819" s="1">
        <v>2021</v>
      </c>
      <c r="AA819" s="2">
        <v>3327998.96</v>
      </c>
      <c r="AB819" s="2"/>
      <c r="AC819" s="2">
        <v>1790122.4</v>
      </c>
      <c r="AD819" s="1">
        <v>1</v>
      </c>
      <c r="AF819" s="1">
        <v>4</v>
      </c>
      <c r="AG819" s="1" t="s">
        <v>21</v>
      </c>
      <c r="AH819" s="1" t="s">
        <v>51</v>
      </c>
      <c r="AI819" s="2">
        <v>1790122.4</v>
      </c>
      <c r="AK819" s="1"/>
      <c r="AL819" s="1" t="s">
        <v>1859</v>
      </c>
    </row>
    <row r="820" spans="1:38" ht="15" customHeight="1" x14ac:dyDescent="0.2">
      <c r="A820" s="1" t="s">
        <v>19</v>
      </c>
      <c r="B820" s="5" t="s">
        <v>18</v>
      </c>
      <c r="C820" s="1" t="s">
        <v>37</v>
      </c>
      <c r="D820" s="1" t="s">
        <v>63</v>
      </c>
      <c r="E820" s="1" t="s">
        <v>35</v>
      </c>
      <c r="F820" s="1" t="s">
        <v>62</v>
      </c>
      <c r="G820" s="1" t="s">
        <v>61</v>
      </c>
      <c r="H820" s="1" t="s">
        <v>60</v>
      </c>
      <c r="I820" s="1" t="s">
        <v>1858</v>
      </c>
      <c r="J820" s="1">
        <v>2021</v>
      </c>
      <c r="K820" s="1" t="s">
        <v>1857</v>
      </c>
      <c r="L820" s="1" t="s">
        <v>1856</v>
      </c>
      <c r="M820" s="1" t="s">
        <v>1855</v>
      </c>
      <c r="P820" s="1" t="s">
        <v>1835</v>
      </c>
      <c r="Q820" s="1" t="s">
        <v>780</v>
      </c>
      <c r="R820" s="1" t="s">
        <v>941</v>
      </c>
      <c r="S820" s="1" t="s">
        <v>1834</v>
      </c>
      <c r="T820" s="1" t="s">
        <v>1833</v>
      </c>
      <c r="U820" s="1">
        <v>1</v>
      </c>
      <c r="V820" s="1" t="s">
        <v>1832</v>
      </c>
      <c r="W820" s="1" t="s">
        <v>1854</v>
      </c>
      <c r="X820" s="1" t="s">
        <v>52</v>
      </c>
      <c r="Y820" s="3">
        <v>44560</v>
      </c>
      <c r="Z820" s="1">
        <v>2021</v>
      </c>
      <c r="AA820" s="2">
        <v>2966234.26</v>
      </c>
      <c r="AB820" s="2"/>
      <c r="AC820" s="2">
        <v>2224675.7000000002</v>
      </c>
      <c r="AD820" s="1">
        <v>0.2</v>
      </c>
      <c r="AG820" s="1" t="s">
        <v>21</v>
      </c>
      <c r="AH820" s="1" t="s">
        <v>51</v>
      </c>
      <c r="AI820" s="2">
        <v>2224675.7000000002</v>
      </c>
      <c r="AK820" s="1"/>
      <c r="AL820" s="1" t="s">
        <v>88</v>
      </c>
    </row>
    <row r="821" spans="1:38" ht="15" customHeight="1" x14ac:dyDescent="0.2">
      <c r="A821" s="1" t="s">
        <v>19</v>
      </c>
      <c r="B821" s="5" t="s">
        <v>18</v>
      </c>
      <c r="C821" s="1" t="s">
        <v>37</v>
      </c>
      <c r="D821" s="1" t="s">
        <v>63</v>
      </c>
      <c r="E821" s="1" t="s">
        <v>35</v>
      </c>
      <c r="F821" s="1" t="s">
        <v>62</v>
      </c>
      <c r="G821" s="1" t="s">
        <v>61</v>
      </c>
      <c r="H821" s="1" t="s">
        <v>60</v>
      </c>
      <c r="I821" s="1" t="s">
        <v>1853</v>
      </c>
      <c r="J821" s="1">
        <v>2021</v>
      </c>
      <c r="K821" s="1" t="s">
        <v>1852</v>
      </c>
      <c r="L821" s="1" t="s">
        <v>1851</v>
      </c>
      <c r="M821" s="1" t="s">
        <v>1850</v>
      </c>
      <c r="P821" s="1" t="s">
        <v>1849</v>
      </c>
      <c r="Q821" s="1" t="s">
        <v>780</v>
      </c>
      <c r="R821" s="1" t="s">
        <v>941</v>
      </c>
      <c r="S821" s="1" t="s">
        <v>1848</v>
      </c>
      <c r="T821" s="1" t="s">
        <v>1847</v>
      </c>
      <c r="U821" s="1">
        <v>1</v>
      </c>
      <c r="V821" s="1" t="s">
        <v>1832</v>
      </c>
      <c r="W821" s="1" t="s">
        <v>1846</v>
      </c>
      <c r="Y821" s="3">
        <v>44560</v>
      </c>
      <c r="Z821" s="1">
        <v>2021</v>
      </c>
      <c r="AA821" s="2">
        <v>145908.79</v>
      </c>
      <c r="AB821" s="2"/>
      <c r="AC821" s="2">
        <v>109431.59</v>
      </c>
      <c r="AD821" s="1">
        <v>0</v>
      </c>
      <c r="AF821" s="1">
        <v>6</v>
      </c>
      <c r="AG821" s="1" t="s">
        <v>21</v>
      </c>
      <c r="AH821" s="1" t="s">
        <v>65</v>
      </c>
      <c r="AI821" s="2">
        <v>109431.59</v>
      </c>
      <c r="AK821" s="1"/>
    </row>
    <row r="822" spans="1:38" ht="15" customHeight="1" x14ac:dyDescent="0.2">
      <c r="A822" s="1" t="s">
        <v>19</v>
      </c>
      <c r="B822" s="5" t="s">
        <v>18</v>
      </c>
      <c r="C822" s="1" t="s">
        <v>37</v>
      </c>
      <c r="D822" s="1" t="s">
        <v>63</v>
      </c>
      <c r="E822" s="1" t="s">
        <v>35</v>
      </c>
      <c r="F822" s="1" t="s">
        <v>62</v>
      </c>
      <c r="G822" s="1" t="s">
        <v>61</v>
      </c>
      <c r="H822" s="1" t="s">
        <v>60</v>
      </c>
      <c r="I822" s="1" t="s">
        <v>1845</v>
      </c>
      <c r="J822" s="1">
        <v>2021</v>
      </c>
      <c r="K822" s="1" t="s">
        <v>1844</v>
      </c>
      <c r="L822" s="9" t="s">
        <v>1843</v>
      </c>
      <c r="P822" s="1" t="s">
        <v>1842</v>
      </c>
      <c r="Q822" s="1" t="s">
        <v>780</v>
      </c>
      <c r="R822" s="1" t="s">
        <v>941</v>
      </c>
      <c r="S822" s="1" t="s">
        <v>1841</v>
      </c>
      <c r="T822" s="1" t="s">
        <v>1840</v>
      </c>
      <c r="U822" s="1">
        <v>1</v>
      </c>
      <c r="V822" s="1" t="s">
        <v>1832</v>
      </c>
      <c r="W822" s="1" t="s">
        <v>1839</v>
      </c>
      <c r="X822" s="1" t="s">
        <v>36</v>
      </c>
      <c r="Y822" s="3">
        <v>44560</v>
      </c>
      <c r="Z822" s="1">
        <v>2021</v>
      </c>
      <c r="AA822" s="2">
        <v>599474.62143771339</v>
      </c>
      <c r="AB822" s="2"/>
      <c r="AC822" s="2">
        <v>449605.96607828501</v>
      </c>
      <c r="AD822" s="1">
        <v>0</v>
      </c>
      <c r="AF822" s="1">
        <v>9</v>
      </c>
      <c r="AG822" s="1" t="s">
        <v>21</v>
      </c>
      <c r="AH822" s="1" t="s">
        <v>65</v>
      </c>
      <c r="AI822" s="2">
        <v>449605.96607828501</v>
      </c>
      <c r="AJ822" s="1">
        <v>12.78</v>
      </c>
      <c r="AK822" s="1"/>
      <c r="AL822" s="1" t="s">
        <v>88</v>
      </c>
    </row>
    <row r="823" spans="1:38" ht="15" customHeight="1" x14ac:dyDescent="0.2">
      <c r="A823" s="1" t="s">
        <v>19</v>
      </c>
      <c r="B823" s="5" t="s">
        <v>18</v>
      </c>
      <c r="C823" s="1" t="s">
        <v>37</v>
      </c>
      <c r="D823" s="1" t="s">
        <v>63</v>
      </c>
      <c r="E823" s="1" t="s">
        <v>35</v>
      </c>
      <c r="G823" s="1" t="s">
        <v>1619</v>
      </c>
      <c r="H823" s="1" t="s">
        <v>130</v>
      </c>
      <c r="I823" s="1" t="s">
        <v>1838</v>
      </c>
      <c r="J823" s="1">
        <v>2020</v>
      </c>
      <c r="K823" s="1" t="s">
        <v>1837</v>
      </c>
      <c r="L823" s="1" t="s">
        <v>1836</v>
      </c>
      <c r="P823" s="1" t="s">
        <v>1835</v>
      </c>
      <c r="Q823" s="1" t="s">
        <v>780</v>
      </c>
      <c r="R823" s="1" t="s">
        <v>941</v>
      </c>
      <c r="S823" s="1" t="s">
        <v>1834</v>
      </c>
      <c r="T823" s="1" t="s">
        <v>1833</v>
      </c>
      <c r="U823" s="1">
        <v>1</v>
      </c>
      <c r="V823" s="1" t="s">
        <v>1832</v>
      </c>
      <c r="W823" s="1" t="s">
        <v>1831</v>
      </c>
      <c r="X823" s="1" t="s">
        <v>667</v>
      </c>
      <c r="Y823" s="3">
        <v>44337</v>
      </c>
      <c r="Z823" s="1">
        <v>2021</v>
      </c>
      <c r="AA823" s="2">
        <v>1000000</v>
      </c>
      <c r="AB823" s="2"/>
      <c r="AC823" s="2">
        <v>500000</v>
      </c>
      <c r="AD823" s="1">
        <v>2</v>
      </c>
      <c r="AE823" s="1">
        <v>2</v>
      </c>
      <c r="AG823" s="1" t="s">
        <v>21</v>
      </c>
      <c r="AH823" s="1" t="s">
        <v>65</v>
      </c>
      <c r="AI823" s="2">
        <v>500000</v>
      </c>
      <c r="AK823" s="1">
        <v>2</v>
      </c>
      <c r="AL823" s="1" t="s">
        <v>1830</v>
      </c>
    </row>
    <row r="824" spans="1:38" ht="15" customHeight="1" x14ac:dyDescent="0.2">
      <c r="A824" s="1" t="s">
        <v>19</v>
      </c>
      <c r="B824" s="5" t="s">
        <v>18</v>
      </c>
      <c r="C824" s="1" t="s">
        <v>17</v>
      </c>
      <c r="D824" s="1" t="s">
        <v>16</v>
      </c>
      <c r="E824" s="1" t="s">
        <v>35</v>
      </c>
      <c r="F824" s="1" t="s">
        <v>1829</v>
      </c>
      <c r="G824" s="24" t="s">
        <v>1828</v>
      </c>
      <c r="H824" s="1" t="s">
        <v>12</v>
      </c>
      <c r="I824" s="1" t="s">
        <v>1827</v>
      </c>
      <c r="J824" s="1">
        <v>2024</v>
      </c>
      <c r="K824" s="1" t="s">
        <v>1825</v>
      </c>
      <c r="L824" s="1" t="s">
        <v>1826</v>
      </c>
      <c r="P824" s="1" t="s">
        <v>1799</v>
      </c>
      <c r="Q824" s="1" t="s">
        <v>1749</v>
      </c>
      <c r="R824" s="1" t="s">
        <v>1748</v>
      </c>
      <c r="S824" s="1" t="s">
        <v>1768</v>
      </c>
      <c r="T824" s="24" t="s">
        <v>1767</v>
      </c>
      <c r="V824" s="24" t="s">
        <v>1745</v>
      </c>
      <c r="W824" s="1" t="s">
        <v>1825</v>
      </c>
      <c r="X824" s="1" t="s">
        <v>1824</v>
      </c>
      <c r="Y824" s="3">
        <v>45807</v>
      </c>
      <c r="Z824" s="1">
        <v>2025</v>
      </c>
      <c r="AA824" s="2">
        <v>119000000</v>
      </c>
      <c r="AB824" s="2"/>
      <c r="AC824" s="2">
        <v>78000000</v>
      </c>
      <c r="AG824" s="1" t="s">
        <v>21</v>
      </c>
      <c r="AI824" s="2">
        <v>78000000</v>
      </c>
      <c r="AK824" s="1"/>
    </row>
    <row r="825" spans="1:38" ht="15" customHeight="1" x14ac:dyDescent="0.2">
      <c r="A825" s="1" t="s">
        <v>19</v>
      </c>
      <c r="B825" s="5" t="s">
        <v>18</v>
      </c>
      <c r="C825" s="1" t="s">
        <v>17</v>
      </c>
      <c r="D825" s="1" t="s">
        <v>16</v>
      </c>
      <c r="E825" s="1" t="s">
        <v>15</v>
      </c>
      <c r="F825" s="1" t="s">
        <v>1530</v>
      </c>
      <c r="G825" s="1" t="s">
        <v>1542</v>
      </c>
      <c r="H825" s="1" t="s">
        <v>12</v>
      </c>
      <c r="I825" s="1" t="s">
        <v>1823</v>
      </c>
      <c r="J825" s="1">
        <v>2023</v>
      </c>
      <c r="K825" s="1" t="s">
        <v>1820</v>
      </c>
      <c r="L825" s="1" t="s">
        <v>1822</v>
      </c>
      <c r="M825" s="1" t="s">
        <v>1821</v>
      </c>
      <c r="P825" s="1" t="s">
        <v>1816</v>
      </c>
      <c r="Q825" s="1" t="s">
        <v>1749</v>
      </c>
      <c r="R825" s="1" t="s">
        <v>1748</v>
      </c>
      <c r="S825" s="1" t="s">
        <v>1768</v>
      </c>
      <c r="T825" s="24" t="s">
        <v>1767</v>
      </c>
      <c r="V825" s="24" t="s">
        <v>1745</v>
      </c>
      <c r="W825" s="1" t="s">
        <v>1820</v>
      </c>
      <c r="X825" s="1" t="s">
        <v>2</v>
      </c>
      <c r="Y825" s="3">
        <v>45124</v>
      </c>
      <c r="Z825" s="1">
        <v>2023</v>
      </c>
      <c r="AA825" s="2">
        <v>3906864.99</v>
      </c>
      <c r="AB825" s="2"/>
      <c r="AC825" s="2">
        <v>2594143.2400000002</v>
      </c>
      <c r="AG825" s="1" t="s">
        <v>1</v>
      </c>
      <c r="AI825" s="2">
        <v>2594143.2400000002</v>
      </c>
      <c r="AK825" s="1"/>
    </row>
    <row r="826" spans="1:38" ht="15" customHeight="1" x14ac:dyDescent="0.2">
      <c r="A826" s="1" t="s">
        <v>19</v>
      </c>
      <c r="B826" s="5" t="s">
        <v>18</v>
      </c>
      <c r="C826" s="1" t="s">
        <v>17</v>
      </c>
      <c r="D826" s="1" t="s">
        <v>16</v>
      </c>
      <c r="E826" s="1" t="s">
        <v>15</v>
      </c>
      <c r="F826" s="1" t="s">
        <v>1530</v>
      </c>
      <c r="G826" s="1" t="s">
        <v>1542</v>
      </c>
      <c r="H826" s="1" t="s">
        <v>12</v>
      </c>
      <c r="I826" s="1" t="s">
        <v>1819</v>
      </c>
      <c r="J826" s="1">
        <v>2023</v>
      </c>
      <c r="K826" s="1" t="s">
        <v>1815</v>
      </c>
      <c r="L826" s="1" t="s">
        <v>1818</v>
      </c>
      <c r="M826" s="1" t="s">
        <v>1817</v>
      </c>
      <c r="P826" s="1" t="s">
        <v>1816</v>
      </c>
      <c r="Q826" s="1" t="s">
        <v>1749</v>
      </c>
      <c r="R826" s="1" t="s">
        <v>1748</v>
      </c>
      <c r="S826" s="1" t="s">
        <v>1768</v>
      </c>
      <c r="T826" s="1" t="s">
        <v>1767</v>
      </c>
      <c r="V826" s="24" t="s">
        <v>1745</v>
      </c>
      <c r="W826" s="1" t="s">
        <v>1815</v>
      </c>
      <c r="X826" s="1" t="s">
        <v>2</v>
      </c>
      <c r="Y826" s="3">
        <v>45124</v>
      </c>
      <c r="Z826" s="1">
        <v>2023</v>
      </c>
      <c r="AA826" s="2">
        <v>1479544.19</v>
      </c>
      <c r="AB826" s="2"/>
      <c r="AC826" s="2">
        <v>739772.09</v>
      </c>
      <c r="AG826" s="1" t="s">
        <v>1</v>
      </c>
      <c r="AI826" s="2">
        <v>739772.09</v>
      </c>
      <c r="AK826" s="1"/>
    </row>
    <row r="827" spans="1:38" ht="15" customHeight="1" x14ac:dyDescent="0.25">
      <c r="A827" s="1" t="s">
        <v>19</v>
      </c>
      <c r="B827" s="5" t="s">
        <v>18</v>
      </c>
      <c r="C827" s="1" t="s">
        <v>17</v>
      </c>
      <c r="D827" s="1" t="s">
        <v>16</v>
      </c>
      <c r="E827" s="35" t="s">
        <v>15</v>
      </c>
      <c r="F827" s="1" t="s">
        <v>1807</v>
      </c>
      <c r="G827" s="1" t="s">
        <v>1806</v>
      </c>
      <c r="H827" s="1" t="s">
        <v>12</v>
      </c>
      <c r="I827" s="1" t="s">
        <v>1814</v>
      </c>
      <c r="J827" s="1">
        <v>2022</v>
      </c>
      <c r="K827" s="1" t="s">
        <v>1809</v>
      </c>
      <c r="L827" s="1" t="s">
        <v>1809</v>
      </c>
      <c r="M827" s="1" t="s">
        <v>1813</v>
      </c>
      <c r="P827" s="35" t="s">
        <v>1812</v>
      </c>
      <c r="Q827" s="1" t="s">
        <v>1749</v>
      </c>
      <c r="R827" s="1" t="s">
        <v>1748</v>
      </c>
      <c r="S827" s="1" t="s">
        <v>1811</v>
      </c>
      <c r="T827" s="24" t="s">
        <v>1810</v>
      </c>
      <c r="V827" s="24" t="s">
        <v>1745</v>
      </c>
      <c r="W827" s="1" t="s">
        <v>1809</v>
      </c>
      <c r="X827" s="1" t="s">
        <v>2</v>
      </c>
      <c r="Y827" s="3">
        <v>45019</v>
      </c>
      <c r="Z827" s="1">
        <v>2023</v>
      </c>
      <c r="AA827" s="2">
        <v>30155689.73</v>
      </c>
      <c r="AB827" s="2"/>
      <c r="AC827" s="2">
        <v>12711965.99</v>
      </c>
      <c r="AG827" s="1" t="s">
        <v>1</v>
      </c>
      <c r="AI827" s="2">
        <v>12711965.99</v>
      </c>
      <c r="AK827" s="1"/>
      <c r="AL827" s="9" t="s">
        <v>1808</v>
      </c>
    </row>
    <row r="828" spans="1:38" ht="15" customHeight="1" x14ac:dyDescent="0.2">
      <c r="A828" s="1" t="s">
        <v>19</v>
      </c>
      <c r="B828" s="5" t="s">
        <v>18</v>
      </c>
      <c r="C828" s="1" t="s">
        <v>17</v>
      </c>
      <c r="D828" s="1" t="s">
        <v>16</v>
      </c>
      <c r="E828" s="1" t="s">
        <v>15</v>
      </c>
      <c r="F828" s="1" t="s">
        <v>1807</v>
      </c>
      <c r="G828" s="1" t="s">
        <v>1806</v>
      </c>
      <c r="H828" s="1" t="s">
        <v>12</v>
      </c>
      <c r="I828" s="1" t="s">
        <v>1805</v>
      </c>
      <c r="J828" s="1">
        <v>2022</v>
      </c>
      <c r="K828" s="1" t="s">
        <v>1803</v>
      </c>
      <c r="L828" s="1" t="s">
        <v>1803</v>
      </c>
      <c r="M828" s="1" t="s">
        <v>1804</v>
      </c>
      <c r="P828" s="1" t="s">
        <v>1799</v>
      </c>
      <c r="Q828" s="1" t="s">
        <v>1749</v>
      </c>
      <c r="R828" s="1" t="s">
        <v>1748</v>
      </c>
      <c r="S828" s="1" t="s">
        <v>1768</v>
      </c>
      <c r="T828" s="1" t="s">
        <v>1767</v>
      </c>
      <c r="V828" s="24" t="s">
        <v>1745</v>
      </c>
      <c r="W828" s="1" t="s">
        <v>1803</v>
      </c>
      <c r="X828" s="1" t="s">
        <v>2</v>
      </c>
      <c r="Y828" s="3">
        <v>45019</v>
      </c>
      <c r="Z828" s="1">
        <v>2023</v>
      </c>
      <c r="AA828" s="2">
        <v>11233346.77</v>
      </c>
      <c r="AB828" s="2"/>
      <c r="AC828" s="2">
        <v>4037894.71</v>
      </c>
      <c r="AG828" s="1" t="s">
        <v>1</v>
      </c>
      <c r="AI828" s="2">
        <v>4037894.71</v>
      </c>
      <c r="AK828" s="1"/>
    </row>
    <row r="829" spans="1:38" ht="15" customHeight="1" x14ac:dyDescent="0.2">
      <c r="A829" s="1" t="s">
        <v>19</v>
      </c>
      <c r="B829" s="5" t="s">
        <v>18</v>
      </c>
      <c r="C829" s="1" t="s">
        <v>17</v>
      </c>
      <c r="D829" s="1" t="s">
        <v>16</v>
      </c>
      <c r="E829" s="1" t="s">
        <v>15</v>
      </c>
      <c r="F829" s="1" t="s">
        <v>1591</v>
      </c>
      <c r="G829" s="1" t="s">
        <v>1590</v>
      </c>
      <c r="H829" s="1" t="s">
        <v>12</v>
      </c>
      <c r="I829" s="1" t="s">
        <v>1802</v>
      </c>
      <c r="J829" s="1">
        <v>2023</v>
      </c>
      <c r="K829" s="1" t="s">
        <v>1798</v>
      </c>
      <c r="L829" s="1" t="s">
        <v>1801</v>
      </c>
      <c r="M829" s="1" t="s">
        <v>1800</v>
      </c>
      <c r="P829" s="1" t="s">
        <v>1799</v>
      </c>
      <c r="Q829" s="1" t="s">
        <v>1749</v>
      </c>
      <c r="R829" s="1" t="s">
        <v>1748</v>
      </c>
      <c r="S829" s="1" t="s">
        <v>1768</v>
      </c>
      <c r="T829" s="24" t="s">
        <v>1767</v>
      </c>
      <c r="V829" s="24" t="s">
        <v>1745</v>
      </c>
      <c r="W829" s="1" t="s">
        <v>1798</v>
      </c>
      <c r="X829" s="1" t="s">
        <v>1544</v>
      </c>
      <c r="Y829" s="3">
        <v>45281</v>
      </c>
      <c r="Z829" s="1">
        <v>2023</v>
      </c>
      <c r="AA829" s="2">
        <v>34850835.079999998</v>
      </c>
      <c r="AB829" s="2"/>
      <c r="AC829" s="2">
        <v>14955410.609999999</v>
      </c>
      <c r="AG829" s="1" t="s">
        <v>1</v>
      </c>
      <c r="AI829" s="2">
        <v>14955410.609999999</v>
      </c>
      <c r="AK829" s="1"/>
    </row>
    <row r="830" spans="1:38" ht="15" customHeight="1" x14ac:dyDescent="0.2">
      <c r="A830" s="1" t="s">
        <v>19</v>
      </c>
      <c r="B830" s="5" t="s">
        <v>18</v>
      </c>
      <c r="C830" s="1" t="s">
        <v>37</v>
      </c>
      <c r="D830" s="1" t="s">
        <v>63</v>
      </c>
      <c r="E830" s="1" t="s">
        <v>35</v>
      </c>
      <c r="G830" s="24" t="s">
        <v>288</v>
      </c>
      <c r="H830" s="1" t="s">
        <v>32</v>
      </c>
      <c r="I830" s="1" t="s">
        <v>1797</v>
      </c>
      <c r="J830" s="1">
        <v>2022</v>
      </c>
      <c r="K830" s="1" t="s">
        <v>1796</v>
      </c>
      <c r="L830" s="1" t="s">
        <v>1795</v>
      </c>
      <c r="M830" s="1" t="s">
        <v>1794</v>
      </c>
      <c r="N830" s="1" t="s">
        <v>1793</v>
      </c>
      <c r="O830" s="1" t="s">
        <v>1792</v>
      </c>
      <c r="P830" s="1" t="s">
        <v>1785</v>
      </c>
      <c r="Q830" s="1" t="s">
        <v>1749</v>
      </c>
      <c r="R830" s="1" t="s">
        <v>1748</v>
      </c>
      <c r="S830" s="1" t="s">
        <v>1747</v>
      </c>
      <c r="T830" s="24" t="s">
        <v>1746</v>
      </c>
      <c r="V830" s="24" t="s">
        <v>1745</v>
      </c>
      <c r="W830" s="1" t="s">
        <v>1791</v>
      </c>
      <c r="Y830" s="3">
        <v>45112</v>
      </c>
      <c r="Z830" s="1">
        <v>2023</v>
      </c>
      <c r="AA830" s="2">
        <v>999208.61</v>
      </c>
      <c r="AB830" s="2"/>
      <c r="AC830" s="2">
        <v>999208.61</v>
      </c>
      <c r="AG830" s="1" t="s">
        <v>21</v>
      </c>
      <c r="AI830" s="2">
        <v>999208.61</v>
      </c>
      <c r="AK830" s="1"/>
    </row>
    <row r="831" spans="1:38" ht="15" customHeight="1" x14ac:dyDescent="0.2">
      <c r="A831" s="1" t="s">
        <v>19</v>
      </c>
      <c r="B831" s="5" t="s">
        <v>18</v>
      </c>
      <c r="C831" s="1" t="s">
        <v>37</v>
      </c>
      <c r="D831" s="1" t="s">
        <v>63</v>
      </c>
      <c r="E831" s="1" t="s">
        <v>35</v>
      </c>
      <c r="G831" s="24" t="s">
        <v>288</v>
      </c>
      <c r="H831" s="1" t="s">
        <v>32</v>
      </c>
      <c r="I831" s="1" t="s">
        <v>1790</v>
      </c>
      <c r="J831" s="1">
        <v>2022</v>
      </c>
      <c r="K831" s="1" t="s">
        <v>1789</v>
      </c>
      <c r="L831" s="1" t="s">
        <v>1788</v>
      </c>
      <c r="M831" s="1" t="s">
        <v>1787</v>
      </c>
      <c r="N831" s="1" t="s">
        <v>1786</v>
      </c>
      <c r="P831" s="1" t="s">
        <v>1785</v>
      </c>
      <c r="Q831" s="1" t="s">
        <v>1749</v>
      </c>
      <c r="R831" s="1" t="s">
        <v>1748</v>
      </c>
      <c r="S831" s="1" t="s">
        <v>1747</v>
      </c>
      <c r="T831" s="24" t="s">
        <v>1746</v>
      </c>
      <c r="V831" s="24" t="s">
        <v>1745</v>
      </c>
      <c r="W831" s="1" t="s">
        <v>1784</v>
      </c>
      <c r="Y831" s="3">
        <v>45112</v>
      </c>
      <c r="Z831" s="1">
        <v>2023</v>
      </c>
      <c r="AA831" s="2">
        <v>3997108.32</v>
      </c>
      <c r="AB831" s="2"/>
      <c r="AC831" s="2">
        <v>3997108.32</v>
      </c>
      <c r="AG831" s="1" t="s">
        <v>21</v>
      </c>
      <c r="AI831" s="2">
        <v>3997108.32</v>
      </c>
      <c r="AK831" s="1"/>
    </row>
    <row r="832" spans="1:38" ht="15" customHeight="1" x14ac:dyDescent="0.2">
      <c r="A832" s="1" t="s">
        <v>19</v>
      </c>
      <c r="B832" s="5" t="s">
        <v>18</v>
      </c>
      <c r="C832" s="1" t="s">
        <v>37</v>
      </c>
      <c r="D832" s="1" t="s">
        <v>211</v>
      </c>
      <c r="E832" s="1" t="s">
        <v>35</v>
      </c>
      <c r="F832" s="1" t="s">
        <v>267</v>
      </c>
      <c r="G832" s="24" t="s">
        <v>266</v>
      </c>
      <c r="H832" s="1" t="s">
        <v>130</v>
      </c>
      <c r="I832" s="1" t="s">
        <v>1783</v>
      </c>
      <c r="J832" s="1">
        <v>2023</v>
      </c>
      <c r="K832" s="1" t="s">
        <v>1779</v>
      </c>
      <c r="L832" s="1" t="s">
        <v>1782</v>
      </c>
      <c r="M832" s="1" t="s">
        <v>1781</v>
      </c>
      <c r="P832" s="1" t="s">
        <v>1780</v>
      </c>
      <c r="Q832" s="1" t="s">
        <v>1749</v>
      </c>
      <c r="R832" s="1" t="s">
        <v>1748</v>
      </c>
      <c r="S832" s="1" t="s">
        <v>1747</v>
      </c>
      <c r="T832" s="24" t="s">
        <v>1746</v>
      </c>
      <c r="V832" s="24" t="s">
        <v>1745</v>
      </c>
      <c r="W832" s="1" t="s">
        <v>1779</v>
      </c>
      <c r="Y832" s="3">
        <v>45462</v>
      </c>
      <c r="Z832" s="1">
        <v>2024</v>
      </c>
      <c r="AA832" s="2">
        <v>444469.98</v>
      </c>
      <c r="AB832" s="2"/>
      <c r="AC832" s="2">
        <v>177787.99</v>
      </c>
      <c r="AD832" s="1">
        <v>11</v>
      </c>
      <c r="AE832" s="1">
        <v>3</v>
      </c>
      <c r="AG832" s="1" t="s">
        <v>21</v>
      </c>
      <c r="AI832" s="2">
        <v>177787.99</v>
      </c>
      <c r="AK832" s="1"/>
    </row>
    <row r="833" spans="1:38" ht="15" customHeight="1" x14ac:dyDescent="0.2">
      <c r="A833" s="1" t="s">
        <v>19</v>
      </c>
      <c r="B833" s="5" t="s">
        <v>18</v>
      </c>
      <c r="C833" s="1" t="s">
        <v>37</v>
      </c>
      <c r="D833" s="1" t="s">
        <v>211</v>
      </c>
      <c r="E833" s="1" t="s">
        <v>35</v>
      </c>
      <c r="F833" s="1" t="s">
        <v>267</v>
      </c>
      <c r="G833" s="24" t="s">
        <v>266</v>
      </c>
      <c r="H833" s="1" t="s">
        <v>130</v>
      </c>
      <c r="I833" s="1" t="s">
        <v>1778</v>
      </c>
      <c r="J833" s="1">
        <v>2023</v>
      </c>
      <c r="K833" s="1" t="s">
        <v>1773</v>
      </c>
      <c r="L833" s="1" t="s">
        <v>1777</v>
      </c>
      <c r="M833" s="1" t="s">
        <v>1776</v>
      </c>
      <c r="N833" s="1" t="s">
        <v>1775</v>
      </c>
      <c r="P833" s="1" t="s">
        <v>1774</v>
      </c>
      <c r="Q833" s="1" t="s">
        <v>1749</v>
      </c>
      <c r="R833" s="1" t="s">
        <v>1748</v>
      </c>
      <c r="S833" s="1" t="s">
        <v>1747</v>
      </c>
      <c r="T833" s="24" t="s">
        <v>1746</v>
      </c>
      <c r="V833" s="24" t="s">
        <v>1745</v>
      </c>
      <c r="W833" s="1" t="s">
        <v>1773</v>
      </c>
      <c r="Y833" s="3">
        <v>45462</v>
      </c>
      <c r="Z833" s="1">
        <v>2024</v>
      </c>
      <c r="AA833" s="2">
        <v>125030</v>
      </c>
      <c r="AB833" s="2"/>
      <c r="AC833" s="2">
        <v>75017.990000000005</v>
      </c>
      <c r="AD833" s="1">
        <v>6</v>
      </c>
      <c r="AE833" s="1">
        <v>4</v>
      </c>
      <c r="AG833" s="1" t="s">
        <v>21</v>
      </c>
      <c r="AI833" s="2">
        <v>75017.990000000005</v>
      </c>
      <c r="AK833" s="1"/>
    </row>
    <row r="834" spans="1:38" ht="15" customHeight="1" x14ac:dyDescent="0.2">
      <c r="A834" s="1" t="s">
        <v>19</v>
      </c>
      <c r="B834" s="5" t="s">
        <v>18</v>
      </c>
      <c r="C834" s="1" t="s">
        <v>37</v>
      </c>
      <c r="D834" s="1" t="s">
        <v>211</v>
      </c>
      <c r="E834" s="1" t="s">
        <v>35</v>
      </c>
      <c r="F834" s="1" t="s">
        <v>210</v>
      </c>
      <c r="G834" s="24" t="s">
        <v>209</v>
      </c>
      <c r="H834" s="1" t="s">
        <v>208</v>
      </c>
      <c r="I834" s="1" t="s">
        <v>1772</v>
      </c>
      <c r="J834" s="1">
        <v>2023</v>
      </c>
      <c r="K834" s="1" t="s">
        <v>1766</v>
      </c>
      <c r="L834" s="1" t="s">
        <v>1771</v>
      </c>
      <c r="M834" s="1" t="s">
        <v>1770</v>
      </c>
      <c r="P834" s="1" t="s">
        <v>1769</v>
      </c>
      <c r="Q834" s="1" t="s">
        <v>1749</v>
      </c>
      <c r="R834" s="1" t="s">
        <v>1748</v>
      </c>
      <c r="S834" s="1" t="s">
        <v>1768</v>
      </c>
      <c r="T834" s="24" t="s">
        <v>1767</v>
      </c>
      <c r="V834" s="24" t="s">
        <v>1745</v>
      </c>
      <c r="W834" s="1" t="s">
        <v>1766</v>
      </c>
      <c r="Y834" s="3">
        <v>45478</v>
      </c>
      <c r="Z834" s="1">
        <v>2024</v>
      </c>
      <c r="AA834" s="2">
        <v>92795.07</v>
      </c>
      <c r="AB834" s="2"/>
      <c r="AC834" s="2">
        <v>46397.54</v>
      </c>
      <c r="AD834" s="1">
        <v>2</v>
      </c>
      <c r="AG834" s="1" t="s">
        <v>21</v>
      </c>
      <c r="AI834" s="2">
        <v>46397.54</v>
      </c>
      <c r="AK834" s="1"/>
    </row>
    <row r="835" spans="1:38" ht="15" customHeight="1" x14ac:dyDescent="0.2">
      <c r="A835" s="1" t="s">
        <v>19</v>
      </c>
      <c r="B835" s="5" t="s">
        <v>18</v>
      </c>
      <c r="C835" s="1" t="s">
        <v>37</v>
      </c>
      <c r="D835" s="1" t="s">
        <v>211</v>
      </c>
      <c r="E835" s="1" t="s">
        <v>35</v>
      </c>
      <c r="F835" s="1" t="s">
        <v>210</v>
      </c>
      <c r="G835" s="24" t="s">
        <v>209</v>
      </c>
      <c r="H835" s="1" t="s">
        <v>208</v>
      </c>
      <c r="I835" s="1" t="s">
        <v>1765</v>
      </c>
      <c r="J835" s="1">
        <v>2023</v>
      </c>
      <c r="K835" s="1" t="s">
        <v>1760</v>
      </c>
      <c r="L835" s="1" t="s">
        <v>1764</v>
      </c>
      <c r="N835" s="1" t="s">
        <v>1763</v>
      </c>
      <c r="O835" s="1" t="s">
        <v>1762</v>
      </c>
      <c r="P835" s="1" t="s">
        <v>1761</v>
      </c>
      <c r="Q835" s="1" t="s">
        <v>1749</v>
      </c>
      <c r="R835" s="1" t="s">
        <v>1748</v>
      </c>
      <c r="S835" s="1" t="s">
        <v>1747</v>
      </c>
      <c r="T835" s="24" t="s">
        <v>1746</v>
      </c>
      <c r="V835" s="24" t="s">
        <v>1745</v>
      </c>
      <c r="W835" s="1" t="s">
        <v>1760</v>
      </c>
      <c r="Y835" s="3">
        <v>45478</v>
      </c>
      <c r="Z835" s="1">
        <v>2024</v>
      </c>
      <c r="AA835" s="2">
        <v>137088.54999999999</v>
      </c>
      <c r="AB835" s="2"/>
      <c r="AC835" s="2">
        <v>64272.14</v>
      </c>
      <c r="AD835" s="1">
        <v>1</v>
      </c>
      <c r="AG835" s="1" t="s">
        <v>21</v>
      </c>
      <c r="AI835" s="2">
        <v>64272.14</v>
      </c>
      <c r="AK835" s="1"/>
    </row>
    <row r="836" spans="1:38" ht="15" customHeight="1" x14ac:dyDescent="0.2">
      <c r="A836" s="1" t="s">
        <v>19</v>
      </c>
      <c r="B836" s="5" t="s">
        <v>18</v>
      </c>
      <c r="C836" s="1" t="s">
        <v>37</v>
      </c>
      <c r="D836" s="1" t="s">
        <v>211</v>
      </c>
      <c r="E836" s="1" t="s">
        <v>35</v>
      </c>
      <c r="F836" s="1" t="s">
        <v>210</v>
      </c>
      <c r="G836" s="24" t="s">
        <v>209</v>
      </c>
      <c r="H836" s="1" t="s">
        <v>208</v>
      </c>
      <c r="I836" s="1" t="s">
        <v>1759</v>
      </c>
      <c r="J836" s="1">
        <v>2023</v>
      </c>
      <c r="K836" s="1" t="s">
        <v>1753</v>
      </c>
      <c r="L836" s="1" t="s">
        <v>1758</v>
      </c>
      <c r="M836" s="1" t="s">
        <v>1757</v>
      </c>
      <c r="N836" s="1" t="s">
        <v>1756</v>
      </c>
      <c r="O836" s="1" t="s">
        <v>1755</v>
      </c>
      <c r="P836" s="1" t="s">
        <v>1754</v>
      </c>
      <c r="Q836" s="1" t="s">
        <v>1749</v>
      </c>
      <c r="R836" s="1" t="s">
        <v>1748</v>
      </c>
      <c r="S836" s="1" t="s">
        <v>1747</v>
      </c>
      <c r="T836" s="24" t="s">
        <v>1746</v>
      </c>
      <c r="V836" s="24" t="s">
        <v>1745</v>
      </c>
      <c r="W836" s="1" t="s">
        <v>1753</v>
      </c>
      <c r="Y836" s="3">
        <v>45478</v>
      </c>
      <c r="Z836" s="1">
        <v>2024</v>
      </c>
      <c r="AA836" s="2">
        <v>426490.6</v>
      </c>
      <c r="AB836" s="2"/>
      <c r="AC836" s="2">
        <v>200000</v>
      </c>
      <c r="AD836" s="1">
        <v>4</v>
      </c>
      <c r="AE836" s="1">
        <v>3</v>
      </c>
      <c r="AG836" s="1" t="s">
        <v>21</v>
      </c>
      <c r="AI836" s="2">
        <v>200000</v>
      </c>
      <c r="AK836" s="1"/>
    </row>
    <row r="837" spans="1:38" ht="15" customHeight="1" x14ac:dyDescent="0.2">
      <c r="A837" s="1" t="s">
        <v>19</v>
      </c>
      <c r="B837" s="5" t="s">
        <v>18</v>
      </c>
      <c r="C837" s="1" t="s">
        <v>37</v>
      </c>
      <c r="D837" s="1" t="s">
        <v>211</v>
      </c>
      <c r="E837" s="1" t="s">
        <v>35</v>
      </c>
      <c r="F837" s="1" t="s">
        <v>210</v>
      </c>
      <c r="G837" s="24" t="s">
        <v>209</v>
      </c>
      <c r="H837" s="1" t="s">
        <v>208</v>
      </c>
      <c r="I837" s="1" t="s">
        <v>1752</v>
      </c>
      <c r="J837" s="1">
        <v>2023</v>
      </c>
      <c r="K837" s="1" t="s">
        <v>1744</v>
      </c>
      <c r="L837" s="1" t="s">
        <v>1751</v>
      </c>
      <c r="P837" s="1" t="s">
        <v>1750</v>
      </c>
      <c r="Q837" s="1" t="s">
        <v>1749</v>
      </c>
      <c r="R837" s="1" t="s">
        <v>1748</v>
      </c>
      <c r="S837" s="1" t="s">
        <v>1747</v>
      </c>
      <c r="T837" s="24" t="s">
        <v>1746</v>
      </c>
      <c r="V837" s="24" t="s">
        <v>1745</v>
      </c>
      <c r="W837" s="1" t="s">
        <v>1744</v>
      </c>
      <c r="Y837" s="3">
        <v>45478</v>
      </c>
      <c r="Z837" s="1">
        <v>2024</v>
      </c>
      <c r="AA837" s="2">
        <v>206174.17</v>
      </c>
      <c r="AB837" s="2"/>
      <c r="AC837" s="2">
        <v>51543.54</v>
      </c>
      <c r="AD837" s="1">
        <v>0</v>
      </c>
      <c r="AG837" s="1" t="s">
        <v>21</v>
      </c>
      <c r="AI837" s="2">
        <v>51543.54</v>
      </c>
      <c r="AK837" s="1"/>
    </row>
    <row r="838" spans="1:38" ht="15" customHeight="1" x14ac:dyDescent="0.2">
      <c r="A838" s="1" t="s">
        <v>19</v>
      </c>
      <c r="B838" s="5" t="s">
        <v>18</v>
      </c>
      <c r="C838" s="1" t="s">
        <v>17</v>
      </c>
      <c r="D838" s="1" t="s">
        <v>16</v>
      </c>
      <c r="E838" s="1" t="s">
        <v>35</v>
      </c>
      <c r="F838" s="1" t="s">
        <v>1562</v>
      </c>
      <c r="G838" s="24" t="s">
        <v>1561</v>
      </c>
      <c r="H838" s="1" t="s">
        <v>12</v>
      </c>
      <c r="I838" s="1" t="s">
        <v>1743</v>
      </c>
      <c r="J838" s="1">
        <v>2024</v>
      </c>
      <c r="K838" s="1" t="s">
        <v>1742</v>
      </c>
      <c r="L838" s="1" t="s">
        <v>1741</v>
      </c>
      <c r="M838" s="1" t="s">
        <v>1740</v>
      </c>
      <c r="N838" s="1" t="s">
        <v>1739</v>
      </c>
      <c r="P838" s="1" t="s">
        <v>1738</v>
      </c>
      <c r="Q838" s="1" t="s">
        <v>1612</v>
      </c>
      <c r="R838" s="1" t="s">
        <v>1611</v>
      </c>
      <c r="S838" s="1" t="s">
        <v>1737</v>
      </c>
      <c r="T838" s="1" t="s">
        <v>1736</v>
      </c>
      <c r="V838" s="24" t="s">
        <v>1696</v>
      </c>
      <c r="W838" s="1" t="s">
        <v>1735</v>
      </c>
      <c r="Y838" s="3">
        <v>45834</v>
      </c>
      <c r="Z838" s="1">
        <v>2025</v>
      </c>
      <c r="AA838" s="2">
        <v>6385850</v>
      </c>
      <c r="AB838" s="2"/>
      <c r="AC838" s="2">
        <v>1277170</v>
      </c>
      <c r="AG838" s="1" t="s">
        <v>1</v>
      </c>
      <c r="AI838" s="2">
        <v>1277170</v>
      </c>
      <c r="AK838" s="1"/>
    </row>
    <row r="839" spans="1:38" ht="15" customHeight="1" x14ac:dyDescent="0.2">
      <c r="A839" s="1" t="s">
        <v>19</v>
      </c>
      <c r="B839" s="5" t="s">
        <v>18</v>
      </c>
      <c r="C839" s="1" t="s">
        <v>17</v>
      </c>
      <c r="D839" s="1" t="s">
        <v>16</v>
      </c>
      <c r="E839" s="1" t="s">
        <v>15</v>
      </c>
      <c r="F839" s="1" t="s">
        <v>1554</v>
      </c>
      <c r="G839" s="24" t="s">
        <v>1553</v>
      </c>
      <c r="H839" s="1" t="s">
        <v>12</v>
      </c>
      <c r="I839" s="1" t="s">
        <v>1734</v>
      </c>
      <c r="J839" s="1">
        <v>2022</v>
      </c>
      <c r="K839" s="1" t="s">
        <v>1729</v>
      </c>
      <c r="L839" s="1" t="s">
        <v>1733</v>
      </c>
      <c r="N839" s="1" t="s">
        <v>1692</v>
      </c>
      <c r="P839" s="1" t="s">
        <v>1725</v>
      </c>
      <c r="Q839" s="1" t="s">
        <v>1612</v>
      </c>
      <c r="R839" s="1" t="s">
        <v>1732</v>
      </c>
      <c r="S839" s="1" t="s">
        <v>1731</v>
      </c>
      <c r="T839" s="24" t="s">
        <v>1730</v>
      </c>
      <c r="V839" s="24" t="s">
        <v>1696</v>
      </c>
      <c r="W839" s="1" t="s">
        <v>1729</v>
      </c>
      <c r="X839" s="1" t="s">
        <v>1544</v>
      </c>
      <c r="Y839" s="3">
        <v>45254</v>
      </c>
      <c r="Z839" s="1">
        <v>2023</v>
      </c>
      <c r="AA839" s="2">
        <v>55174919</v>
      </c>
      <c r="AB839" s="2"/>
      <c r="AC839" s="2">
        <v>11000000</v>
      </c>
      <c r="AG839" s="1" t="s">
        <v>1</v>
      </c>
      <c r="AI839" s="2">
        <v>11000000</v>
      </c>
      <c r="AK839" s="1"/>
      <c r="AL839" s="9" t="s">
        <v>1728</v>
      </c>
    </row>
    <row r="840" spans="1:38" ht="15" customHeight="1" x14ac:dyDescent="0.2">
      <c r="A840" s="1" t="s">
        <v>19</v>
      </c>
      <c r="B840" s="5" t="s">
        <v>18</v>
      </c>
      <c r="C840" s="1" t="s">
        <v>17</v>
      </c>
      <c r="D840" s="1" t="s">
        <v>16</v>
      </c>
      <c r="E840" s="1" t="s">
        <v>15</v>
      </c>
      <c r="F840" s="1" t="s">
        <v>1554</v>
      </c>
      <c r="G840" s="24" t="s">
        <v>1553</v>
      </c>
      <c r="H840" s="1" t="s">
        <v>12</v>
      </c>
      <c r="I840" s="1" t="s">
        <v>1727</v>
      </c>
      <c r="J840" s="1">
        <v>2022</v>
      </c>
      <c r="K840" s="1" t="s">
        <v>1722</v>
      </c>
      <c r="L840" s="1" t="s">
        <v>1726</v>
      </c>
      <c r="N840" s="1" t="s">
        <v>1692</v>
      </c>
      <c r="P840" s="1" t="s">
        <v>1725</v>
      </c>
      <c r="Q840" s="1" t="s">
        <v>1612</v>
      </c>
      <c r="R840" s="1" t="s">
        <v>1611</v>
      </c>
      <c r="S840" s="1" t="s">
        <v>1724</v>
      </c>
      <c r="T840" s="24" t="s">
        <v>1723</v>
      </c>
      <c r="V840" s="24" t="s">
        <v>1696</v>
      </c>
      <c r="W840" s="1" t="s">
        <v>1722</v>
      </c>
      <c r="X840" s="1" t="s">
        <v>1544</v>
      </c>
      <c r="Y840" s="3">
        <v>45254</v>
      </c>
      <c r="Z840" s="1">
        <v>2023</v>
      </c>
      <c r="AA840" s="2">
        <v>19618523</v>
      </c>
      <c r="AB840" s="2"/>
      <c r="AC840" s="2">
        <v>4456343</v>
      </c>
      <c r="AG840" s="1" t="s">
        <v>1</v>
      </c>
      <c r="AI840" s="2">
        <v>4456343</v>
      </c>
      <c r="AK840" s="1"/>
      <c r="AL840" s="9" t="s">
        <v>1721</v>
      </c>
    </row>
    <row r="841" spans="1:38" ht="15" customHeight="1" x14ac:dyDescent="0.25">
      <c r="A841" s="1" t="s">
        <v>18</v>
      </c>
      <c r="B841" s="5" t="s">
        <v>18</v>
      </c>
      <c r="C841" s="1" t="s">
        <v>17</v>
      </c>
      <c r="D841" s="1" t="s">
        <v>16</v>
      </c>
      <c r="E841" s="1" t="s">
        <v>35</v>
      </c>
      <c r="F841" s="1" t="s">
        <v>1554</v>
      </c>
      <c r="G841" s="24" t="s">
        <v>1553</v>
      </c>
      <c r="H841" s="1" t="s">
        <v>12</v>
      </c>
      <c r="I841" s="7" t="s">
        <v>1720</v>
      </c>
      <c r="J841" s="1">
        <v>2022</v>
      </c>
      <c r="K841" s="1" t="s">
        <v>1719</v>
      </c>
      <c r="L841" s="9" t="s">
        <v>1718</v>
      </c>
      <c r="N841" s="1" t="s">
        <v>1692</v>
      </c>
      <c r="P841" s="1" t="s">
        <v>1580</v>
      </c>
      <c r="Q841" s="1" t="s">
        <v>1612</v>
      </c>
      <c r="R841" s="1" t="s">
        <v>1611</v>
      </c>
      <c r="S841" s="1" t="s">
        <v>1717</v>
      </c>
      <c r="T841" s="24" t="s">
        <v>1716</v>
      </c>
      <c r="V841" s="24" t="s">
        <v>1696</v>
      </c>
      <c r="W841" s="1" t="s">
        <v>1715</v>
      </c>
      <c r="X841" s="1" t="s">
        <v>1544</v>
      </c>
      <c r="Y841" s="3">
        <v>45254</v>
      </c>
      <c r="Z841" s="1">
        <v>2023</v>
      </c>
      <c r="AA841" s="37">
        <v>1905856.26</v>
      </c>
      <c r="AB841" s="2"/>
      <c r="AC841" s="2">
        <v>498890.94234710198</v>
      </c>
      <c r="AG841" s="1" t="s">
        <v>1</v>
      </c>
      <c r="AI841" s="2">
        <v>498890.94234710198</v>
      </c>
      <c r="AK841" s="1"/>
      <c r="AL841" s="1" t="s">
        <v>1714</v>
      </c>
    </row>
    <row r="842" spans="1:38" ht="15" customHeight="1" x14ac:dyDescent="0.2">
      <c r="A842" s="1" t="s">
        <v>19</v>
      </c>
      <c r="B842" s="5" t="s">
        <v>18</v>
      </c>
      <c r="C842" s="1" t="s">
        <v>17</v>
      </c>
      <c r="D842" s="1" t="s">
        <v>16</v>
      </c>
      <c r="E842" s="1" t="s">
        <v>15</v>
      </c>
      <c r="F842" s="1" t="s">
        <v>1554</v>
      </c>
      <c r="G842" s="24" t="s">
        <v>1553</v>
      </c>
      <c r="H842" s="1" t="s">
        <v>12</v>
      </c>
      <c r="I842" s="1" t="s">
        <v>1713</v>
      </c>
      <c r="J842" s="1">
        <v>2022</v>
      </c>
      <c r="K842" s="1" t="s">
        <v>1712</v>
      </c>
      <c r="L842" s="1" t="s">
        <v>1711</v>
      </c>
      <c r="N842" s="1" t="s">
        <v>1692</v>
      </c>
      <c r="P842" s="1" t="s">
        <v>1710</v>
      </c>
      <c r="Q842" s="1" t="s">
        <v>1612</v>
      </c>
      <c r="R842" s="1" t="s">
        <v>1611</v>
      </c>
      <c r="S842" s="1" t="s">
        <v>1709</v>
      </c>
      <c r="T842" s="24" t="s">
        <v>1708</v>
      </c>
      <c r="V842" s="24" t="s">
        <v>1696</v>
      </c>
      <c r="W842" s="1" t="s">
        <v>1707</v>
      </c>
      <c r="X842" s="1" t="s">
        <v>1544</v>
      </c>
      <c r="Y842" s="3">
        <v>45254</v>
      </c>
      <c r="Z842" s="1">
        <v>2023</v>
      </c>
      <c r="AA842" s="2">
        <v>61648173</v>
      </c>
      <c r="AB842" s="2"/>
      <c r="AC842" s="2">
        <v>13436550</v>
      </c>
      <c r="AG842" s="1" t="s">
        <v>1</v>
      </c>
      <c r="AI842" s="2">
        <v>13436550</v>
      </c>
      <c r="AK842" s="1"/>
    </row>
    <row r="843" spans="1:38" ht="15" customHeight="1" x14ac:dyDescent="0.2">
      <c r="A843" s="1" t="s">
        <v>19</v>
      </c>
      <c r="B843" s="5" t="s">
        <v>109</v>
      </c>
      <c r="C843" s="1" t="s">
        <v>17</v>
      </c>
      <c r="D843" s="1" t="s">
        <v>16</v>
      </c>
      <c r="E843" s="1" t="s">
        <v>15</v>
      </c>
      <c r="F843" s="1" t="s">
        <v>1530</v>
      </c>
      <c r="G843" s="24" t="s">
        <v>1706</v>
      </c>
      <c r="H843" s="1" t="s">
        <v>12</v>
      </c>
      <c r="I843" s="1" t="s">
        <v>1705</v>
      </c>
      <c r="J843" s="1">
        <v>2022</v>
      </c>
      <c r="K843" s="1" t="s">
        <v>1702</v>
      </c>
      <c r="L843" s="1" t="s">
        <v>1704</v>
      </c>
      <c r="P843" s="1" t="s">
        <v>1703</v>
      </c>
      <c r="Q843" s="1" t="s">
        <v>1612</v>
      </c>
      <c r="R843" s="1" t="s">
        <v>1611</v>
      </c>
      <c r="S843" s="1" t="s">
        <v>1610</v>
      </c>
      <c r="T843" s="24" t="s">
        <v>1609</v>
      </c>
      <c r="V843" s="24" t="s">
        <v>1608</v>
      </c>
      <c r="W843" s="1" t="s">
        <v>1702</v>
      </c>
      <c r="X843" s="1" t="s">
        <v>2</v>
      </c>
      <c r="Y843" s="3">
        <v>45069</v>
      </c>
      <c r="Z843" s="1">
        <v>2023</v>
      </c>
      <c r="AA843" s="2">
        <v>38861921.039999999</v>
      </c>
      <c r="AB843" s="2"/>
      <c r="AC843" s="2">
        <v>15000000</v>
      </c>
      <c r="AD843" s="1">
        <v>238</v>
      </c>
      <c r="AG843" s="1" t="s">
        <v>1522</v>
      </c>
      <c r="AH843" s="1" t="s">
        <v>1521</v>
      </c>
      <c r="AI843" s="2">
        <v>0</v>
      </c>
      <c r="AK843" s="1"/>
    </row>
    <row r="844" spans="1:38" ht="15" customHeight="1" x14ac:dyDescent="0.2">
      <c r="A844" s="1" t="s">
        <v>19</v>
      </c>
      <c r="B844" s="5" t="s">
        <v>18</v>
      </c>
      <c r="C844" s="1" t="s">
        <v>17</v>
      </c>
      <c r="D844" s="1" t="s">
        <v>16</v>
      </c>
      <c r="E844" s="1" t="s">
        <v>15</v>
      </c>
      <c r="F844" s="1" t="s">
        <v>1554</v>
      </c>
      <c r="G844" s="24" t="s">
        <v>1553</v>
      </c>
      <c r="H844" s="1" t="s">
        <v>12</v>
      </c>
      <c r="I844" s="1" t="s">
        <v>1701</v>
      </c>
      <c r="J844" s="1">
        <v>2022</v>
      </c>
      <c r="K844" s="1" t="s">
        <v>1695</v>
      </c>
      <c r="L844" s="1" t="s">
        <v>1700</v>
      </c>
      <c r="N844" s="1" t="s">
        <v>1692</v>
      </c>
      <c r="P844" s="1" t="s">
        <v>1699</v>
      </c>
      <c r="Q844" s="1" t="s">
        <v>1612</v>
      </c>
      <c r="R844" s="1" t="s">
        <v>1611</v>
      </c>
      <c r="S844" s="1" t="s">
        <v>1698</v>
      </c>
      <c r="T844" s="24" t="s">
        <v>1697</v>
      </c>
      <c r="V844" s="24" t="s">
        <v>1696</v>
      </c>
      <c r="W844" s="1" t="s">
        <v>1695</v>
      </c>
      <c r="X844" s="1" t="s">
        <v>1544</v>
      </c>
      <c r="Y844" s="3">
        <v>45254</v>
      </c>
      <c r="Z844" s="1">
        <v>2023</v>
      </c>
      <c r="AA844" s="2">
        <v>31201475</v>
      </c>
      <c r="AB844" s="2"/>
      <c r="AC844" s="2">
        <v>3699465</v>
      </c>
      <c r="AG844" s="1" t="s">
        <v>1</v>
      </c>
      <c r="AI844" s="2">
        <v>3699465</v>
      </c>
      <c r="AK844" s="1"/>
    </row>
    <row r="845" spans="1:38" ht="15" customHeight="1" x14ac:dyDescent="0.2">
      <c r="A845" s="1" t="s">
        <v>19</v>
      </c>
      <c r="B845" s="5" t="s">
        <v>18</v>
      </c>
      <c r="C845" s="1" t="s">
        <v>17</v>
      </c>
      <c r="D845" s="1" t="s">
        <v>16</v>
      </c>
      <c r="E845" s="1" t="s">
        <v>15</v>
      </c>
      <c r="F845" s="1" t="s">
        <v>1554</v>
      </c>
      <c r="G845" s="24" t="s">
        <v>1553</v>
      </c>
      <c r="H845" s="1" t="s">
        <v>12</v>
      </c>
      <c r="I845" s="1" t="s">
        <v>1694</v>
      </c>
      <c r="J845" s="1">
        <v>2022</v>
      </c>
      <c r="K845" s="1" t="s">
        <v>1690</v>
      </c>
      <c r="L845" s="1" t="s">
        <v>1693</v>
      </c>
      <c r="N845" s="1" t="s">
        <v>1692</v>
      </c>
      <c r="P845" s="1" t="s">
        <v>1691</v>
      </c>
      <c r="Q845" s="1" t="s">
        <v>1612</v>
      </c>
      <c r="R845" s="1" t="s">
        <v>1611</v>
      </c>
      <c r="S845" s="1" t="s">
        <v>1623</v>
      </c>
      <c r="T845" s="24" t="s">
        <v>1622</v>
      </c>
      <c r="V845" s="24" t="s">
        <v>1608</v>
      </c>
      <c r="W845" s="1" t="s">
        <v>1690</v>
      </c>
      <c r="X845" s="1" t="s">
        <v>1544</v>
      </c>
      <c r="Y845" s="3">
        <v>45254</v>
      </c>
      <c r="Z845" s="1">
        <v>2023</v>
      </c>
      <c r="AA845" s="2">
        <v>5091549</v>
      </c>
      <c r="AB845" s="2"/>
      <c r="AC845" s="2">
        <v>495000</v>
      </c>
      <c r="AG845" s="1" t="s">
        <v>1</v>
      </c>
      <c r="AI845" s="2">
        <v>495000</v>
      </c>
      <c r="AK845" s="1"/>
      <c r="AL845" s="9" t="s">
        <v>1689</v>
      </c>
    </row>
    <row r="846" spans="1:38" ht="15" customHeight="1" x14ac:dyDescent="0.2">
      <c r="A846" s="1" t="s">
        <v>19</v>
      </c>
      <c r="B846" s="5" t="s">
        <v>18</v>
      </c>
      <c r="C846" s="1" t="s">
        <v>37</v>
      </c>
      <c r="D846" s="1" t="s">
        <v>63</v>
      </c>
      <c r="E846" s="1" t="s">
        <v>35</v>
      </c>
      <c r="G846" s="24" t="s">
        <v>288</v>
      </c>
      <c r="H846" s="1" t="s">
        <v>32</v>
      </c>
      <c r="I846" s="1" t="s">
        <v>1688</v>
      </c>
      <c r="J846" s="1">
        <v>2022</v>
      </c>
      <c r="K846" s="1" t="s">
        <v>1687</v>
      </c>
      <c r="L846" s="1" t="s">
        <v>1686</v>
      </c>
      <c r="N846" s="1" t="s">
        <v>1685</v>
      </c>
      <c r="P846" s="1" t="s">
        <v>1613</v>
      </c>
      <c r="Q846" s="1" t="s">
        <v>1612</v>
      </c>
      <c r="R846" s="1" t="s">
        <v>1611</v>
      </c>
      <c r="S846" s="1" t="s">
        <v>1610</v>
      </c>
      <c r="T846" s="24" t="s">
        <v>1609</v>
      </c>
      <c r="V846" s="24" t="s">
        <v>1608</v>
      </c>
      <c r="W846" s="1" t="s">
        <v>1684</v>
      </c>
      <c r="Y846" s="3">
        <v>45112</v>
      </c>
      <c r="Z846" s="1">
        <v>2023</v>
      </c>
      <c r="AA846" s="2">
        <v>1215125.45</v>
      </c>
      <c r="AB846" s="2"/>
      <c r="AC846" s="2">
        <v>1215125.45</v>
      </c>
      <c r="AG846" s="1" t="s">
        <v>21</v>
      </c>
      <c r="AI846" s="2">
        <v>1215125.45</v>
      </c>
      <c r="AK846" s="1"/>
    </row>
    <row r="847" spans="1:38" ht="15" customHeight="1" x14ac:dyDescent="0.2">
      <c r="A847" s="1" t="s">
        <v>19</v>
      </c>
      <c r="B847" s="5" t="s">
        <v>18</v>
      </c>
      <c r="C847" s="1" t="s">
        <v>37</v>
      </c>
      <c r="D847" s="1" t="s">
        <v>63</v>
      </c>
      <c r="E847" s="1" t="s">
        <v>35</v>
      </c>
      <c r="G847" s="24" t="s">
        <v>288</v>
      </c>
      <c r="H847" s="1" t="s">
        <v>32</v>
      </c>
      <c r="I847" s="1" t="s">
        <v>1683</v>
      </c>
      <c r="J847" s="1">
        <v>2022</v>
      </c>
      <c r="K847" s="1" t="s">
        <v>1682</v>
      </c>
      <c r="L847" s="1" t="s">
        <v>1681</v>
      </c>
      <c r="P847" s="1" t="s">
        <v>1613</v>
      </c>
      <c r="Q847" s="1" t="s">
        <v>1612</v>
      </c>
      <c r="R847" s="1" t="s">
        <v>1611</v>
      </c>
      <c r="S847" s="1" t="s">
        <v>1610</v>
      </c>
      <c r="T847" s="24" t="s">
        <v>1609</v>
      </c>
      <c r="V847" s="24" t="s">
        <v>1608</v>
      </c>
      <c r="W847" s="1" t="s">
        <v>1680</v>
      </c>
      <c r="Y847" s="3">
        <v>45112</v>
      </c>
      <c r="Z847" s="1">
        <v>2023</v>
      </c>
      <c r="AA847" s="2">
        <v>498393.68</v>
      </c>
      <c r="AB847" s="2"/>
      <c r="AC847" s="2">
        <v>498393.68</v>
      </c>
      <c r="AG847" s="1" t="s">
        <v>21</v>
      </c>
      <c r="AI847" s="2">
        <v>498393.68</v>
      </c>
      <c r="AK847" s="1"/>
    </row>
    <row r="848" spans="1:38" ht="15" customHeight="1" x14ac:dyDescent="0.2">
      <c r="A848" s="1" t="s">
        <v>19</v>
      </c>
      <c r="B848" s="5" t="s">
        <v>18</v>
      </c>
      <c r="C848" s="1" t="s">
        <v>37</v>
      </c>
      <c r="D848" s="1" t="s">
        <v>63</v>
      </c>
      <c r="E848" s="1" t="s">
        <v>35</v>
      </c>
      <c r="G848" s="24" t="s">
        <v>288</v>
      </c>
      <c r="H848" s="1" t="s">
        <v>32</v>
      </c>
      <c r="I848" s="1" t="s">
        <v>1679</v>
      </c>
      <c r="J848" s="1">
        <v>2022</v>
      </c>
      <c r="K848" s="1" t="s">
        <v>1678</v>
      </c>
      <c r="L848" s="1" t="s">
        <v>1677</v>
      </c>
      <c r="P848" s="1" t="s">
        <v>1664</v>
      </c>
      <c r="Q848" s="1" t="s">
        <v>1612</v>
      </c>
      <c r="R848" s="1" t="s">
        <v>1611</v>
      </c>
      <c r="S848" s="1" t="s">
        <v>1649</v>
      </c>
      <c r="T848" s="24" t="s">
        <v>1648</v>
      </c>
      <c r="V848" s="24" t="s">
        <v>1608</v>
      </c>
      <c r="W848" s="1" t="s">
        <v>1676</v>
      </c>
      <c r="Y848" s="3">
        <v>45112</v>
      </c>
      <c r="Z848" s="1">
        <v>2023</v>
      </c>
      <c r="AA848" s="2">
        <v>1484830.92</v>
      </c>
      <c r="AB848" s="2"/>
      <c r="AC848" s="2">
        <v>1484830.92</v>
      </c>
      <c r="AG848" s="1" t="s">
        <v>21</v>
      </c>
      <c r="AI848" s="2">
        <v>1484830.92</v>
      </c>
      <c r="AK848" s="1"/>
    </row>
    <row r="849" spans="1:53" ht="15" customHeight="1" x14ac:dyDescent="0.2">
      <c r="A849" s="1" t="s">
        <v>19</v>
      </c>
      <c r="B849" s="5" t="s">
        <v>18</v>
      </c>
      <c r="C849" s="1" t="s">
        <v>37</v>
      </c>
      <c r="D849" s="1" t="s">
        <v>63</v>
      </c>
      <c r="E849" s="1" t="s">
        <v>35</v>
      </c>
      <c r="G849" s="24" t="s">
        <v>288</v>
      </c>
      <c r="H849" s="1" t="s">
        <v>32</v>
      </c>
      <c r="I849" s="1" t="s">
        <v>1675</v>
      </c>
      <c r="J849" s="1">
        <v>2022</v>
      </c>
      <c r="K849" s="1" t="s">
        <v>1674</v>
      </c>
      <c r="L849" s="1" t="s">
        <v>1673</v>
      </c>
      <c r="N849" s="1" t="s">
        <v>1672</v>
      </c>
      <c r="P849" s="1" t="s">
        <v>1671</v>
      </c>
      <c r="Q849" s="1" t="s">
        <v>1612</v>
      </c>
      <c r="R849" s="1" t="s">
        <v>1611</v>
      </c>
      <c r="S849" s="1" t="s">
        <v>1670</v>
      </c>
      <c r="T849" s="24" t="s">
        <v>1669</v>
      </c>
      <c r="V849" s="24" t="s">
        <v>1608</v>
      </c>
      <c r="W849" s="1" t="s">
        <v>1668</v>
      </c>
      <c r="Y849" s="3">
        <v>45112</v>
      </c>
      <c r="Z849" s="1">
        <v>2023</v>
      </c>
      <c r="AA849" s="2">
        <v>1693338.21</v>
      </c>
      <c r="AB849" s="2"/>
      <c r="AC849" s="2">
        <v>1693338.21</v>
      </c>
      <c r="AG849" s="1" t="s">
        <v>21</v>
      </c>
      <c r="AI849" s="2">
        <v>1693338.21</v>
      </c>
      <c r="AK849" s="1"/>
    </row>
    <row r="850" spans="1:53" ht="15" customHeight="1" x14ac:dyDescent="0.2">
      <c r="A850" s="1" t="s">
        <v>19</v>
      </c>
      <c r="B850" s="5" t="s">
        <v>18</v>
      </c>
      <c r="C850" s="1" t="s">
        <v>37</v>
      </c>
      <c r="D850" s="1" t="s">
        <v>63</v>
      </c>
      <c r="E850" s="1" t="s">
        <v>35</v>
      </c>
      <c r="G850" s="24" t="s">
        <v>288</v>
      </c>
      <c r="H850" s="1" t="s">
        <v>32</v>
      </c>
      <c r="I850" s="1" t="s">
        <v>1667</v>
      </c>
      <c r="J850" s="1">
        <v>2022</v>
      </c>
      <c r="K850" s="1" t="s">
        <v>1666</v>
      </c>
      <c r="L850" s="1" t="s">
        <v>1665</v>
      </c>
      <c r="P850" s="1" t="s">
        <v>1664</v>
      </c>
      <c r="Q850" s="1" t="s">
        <v>1612</v>
      </c>
      <c r="R850" s="1" t="s">
        <v>1611</v>
      </c>
      <c r="S850" s="1" t="s">
        <v>1649</v>
      </c>
      <c r="T850" s="24" t="s">
        <v>1648</v>
      </c>
      <c r="V850" s="24" t="s">
        <v>1608</v>
      </c>
      <c r="W850" s="1" t="s">
        <v>1663</v>
      </c>
      <c r="Y850" s="3">
        <v>45112</v>
      </c>
      <c r="Z850" s="1">
        <v>2023</v>
      </c>
      <c r="AA850" s="2">
        <v>184211.1</v>
      </c>
      <c r="AB850" s="2"/>
      <c r="AC850" s="2">
        <v>184211.1</v>
      </c>
      <c r="AG850" s="1" t="s">
        <v>21</v>
      </c>
      <c r="AI850" s="2">
        <v>184211.1</v>
      </c>
      <c r="AK850" s="1"/>
    </row>
    <row r="851" spans="1:53" ht="15" customHeight="1" x14ac:dyDescent="0.2">
      <c r="A851" s="1" t="s">
        <v>19</v>
      </c>
      <c r="B851" s="5" t="s">
        <v>109</v>
      </c>
      <c r="C851" s="1" t="s">
        <v>37</v>
      </c>
      <c r="D851" s="1" t="s">
        <v>211</v>
      </c>
      <c r="E851" s="1" t="s">
        <v>35</v>
      </c>
      <c r="F851" s="1" t="s">
        <v>267</v>
      </c>
      <c r="G851" s="24" t="s">
        <v>266</v>
      </c>
      <c r="H851" s="1" t="s">
        <v>208</v>
      </c>
      <c r="I851" s="1" t="s">
        <v>1662</v>
      </c>
      <c r="J851" s="1">
        <v>2023</v>
      </c>
      <c r="K851" s="1" t="s">
        <v>1661</v>
      </c>
      <c r="L851" s="1" t="s">
        <v>1660</v>
      </c>
      <c r="P851" s="1" t="s">
        <v>1659</v>
      </c>
      <c r="Q851" s="1" t="s">
        <v>1612</v>
      </c>
      <c r="R851" s="1" t="s">
        <v>1611</v>
      </c>
      <c r="S851" s="1" t="s">
        <v>1610</v>
      </c>
      <c r="T851" s="24" t="s">
        <v>1609</v>
      </c>
      <c r="V851" s="24" t="s">
        <v>1608</v>
      </c>
      <c r="W851" s="1" t="s">
        <v>1658</v>
      </c>
      <c r="Y851" s="3">
        <v>45462</v>
      </c>
      <c r="Z851" s="1">
        <v>2024</v>
      </c>
      <c r="AA851" s="2">
        <v>11645062.539999999</v>
      </c>
      <c r="AB851" s="2"/>
      <c r="AC851" s="2">
        <v>2637885.94</v>
      </c>
      <c r="AD851" s="1">
        <v>40</v>
      </c>
      <c r="AE851" s="1">
        <v>12</v>
      </c>
      <c r="AG851" s="1" t="s">
        <v>21</v>
      </c>
      <c r="AI851" s="2">
        <v>2637885.94</v>
      </c>
      <c r="AK851" s="1"/>
    </row>
    <row r="852" spans="1:53" ht="15" customHeight="1" x14ac:dyDescent="0.2">
      <c r="A852" s="1" t="s">
        <v>19</v>
      </c>
      <c r="B852" s="5" t="s">
        <v>109</v>
      </c>
      <c r="C852" s="1" t="s">
        <v>37</v>
      </c>
      <c r="D852" s="1" t="s">
        <v>211</v>
      </c>
      <c r="E852" s="1" t="s">
        <v>35</v>
      </c>
      <c r="F852" s="1" t="s">
        <v>267</v>
      </c>
      <c r="G852" s="24" t="s">
        <v>266</v>
      </c>
      <c r="H852" s="1" t="s">
        <v>130</v>
      </c>
      <c r="I852" s="1" t="s">
        <v>1657</v>
      </c>
      <c r="J852" s="1">
        <v>2023</v>
      </c>
      <c r="K852" s="1" t="s">
        <v>1656</v>
      </c>
      <c r="L852" s="1" t="s">
        <v>1655</v>
      </c>
      <c r="P852" s="1" t="s">
        <v>1654</v>
      </c>
      <c r="Q852" s="1" t="s">
        <v>1612</v>
      </c>
      <c r="R852" s="1" t="s">
        <v>1611</v>
      </c>
      <c r="S852" s="1" t="s">
        <v>1610</v>
      </c>
      <c r="T852" s="24" t="s">
        <v>1609</v>
      </c>
      <c r="V852" s="24" t="s">
        <v>1608</v>
      </c>
      <c r="W852" s="1" t="s">
        <v>1653</v>
      </c>
      <c r="Y852" s="3">
        <v>45462</v>
      </c>
      <c r="Z852" s="1">
        <v>2024</v>
      </c>
      <c r="AA852" s="2">
        <v>3670237</v>
      </c>
      <c r="AB852" s="2"/>
      <c r="AC852" s="2">
        <v>500267.78</v>
      </c>
      <c r="AD852" s="1">
        <v>15</v>
      </c>
      <c r="AE852" s="1">
        <v>5</v>
      </c>
      <c r="AG852" s="1" t="s">
        <v>21</v>
      </c>
      <c r="AI852" s="2">
        <v>500267.78</v>
      </c>
      <c r="AK852" s="1"/>
    </row>
    <row r="853" spans="1:53" ht="15" customHeight="1" x14ac:dyDescent="0.2">
      <c r="A853" s="1" t="s">
        <v>19</v>
      </c>
      <c r="B853" s="5" t="s">
        <v>18</v>
      </c>
      <c r="C853" s="1" t="s">
        <v>37</v>
      </c>
      <c r="D853" s="1" t="s">
        <v>211</v>
      </c>
      <c r="E853" s="1" t="s">
        <v>35</v>
      </c>
      <c r="F853" s="1" t="s">
        <v>210</v>
      </c>
      <c r="G853" s="24" t="s">
        <v>209</v>
      </c>
      <c r="H853" s="1" t="s">
        <v>208</v>
      </c>
      <c r="I853" s="1" t="s">
        <v>1652</v>
      </c>
      <c r="J853" s="1">
        <v>2023</v>
      </c>
      <c r="K853" s="1" t="s">
        <v>1647</v>
      </c>
      <c r="L853" s="1" t="s">
        <v>1651</v>
      </c>
      <c r="P853" s="1" t="s">
        <v>1650</v>
      </c>
      <c r="Q853" s="1" t="s">
        <v>1612</v>
      </c>
      <c r="R853" s="1" t="s">
        <v>1611</v>
      </c>
      <c r="S853" s="1" t="s">
        <v>1649</v>
      </c>
      <c r="T853" s="24" t="s">
        <v>1648</v>
      </c>
      <c r="V853" s="24" t="s">
        <v>1608</v>
      </c>
      <c r="W853" s="1" t="s">
        <v>1647</v>
      </c>
      <c r="Y853" s="3">
        <v>45478</v>
      </c>
      <c r="Z853" s="1">
        <v>2024</v>
      </c>
      <c r="AA853" s="2">
        <v>303481.13</v>
      </c>
      <c r="AB853" s="2"/>
      <c r="AC853" s="2">
        <v>120870.28</v>
      </c>
      <c r="AD853" s="1">
        <v>3</v>
      </c>
      <c r="AG853" s="1" t="s">
        <v>21</v>
      </c>
      <c r="AI853" s="2">
        <v>120870.28</v>
      </c>
      <c r="AK853" s="1"/>
      <c r="AL853" s="1" t="s">
        <v>1636</v>
      </c>
    </row>
    <row r="854" spans="1:53" ht="15" customHeight="1" x14ac:dyDescent="0.2">
      <c r="A854" s="1" t="s">
        <v>19</v>
      </c>
      <c r="B854" s="5" t="s">
        <v>18</v>
      </c>
      <c r="C854" s="1" t="s">
        <v>37</v>
      </c>
      <c r="D854" s="1" t="s">
        <v>211</v>
      </c>
      <c r="E854" s="1" t="s">
        <v>35</v>
      </c>
      <c r="F854" s="1" t="s">
        <v>210</v>
      </c>
      <c r="G854" s="24" t="s">
        <v>209</v>
      </c>
      <c r="H854" s="1" t="s">
        <v>208</v>
      </c>
      <c r="I854" s="1" t="s">
        <v>1646</v>
      </c>
      <c r="J854" s="1">
        <v>2023</v>
      </c>
      <c r="K854" s="1" t="s">
        <v>1645</v>
      </c>
      <c r="L854" s="1" t="s">
        <v>1644</v>
      </c>
      <c r="P854" s="1" t="s">
        <v>1643</v>
      </c>
      <c r="Q854" s="1" t="s">
        <v>1612</v>
      </c>
      <c r="R854" s="1" t="s">
        <v>1611</v>
      </c>
      <c r="S854" s="1" t="s">
        <v>1610</v>
      </c>
      <c r="T854" s="24" t="s">
        <v>1609</v>
      </c>
      <c r="V854" s="24" t="s">
        <v>1608</v>
      </c>
      <c r="W854" s="1" t="s">
        <v>1642</v>
      </c>
      <c r="Y854" s="3">
        <v>45478</v>
      </c>
      <c r="Z854" s="1">
        <v>2024</v>
      </c>
      <c r="AA854" s="2">
        <v>366866</v>
      </c>
      <c r="AB854" s="2"/>
      <c r="AC854" s="2">
        <v>136716.5</v>
      </c>
      <c r="AD854" s="1">
        <v>2</v>
      </c>
      <c r="AG854" s="1" t="s">
        <v>21</v>
      </c>
      <c r="AI854" s="2">
        <v>136716.5</v>
      </c>
      <c r="AK854" s="1"/>
      <c r="AL854" s="1" t="s">
        <v>1641</v>
      </c>
    </row>
    <row r="855" spans="1:53" ht="15" customHeight="1" x14ac:dyDescent="0.2">
      <c r="A855" s="1" t="s">
        <v>19</v>
      </c>
      <c r="B855" s="5" t="s">
        <v>18</v>
      </c>
      <c r="C855" s="1" t="s">
        <v>37</v>
      </c>
      <c r="D855" s="1" t="s">
        <v>211</v>
      </c>
      <c r="E855" s="1" t="s">
        <v>35</v>
      </c>
      <c r="F855" s="1" t="s">
        <v>210</v>
      </c>
      <c r="G855" s="24" t="s">
        <v>209</v>
      </c>
      <c r="H855" s="1" t="s">
        <v>208</v>
      </c>
      <c r="I855" s="1" t="s">
        <v>1640</v>
      </c>
      <c r="J855" s="1">
        <v>2023</v>
      </c>
      <c r="K855" s="1" t="s">
        <v>1637</v>
      </c>
      <c r="L855" s="1" t="s">
        <v>1639</v>
      </c>
      <c r="P855" s="1" t="s">
        <v>1638</v>
      </c>
      <c r="Q855" s="1" t="s">
        <v>1612</v>
      </c>
      <c r="R855" s="1" t="s">
        <v>1611</v>
      </c>
      <c r="S855" s="1" t="s">
        <v>1610</v>
      </c>
      <c r="T855" s="24" t="s">
        <v>1609</v>
      </c>
      <c r="V855" s="24" t="s">
        <v>1608</v>
      </c>
      <c r="W855" s="1" t="s">
        <v>1637</v>
      </c>
      <c r="Y855" s="3">
        <v>45478</v>
      </c>
      <c r="Z855" s="1">
        <v>2024</v>
      </c>
      <c r="AA855" s="2">
        <v>241000</v>
      </c>
      <c r="AB855" s="2"/>
      <c r="AC855" s="2">
        <v>105250</v>
      </c>
      <c r="AD855" s="1">
        <v>2</v>
      </c>
      <c r="AE855" s="1">
        <v>1</v>
      </c>
      <c r="AG855" s="1" t="s">
        <v>21</v>
      </c>
      <c r="AI855" s="2">
        <v>105250</v>
      </c>
      <c r="AK855" s="1"/>
      <c r="AL855" s="1" t="s">
        <v>1636</v>
      </c>
    </row>
    <row r="856" spans="1:53" ht="15" customHeight="1" x14ac:dyDescent="0.2">
      <c r="A856" s="1" t="s">
        <v>19</v>
      </c>
      <c r="B856" s="5" t="s">
        <v>18</v>
      </c>
      <c r="C856" s="1" t="s">
        <v>37</v>
      </c>
      <c r="D856" s="1" t="s">
        <v>211</v>
      </c>
      <c r="E856" s="1" t="s">
        <v>35</v>
      </c>
      <c r="F856" s="1" t="s">
        <v>210</v>
      </c>
      <c r="G856" s="24" t="s">
        <v>209</v>
      </c>
      <c r="H856" s="1" t="s">
        <v>208</v>
      </c>
      <c r="I856" s="1" t="s">
        <v>1635</v>
      </c>
      <c r="J856" s="1">
        <v>2023</v>
      </c>
      <c r="K856" s="1" t="s">
        <v>1629</v>
      </c>
      <c r="L856" s="1" t="s">
        <v>1634</v>
      </c>
      <c r="N856" s="1" t="s">
        <v>1633</v>
      </c>
      <c r="P856" s="1" t="s">
        <v>1632</v>
      </c>
      <c r="Q856" s="1" t="s">
        <v>1612</v>
      </c>
      <c r="R856" s="1" t="s">
        <v>1611</v>
      </c>
      <c r="S856" s="1" t="s">
        <v>1631</v>
      </c>
      <c r="T856" s="24" t="s">
        <v>1630</v>
      </c>
      <c r="V856" s="24" t="s">
        <v>1608</v>
      </c>
      <c r="W856" s="1" t="s">
        <v>1629</v>
      </c>
      <c r="Y856" s="3">
        <v>45478</v>
      </c>
      <c r="Z856" s="1">
        <v>2024</v>
      </c>
      <c r="AA856" s="2">
        <v>499709.89</v>
      </c>
      <c r="AB856" s="2"/>
      <c r="AC856" s="2">
        <v>129941.98</v>
      </c>
      <c r="AD856" s="1">
        <v>2</v>
      </c>
      <c r="AG856" s="1" t="s">
        <v>21</v>
      </c>
      <c r="AI856" s="2">
        <v>129941.98</v>
      </c>
      <c r="AK856" s="1"/>
    </row>
    <row r="857" spans="1:53" ht="15" customHeight="1" x14ac:dyDescent="0.25">
      <c r="A857" s="1" t="s">
        <v>19</v>
      </c>
      <c r="B857" s="14" t="s">
        <v>18</v>
      </c>
      <c r="C857" s="12" t="s">
        <v>37</v>
      </c>
      <c r="D857" s="1" t="s">
        <v>63</v>
      </c>
      <c r="E857" s="1" t="s">
        <v>35</v>
      </c>
      <c r="G857" s="24" t="s">
        <v>202</v>
      </c>
      <c r="H857" s="1" t="s">
        <v>32</v>
      </c>
      <c r="I857" s="12" t="s">
        <v>1628</v>
      </c>
      <c r="J857" s="1">
        <v>2023</v>
      </c>
      <c r="K857" s="1" t="s">
        <v>1627</v>
      </c>
      <c r="L857" s="1" t="s">
        <v>1626</v>
      </c>
      <c r="M857" s="1" t="s">
        <v>1625</v>
      </c>
      <c r="P857" s="1" t="s">
        <v>1624</v>
      </c>
      <c r="Q857" s="1" t="s">
        <v>1612</v>
      </c>
      <c r="R857" s="1" t="s">
        <v>1611</v>
      </c>
      <c r="S857" s="1" t="s">
        <v>1623</v>
      </c>
      <c r="T857" s="24" t="s">
        <v>1622</v>
      </c>
      <c r="U857" s="17"/>
      <c r="V857" s="36" t="s">
        <v>1608</v>
      </c>
      <c r="W857" s="12" t="s">
        <v>1621</v>
      </c>
      <c r="X857" s="12" t="s">
        <v>1620</v>
      </c>
      <c r="Y857" s="13">
        <v>45799</v>
      </c>
      <c r="Z857" s="12">
        <v>2025</v>
      </c>
      <c r="AA857" s="11">
        <v>1382311.45</v>
      </c>
      <c r="AB857" s="11"/>
      <c r="AC857" s="11">
        <v>1382311.45</v>
      </c>
      <c r="AD857" s="2"/>
      <c r="AG857" s="1" t="s">
        <v>21</v>
      </c>
      <c r="AI857" s="11">
        <v>1382311.45</v>
      </c>
      <c r="AK857" s="1"/>
    </row>
    <row r="858" spans="1:53" ht="15" customHeight="1" x14ac:dyDescent="0.2">
      <c r="A858" s="1" t="s">
        <v>19</v>
      </c>
      <c r="B858" s="5" t="s">
        <v>18</v>
      </c>
      <c r="C858" s="1" t="s">
        <v>37</v>
      </c>
      <c r="D858" s="1" t="s">
        <v>63</v>
      </c>
      <c r="E858" s="1" t="s">
        <v>35</v>
      </c>
      <c r="G858" s="24" t="s">
        <v>1619</v>
      </c>
      <c r="H858" s="1" t="s">
        <v>130</v>
      </c>
      <c r="I858" s="1" t="s">
        <v>1618</v>
      </c>
      <c r="J858" s="1">
        <v>2020</v>
      </c>
      <c r="K858" s="1" t="s">
        <v>1617</v>
      </c>
      <c r="L858" s="1" t="s">
        <v>1616</v>
      </c>
      <c r="M858" s="1" t="s">
        <v>1615</v>
      </c>
      <c r="N858" s="1" t="s">
        <v>1614</v>
      </c>
      <c r="P858" s="1" t="s">
        <v>1613</v>
      </c>
      <c r="Q858" s="1" t="s">
        <v>1612</v>
      </c>
      <c r="R858" s="1" t="s">
        <v>1611</v>
      </c>
      <c r="S858" s="1" t="s">
        <v>1610</v>
      </c>
      <c r="T858" s="24" t="s">
        <v>1609</v>
      </c>
      <c r="V858" s="1" t="s">
        <v>1608</v>
      </c>
      <c r="W858" s="1" t="s">
        <v>1607</v>
      </c>
      <c r="X858" s="1" t="s">
        <v>529</v>
      </c>
      <c r="Y858" s="3">
        <v>44337</v>
      </c>
      <c r="Z858" s="1">
        <v>2021</v>
      </c>
      <c r="AA858" s="2">
        <v>108809.01</v>
      </c>
      <c r="AB858" s="2"/>
      <c r="AC858" s="2">
        <v>77798</v>
      </c>
      <c r="AD858" s="1">
        <v>3</v>
      </c>
      <c r="AE858" s="1">
        <v>3</v>
      </c>
      <c r="AG858" s="1" t="s">
        <v>21</v>
      </c>
      <c r="AH858" s="1" t="s">
        <v>65</v>
      </c>
      <c r="AI858" s="2">
        <v>77798</v>
      </c>
      <c r="AK858" s="1">
        <v>3</v>
      </c>
      <c r="AL858" s="1" t="s">
        <v>1606</v>
      </c>
    </row>
    <row r="859" spans="1:53" ht="15" customHeight="1" x14ac:dyDescent="0.2">
      <c r="A859" s="1" t="s">
        <v>19</v>
      </c>
      <c r="B859" s="5" t="s">
        <v>109</v>
      </c>
      <c r="C859" s="1" t="s">
        <v>17</v>
      </c>
      <c r="D859" s="1" t="s">
        <v>16</v>
      </c>
      <c r="E859" s="1" t="s">
        <v>15</v>
      </c>
      <c r="F859" s="1" t="s">
        <v>1601</v>
      </c>
      <c r="G859" s="24" t="s">
        <v>1600</v>
      </c>
      <c r="H859" s="1" t="s">
        <v>12</v>
      </c>
      <c r="I859" s="1" t="s">
        <v>1605</v>
      </c>
      <c r="J859" s="1">
        <v>2022</v>
      </c>
      <c r="K859" s="1" t="s">
        <v>1604</v>
      </c>
      <c r="L859" s="1" t="s">
        <v>1604</v>
      </c>
      <c r="P859" s="1" t="s">
        <v>1603</v>
      </c>
      <c r="Q859" s="1" t="s">
        <v>771</v>
      </c>
      <c r="R859" s="1" t="s">
        <v>897</v>
      </c>
      <c r="S859" s="1" t="s">
        <v>922</v>
      </c>
      <c r="T859" s="24" t="s">
        <v>921</v>
      </c>
      <c r="U859" s="1">
        <v>2</v>
      </c>
      <c r="V859" s="24" t="s">
        <v>767</v>
      </c>
      <c r="W859" s="1" t="s">
        <v>1602</v>
      </c>
      <c r="X859" s="1" t="s">
        <v>2</v>
      </c>
      <c r="Y859" s="3">
        <v>45112</v>
      </c>
      <c r="Z859" s="1">
        <v>2023</v>
      </c>
      <c r="AA859" s="2">
        <v>9687543</v>
      </c>
      <c r="AB859" s="2"/>
      <c r="AC859" s="2">
        <v>629690.30000000005</v>
      </c>
      <c r="AG859" s="1" t="s">
        <v>1</v>
      </c>
      <c r="AI859" s="2">
        <v>629690.30000000005</v>
      </c>
      <c r="AK859" s="1"/>
    </row>
    <row r="860" spans="1:53" ht="15" customHeight="1" x14ac:dyDescent="0.25">
      <c r="A860" s="1" t="s">
        <v>19</v>
      </c>
      <c r="B860" s="5" t="s">
        <v>109</v>
      </c>
      <c r="C860" s="1" t="s">
        <v>17</v>
      </c>
      <c r="D860" s="1" t="s">
        <v>16</v>
      </c>
      <c r="E860" s="35" t="s">
        <v>15</v>
      </c>
      <c r="F860" s="1" t="s">
        <v>1601</v>
      </c>
      <c r="G860" s="24" t="s">
        <v>1600</v>
      </c>
      <c r="H860" s="1" t="s">
        <v>12</v>
      </c>
      <c r="I860" s="1" t="s">
        <v>1599</v>
      </c>
      <c r="J860" s="1">
        <v>2022</v>
      </c>
      <c r="K860" s="1" t="s">
        <v>1598</v>
      </c>
      <c r="L860" s="1" t="s">
        <v>1598</v>
      </c>
      <c r="P860" s="1" t="s">
        <v>1597</v>
      </c>
      <c r="Q860" s="1" t="s">
        <v>771</v>
      </c>
      <c r="R860" s="1" t="s">
        <v>770</v>
      </c>
      <c r="S860" s="1" t="s">
        <v>769</v>
      </c>
      <c r="T860" s="24" t="s">
        <v>768</v>
      </c>
      <c r="U860" s="1">
        <v>1</v>
      </c>
      <c r="V860" s="24" t="s">
        <v>767</v>
      </c>
      <c r="W860" s="1" t="s">
        <v>1596</v>
      </c>
      <c r="X860" s="1">
        <v>1</v>
      </c>
      <c r="Y860" s="3">
        <v>45112</v>
      </c>
      <c r="Z860" s="1">
        <v>2023</v>
      </c>
      <c r="AA860" s="2">
        <v>924707.81</v>
      </c>
      <c r="AB860" s="2"/>
      <c r="AC860" s="2">
        <v>231176.95</v>
      </c>
      <c r="AG860" s="1" t="s">
        <v>1</v>
      </c>
      <c r="AI860" s="2">
        <v>231176.95</v>
      </c>
      <c r="AK860" s="1"/>
      <c r="AL860" s="1" t="s">
        <v>1595</v>
      </c>
      <c r="AQ860" s="24"/>
      <c r="AS860" s="24"/>
      <c r="AV860" s="2"/>
      <c r="AW860" s="2"/>
      <c r="AX860" s="2"/>
      <c r="BA860" s="2"/>
    </row>
    <row r="861" spans="1:53" ht="15" customHeight="1" x14ac:dyDescent="0.2">
      <c r="A861" s="1" t="s">
        <v>19</v>
      </c>
      <c r="B861" s="5" t="s">
        <v>109</v>
      </c>
      <c r="C861" s="1" t="s">
        <v>17</v>
      </c>
      <c r="D861" s="1" t="s">
        <v>16</v>
      </c>
      <c r="E861" s="1" t="s">
        <v>15</v>
      </c>
      <c r="F861" s="1" t="s">
        <v>1530</v>
      </c>
      <c r="G861" s="24" t="s">
        <v>1529</v>
      </c>
      <c r="H861" s="1" t="s">
        <v>12</v>
      </c>
      <c r="I861" s="1" t="s">
        <v>1594</v>
      </c>
      <c r="J861" s="1">
        <v>2022</v>
      </c>
      <c r="K861" s="1" t="s">
        <v>1593</v>
      </c>
      <c r="L861" s="1" t="s">
        <v>1593</v>
      </c>
      <c r="P861" s="1" t="s">
        <v>1524</v>
      </c>
      <c r="Q861" s="1" t="s">
        <v>788</v>
      </c>
      <c r="R861" s="1" t="s">
        <v>787</v>
      </c>
      <c r="S861" s="1" t="s">
        <v>786</v>
      </c>
      <c r="T861" s="24" t="s">
        <v>785</v>
      </c>
      <c r="U861" s="1">
        <v>1</v>
      </c>
      <c r="V861" s="24" t="s">
        <v>767</v>
      </c>
      <c r="W861" s="1" t="s">
        <v>1592</v>
      </c>
      <c r="X861" s="1" t="s">
        <v>2</v>
      </c>
      <c r="Y861" s="3">
        <v>45019</v>
      </c>
      <c r="Z861" s="1">
        <v>2023</v>
      </c>
      <c r="AA861" s="2">
        <v>3420452.79</v>
      </c>
      <c r="AB861" s="2"/>
      <c r="AC861" s="2">
        <v>1621662.03</v>
      </c>
      <c r="AG861" s="1" t="s">
        <v>1</v>
      </c>
      <c r="AI861" s="2">
        <v>1621662.03</v>
      </c>
      <c r="AK861" s="1"/>
      <c r="AQ861" s="24"/>
      <c r="AS861" s="24"/>
      <c r="AV861" s="2"/>
      <c r="AW861" s="2"/>
      <c r="AX861" s="2"/>
      <c r="BA861" s="2"/>
    </row>
    <row r="862" spans="1:53" ht="15" customHeight="1" x14ac:dyDescent="0.2">
      <c r="A862" s="1" t="s">
        <v>19</v>
      </c>
      <c r="B862" s="5" t="s">
        <v>109</v>
      </c>
      <c r="C862" s="1" t="s">
        <v>17</v>
      </c>
      <c r="D862" s="1" t="s">
        <v>16</v>
      </c>
      <c r="E862" s="1" t="s">
        <v>35</v>
      </c>
      <c r="F862" s="1" t="s">
        <v>1591</v>
      </c>
      <c r="G862" s="24" t="s">
        <v>1590</v>
      </c>
      <c r="H862" s="1" t="s">
        <v>12</v>
      </c>
      <c r="I862" s="1" t="s">
        <v>1589</v>
      </c>
      <c r="J862" s="1">
        <v>2023</v>
      </c>
      <c r="K862" s="1" t="s">
        <v>1588</v>
      </c>
      <c r="L862" s="1" t="s">
        <v>1586</v>
      </c>
      <c r="P862" s="1" t="s">
        <v>1587</v>
      </c>
      <c r="Q862" s="1" t="s">
        <v>771</v>
      </c>
      <c r="R862" s="1" t="s">
        <v>770</v>
      </c>
      <c r="S862" s="1" t="s">
        <v>1396</v>
      </c>
      <c r="T862" s="24" t="s">
        <v>1395</v>
      </c>
      <c r="U862" s="1">
        <v>2</v>
      </c>
      <c r="V862" s="24" t="s">
        <v>767</v>
      </c>
      <c r="W862" s="1" t="s">
        <v>1586</v>
      </c>
      <c r="X862" s="1" t="s">
        <v>2</v>
      </c>
      <c r="Y862" s="3">
        <v>45281</v>
      </c>
      <c r="Z862" s="1">
        <v>2023</v>
      </c>
      <c r="AA862" s="2">
        <v>27678571.43</v>
      </c>
      <c r="AB862" s="2"/>
      <c r="AC862" s="2">
        <v>15000000</v>
      </c>
      <c r="AG862" s="1" t="s">
        <v>1</v>
      </c>
      <c r="AI862" s="2">
        <v>15000000</v>
      </c>
      <c r="AK862" s="1"/>
      <c r="AQ862" s="24"/>
      <c r="AS862" s="24"/>
      <c r="AV862" s="2"/>
      <c r="AW862" s="2"/>
      <c r="AX862" s="2"/>
      <c r="BA862" s="2"/>
    </row>
    <row r="863" spans="1:53" ht="15" customHeight="1" x14ac:dyDescent="0.2">
      <c r="A863" s="1" t="s">
        <v>19</v>
      </c>
      <c r="B863" s="5" t="s">
        <v>109</v>
      </c>
      <c r="C863" s="1" t="s">
        <v>17</v>
      </c>
      <c r="D863" s="1" t="s">
        <v>16</v>
      </c>
      <c r="E863" s="1" t="s">
        <v>35</v>
      </c>
      <c r="F863" s="1" t="s">
        <v>1585</v>
      </c>
      <c r="G863" s="24" t="s">
        <v>1584</v>
      </c>
      <c r="H863" s="1" t="s">
        <v>12</v>
      </c>
      <c r="I863" s="1" t="s">
        <v>1583</v>
      </c>
      <c r="J863" s="1">
        <v>2022</v>
      </c>
      <c r="K863" s="1" t="s">
        <v>1582</v>
      </c>
      <c r="L863" s="1" t="s">
        <v>1581</v>
      </c>
      <c r="P863" s="1" t="s">
        <v>1580</v>
      </c>
      <c r="Q863" s="1" t="s">
        <v>788</v>
      </c>
      <c r="R863" s="1" t="s">
        <v>787</v>
      </c>
      <c r="S863" s="1" t="s">
        <v>1579</v>
      </c>
      <c r="T863" s="24" t="s">
        <v>1578</v>
      </c>
      <c r="U863" s="1">
        <v>1</v>
      </c>
      <c r="V863" s="24" t="s">
        <v>767</v>
      </c>
      <c r="W863" s="1" t="s">
        <v>1577</v>
      </c>
      <c r="X863" s="1" t="s">
        <v>1576</v>
      </c>
      <c r="Y863" s="3">
        <v>45287</v>
      </c>
      <c r="Z863" s="1">
        <v>2023</v>
      </c>
      <c r="AA863" s="2">
        <v>14445891.779999999</v>
      </c>
      <c r="AB863" s="2"/>
      <c r="AC863" s="2">
        <v>3702482.06</v>
      </c>
      <c r="AD863" s="1">
        <v>9.4</v>
      </c>
      <c r="AG863" s="1" t="s">
        <v>1</v>
      </c>
      <c r="AI863" s="2">
        <v>3702482.06</v>
      </c>
      <c r="AK863" s="1"/>
      <c r="AQ863" s="24"/>
      <c r="AS863" s="24"/>
      <c r="AV863" s="2"/>
      <c r="AW863" s="2"/>
      <c r="AX863" s="2"/>
      <c r="BA863" s="2"/>
    </row>
    <row r="864" spans="1:53" ht="15" customHeight="1" x14ac:dyDescent="0.2">
      <c r="A864" s="1" t="s">
        <v>19</v>
      </c>
      <c r="B864" s="5" t="s">
        <v>109</v>
      </c>
      <c r="C864" s="1" t="s">
        <v>17</v>
      </c>
      <c r="D864" s="1" t="s">
        <v>16</v>
      </c>
      <c r="E864" s="1" t="s">
        <v>35</v>
      </c>
      <c r="F864" s="1" t="s">
        <v>1575</v>
      </c>
      <c r="G864" s="24" t="s">
        <v>1574</v>
      </c>
      <c r="H864" s="1" t="s">
        <v>12</v>
      </c>
      <c r="I864" s="1" t="s">
        <v>1573</v>
      </c>
      <c r="J864" s="1">
        <v>2023</v>
      </c>
      <c r="K864" s="1" t="s">
        <v>1572</v>
      </c>
      <c r="L864" s="1" t="s">
        <v>1571</v>
      </c>
      <c r="P864" s="1" t="s">
        <v>1570</v>
      </c>
      <c r="Q864" s="1" t="s">
        <v>788</v>
      </c>
      <c r="R864" s="1" t="s">
        <v>787</v>
      </c>
      <c r="S864" s="1" t="s">
        <v>786</v>
      </c>
      <c r="T864" s="24" t="s">
        <v>785</v>
      </c>
      <c r="U864" s="1">
        <v>1</v>
      </c>
      <c r="V864" s="24" t="s">
        <v>767</v>
      </c>
      <c r="W864" s="1" t="s">
        <v>1569</v>
      </c>
      <c r="X864" s="1" t="s">
        <v>2</v>
      </c>
      <c r="Y864" s="3">
        <v>45786</v>
      </c>
      <c r="Z864" s="1">
        <v>2025</v>
      </c>
      <c r="AA864" s="2">
        <v>1886474</v>
      </c>
      <c r="AB864" s="2"/>
      <c r="AC864" s="2">
        <v>754589.6</v>
      </c>
      <c r="AG864" s="2" t="s">
        <v>1</v>
      </c>
      <c r="AI864" s="2">
        <v>754589.6</v>
      </c>
      <c r="AK864" s="1"/>
      <c r="AQ864" s="24"/>
      <c r="AS864" s="24"/>
      <c r="AV864" s="2"/>
      <c r="AW864" s="2"/>
      <c r="AX864" s="2"/>
      <c r="BA864" s="2"/>
    </row>
    <row r="865" spans="1:53" ht="15" customHeight="1" x14ac:dyDescent="0.2">
      <c r="A865" s="1" t="s">
        <v>19</v>
      </c>
      <c r="B865" s="5" t="s">
        <v>109</v>
      </c>
      <c r="C865" s="1" t="s">
        <v>17</v>
      </c>
      <c r="D865" s="1" t="s">
        <v>16</v>
      </c>
      <c r="E865" s="1" t="s">
        <v>15</v>
      </c>
      <c r="F865" s="1" t="s">
        <v>1530</v>
      </c>
      <c r="G865" s="24" t="s">
        <v>1529</v>
      </c>
      <c r="H865" s="1" t="s">
        <v>12</v>
      </c>
      <c r="I865" s="1" t="s">
        <v>1568</v>
      </c>
      <c r="J865" s="1">
        <v>2022</v>
      </c>
      <c r="K865" s="1" t="s">
        <v>1563</v>
      </c>
      <c r="L865" s="1" t="s">
        <v>1563</v>
      </c>
      <c r="M865" s="1" t="s">
        <v>1567</v>
      </c>
      <c r="P865" s="1" t="s">
        <v>1566</v>
      </c>
      <c r="Q865" s="1" t="s">
        <v>780</v>
      </c>
      <c r="R865" s="1" t="s">
        <v>941</v>
      </c>
      <c r="S865" s="1" t="s">
        <v>1565</v>
      </c>
      <c r="T865" s="24" t="s">
        <v>1564</v>
      </c>
      <c r="U865" s="1">
        <v>2</v>
      </c>
      <c r="V865" s="24" t="s">
        <v>767</v>
      </c>
      <c r="W865" s="1" t="s">
        <v>1563</v>
      </c>
      <c r="X865" s="1" t="s">
        <v>2</v>
      </c>
      <c r="Y865" s="3">
        <v>45019</v>
      </c>
      <c r="Z865" s="1">
        <v>2023</v>
      </c>
      <c r="AA865" s="2">
        <v>14717362</v>
      </c>
      <c r="AB865" s="2"/>
      <c r="AC865" s="2">
        <v>7358681.0499999998</v>
      </c>
      <c r="AG865" s="1" t="s">
        <v>1522</v>
      </c>
      <c r="AH865" s="1" t="s">
        <v>1521</v>
      </c>
      <c r="AI865" s="2">
        <v>0</v>
      </c>
      <c r="AK865" s="1"/>
      <c r="AQ865" s="24"/>
      <c r="AS865" s="24"/>
      <c r="AV865" s="2"/>
      <c r="AW865" s="2"/>
      <c r="AX865" s="2"/>
      <c r="BA865" s="2"/>
    </row>
    <row r="866" spans="1:53" ht="15" customHeight="1" x14ac:dyDescent="0.2">
      <c r="A866" s="1" t="s">
        <v>19</v>
      </c>
      <c r="B866" s="5" t="s">
        <v>109</v>
      </c>
      <c r="C866" s="1" t="s">
        <v>17</v>
      </c>
      <c r="D866" s="1" t="s">
        <v>16</v>
      </c>
      <c r="E866" s="1" t="s">
        <v>35</v>
      </c>
      <c r="F866" s="1" t="s">
        <v>1562</v>
      </c>
      <c r="G866" s="24" t="s">
        <v>1561</v>
      </c>
      <c r="H866" s="1" t="s">
        <v>12</v>
      </c>
      <c r="I866" s="1" t="s">
        <v>1560</v>
      </c>
      <c r="J866" s="1">
        <v>2024</v>
      </c>
      <c r="K866" s="1" t="s">
        <v>1559</v>
      </c>
      <c r="L866" s="1" t="s">
        <v>1558</v>
      </c>
      <c r="M866" s="1" t="s">
        <v>1557</v>
      </c>
      <c r="P866" s="1" t="s">
        <v>1556</v>
      </c>
      <c r="Q866" s="1" t="s">
        <v>788</v>
      </c>
      <c r="R866" s="1" t="s">
        <v>787</v>
      </c>
      <c r="S866" s="1" t="s">
        <v>786</v>
      </c>
      <c r="T866" s="24" t="s">
        <v>785</v>
      </c>
      <c r="U866" s="1">
        <v>1</v>
      </c>
      <c r="V866" s="24" t="s">
        <v>767</v>
      </c>
      <c r="W866" s="1" t="s">
        <v>1555</v>
      </c>
      <c r="Y866" s="3">
        <v>45834</v>
      </c>
      <c r="Z866" s="1">
        <v>2025</v>
      </c>
      <c r="AA866" s="2">
        <v>1736203</v>
      </c>
      <c r="AB866" s="2"/>
      <c r="AC866" s="2">
        <v>750040</v>
      </c>
      <c r="AG866" s="1" t="s">
        <v>1</v>
      </c>
      <c r="AI866" s="2">
        <v>750040</v>
      </c>
      <c r="AK866" s="1"/>
      <c r="AQ866" s="24"/>
      <c r="AS866" s="24"/>
      <c r="AV866" s="2"/>
      <c r="AW866" s="2"/>
      <c r="AX866" s="2"/>
      <c r="BA866" s="2"/>
    </row>
    <row r="867" spans="1:53" ht="15" customHeight="1" x14ac:dyDescent="0.2">
      <c r="A867" s="1" t="s">
        <v>19</v>
      </c>
      <c r="B867" s="5" t="s">
        <v>109</v>
      </c>
      <c r="C867" s="1" t="s">
        <v>17</v>
      </c>
      <c r="D867" s="1" t="s">
        <v>16</v>
      </c>
      <c r="E867" s="1" t="s">
        <v>15</v>
      </c>
      <c r="F867" s="1" t="s">
        <v>1554</v>
      </c>
      <c r="G867" s="24" t="s">
        <v>1553</v>
      </c>
      <c r="H867" s="1" t="s">
        <v>12</v>
      </c>
      <c r="I867" s="1" t="s">
        <v>1552</v>
      </c>
      <c r="J867" s="1">
        <v>2022</v>
      </c>
      <c r="K867" s="1" t="s">
        <v>1551</v>
      </c>
      <c r="L867" s="1" t="s">
        <v>1550</v>
      </c>
      <c r="M867" s="1" t="s">
        <v>1549</v>
      </c>
      <c r="P867" s="1" t="s">
        <v>1548</v>
      </c>
      <c r="Q867" s="1" t="s">
        <v>780</v>
      </c>
      <c r="R867" s="1" t="s">
        <v>941</v>
      </c>
      <c r="S867" s="1" t="s">
        <v>1547</v>
      </c>
      <c r="T867" s="24" t="s">
        <v>1546</v>
      </c>
      <c r="U867" s="1">
        <v>2</v>
      </c>
      <c r="V867" s="24" t="s">
        <v>767</v>
      </c>
      <c r="W867" s="1" t="s">
        <v>1545</v>
      </c>
      <c r="X867" s="1" t="s">
        <v>1544</v>
      </c>
      <c r="Y867" s="3">
        <v>45254</v>
      </c>
      <c r="Z867" s="1">
        <v>2023</v>
      </c>
      <c r="AA867" s="2">
        <v>115000</v>
      </c>
      <c r="AB867" s="2"/>
      <c r="AC867" s="2">
        <v>40250</v>
      </c>
      <c r="AG867" s="1" t="s">
        <v>1</v>
      </c>
      <c r="AI867" s="2">
        <v>40250</v>
      </c>
      <c r="AK867" s="1"/>
      <c r="AQ867" s="24"/>
      <c r="AS867" s="24"/>
      <c r="AV867" s="2"/>
      <c r="AW867" s="2"/>
      <c r="AX867" s="2"/>
      <c r="BA867" s="2"/>
    </row>
    <row r="868" spans="1:53" ht="15" customHeight="1" x14ac:dyDescent="0.25">
      <c r="A868" s="1" t="s">
        <v>19</v>
      </c>
      <c r="B868" s="27" t="s">
        <v>109</v>
      </c>
      <c r="C868" s="26" t="s">
        <v>17</v>
      </c>
      <c r="D868" s="24" t="s">
        <v>16</v>
      </c>
      <c r="E868" s="24" t="s">
        <v>35</v>
      </c>
      <c r="F868" s="24" t="s">
        <v>1543</v>
      </c>
      <c r="G868" s="24" t="s">
        <v>1542</v>
      </c>
      <c r="H868" s="24" t="s">
        <v>12</v>
      </c>
      <c r="I868" s="24" t="s">
        <v>1541</v>
      </c>
      <c r="J868" s="24">
        <v>2023</v>
      </c>
      <c r="K868" s="24" t="s">
        <v>1540</v>
      </c>
      <c r="L868" s="24" t="s">
        <v>1539</v>
      </c>
      <c r="M868" s="24" t="s">
        <v>1538</v>
      </c>
      <c r="N868" s="24"/>
      <c r="O868" s="24"/>
      <c r="P868" s="24" t="s">
        <v>1537</v>
      </c>
      <c r="Q868" s="24" t="s">
        <v>788</v>
      </c>
      <c r="R868" s="1" t="s">
        <v>787</v>
      </c>
      <c r="S868" s="24" t="s">
        <v>786</v>
      </c>
      <c r="T868" s="1" t="s">
        <v>785</v>
      </c>
      <c r="U868" s="1">
        <v>1</v>
      </c>
      <c r="V868" s="24" t="s">
        <v>767</v>
      </c>
      <c r="W868" s="1" t="s">
        <v>1536</v>
      </c>
      <c r="X868" s="24"/>
      <c r="Y868" s="23">
        <v>45505</v>
      </c>
      <c r="Z868" s="24">
        <v>2024</v>
      </c>
      <c r="AA868" s="34">
        <v>2084688.06</v>
      </c>
      <c r="AB868" s="34"/>
      <c r="AC868" s="34">
        <v>1472954.29</v>
      </c>
      <c r="AD868" s="24"/>
      <c r="AE868" s="24"/>
      <c r="AG868" s="24" t="s">
        <v>1</v>
      </c>
      <c r="AI868" s="25">
        <v>1472954.29</v>
      </c>
      <c r="AJ868" s="24"/>
      <c r="AK868" s="1"/>
      <c r="AL868" s="24"/>
      <c r="AV868" s="2"/>
      <c r="AW868" s="2"/>
      <c r="AX868" s="2"/>
      <c r="BA868" s="2"/>
    </row>
    <row r="869" spans="1:53" ht="15" customHeight="1" x14ac:dyDescent="0.2">
      <c r="A869" s="1" t="s">
        <v>19</v>
      </c>
      <c r="B869" s="5" t="s">
        <v>109</v>
      </c>
      <c r="C869" s="1" t="s">
        <v>17</v>
      </c>
      <c r="D869" s="1" t="s">
        <v>16</v>
      </c>
      <c r="E869" s="1" t="s">
        <v>15</v>
      </c>
      <c r="F869" s="1" t="s">
        <v>1530</v>
      </c>
      <c r="G869" s="1" t="s">
        <v>1529</v>
      </c>
      <c r="H869" s="1" t="s">
        <v>12</v>
      </c>
      <c r="I869" s="1" t="s">
        <v>1535</v>
      </c>
      <c r="J869" s="1">
        <v>2022</v>
      </c>
      <c r="K869" s="1" t="s">
        <v>1534</v>
      </c>
      <c r="L869" s="1" t="s">
        <v>1533</v>
      </c>
      <c r="P869" s="1" t="s">
        <v>1532</v>
      </c>
      <c r="Q869" s="1" t="s">
        <v>788</v>
      </c>
      <c r="R869" s="1" t="s">
        <v>787</v>
      </c>
      <c r="S869" s="1" t="s">
        <v>786</v>
      </c>
      <c r="T869" s="1" t="s">
        <v>785</v>
      </c>
      <c r="U869" s="1">
        <v>1</v>
      </c>
      <c r="V869" s="1" t="s">
        <v>767</v>
      </c>
      <c r="W869" s="1" t="s">
        <v>1531</v>
      </c>
      <c r="X869" s="1" t="s">
        <v>2</v>
      </c>
      <c r="Y869" s="3">
        <v>45069</v>
      </c>
      <c r="Z869" s="1">
        <v>2023</v>
      </c>
      <c r="AA869" s="2">
        <v>42170749.219999999</v>
      </c>
      <c r="AB869" s="2"/>
      <c r="AC869" s="2">
        <v>10000000</v>
      </c>
      <c r="AG869" s="1" t="s">
        <v>1522</v>
      </c>
      <c r="AH869" s="1" t="s">
        <v>1521</v>
      </c>
      <c r="AI869" s="2">
        <v>0</v>
      </c>
      <c r="AK869" s="1"/>
    </row>
    <row r="870" spans="1:53" ht="15" customHeight="1" x14ac:dyDescent="0.2">
      <c r="A870" s="1" t="s">
        <v>19</v>
      </c>
      <c r="B870" s="33" t="s">
        <v>109</v>
      </c>
      <c r="C870" s="32" t="s">
        <v>17</v>
      </c>
      <c r="D870" s="24" t="s">
        <v>16</v>
      </c>
      <c r="E870" s="24" t="s">
        <v>15</v>
      </c>
      <c r="F870" s="1" t="s">
        <v>1530</v>
      </c>
      <c r="G870" s="1" t="s">
        <v>1529</v>
      </c>
      <c r="H870" s="1" t="s">
        <v>12</v>
      </c>
      <c r="I870" s="1" t="s">
        <v>1528</v>
      </c>
      <c r="J870" s="1">
        <v>2022</v>
      </c>
      <c r="K870" s="1" t="s">
        <v>1527</v>
      </c>
      <c r="L870" s="1" t="s">
        <v>1526</v>
      </c>
      <c r="M870" s="1" t="s">
        <v>1525</v>
      </c>
      <c r="P870" s="1" t="s">
        <v>1524</v>
      </c>
      <c r="Q870" s="1" t="s">
        <v>788</v>
      </c>
      <c r="R870" s="1" t="s">
        <v>787</v>
      </c>
      <c r="S870" s="31" t="s">
        <v>786</v>
      </c>
      <c r="T870" s="1" t="s">
        <v>785</v>
      </c>
      <c r="U870" s="1">
        <v>1</v>
      </c>
      <c r="V870" s="1" t="s">
        <v>767</v>
      </c>
      <c r="W870" s="1" t="s">
        <v>1523</v>
      </c>
      <c r="X870" s="1" t="s">
        <v>2</v>
      </c>
      <c r="Y870" s="3">
        <v>45124</v>
      </c>
      <c r="Z870" s="1">
        <v>2023</v>
      </c>
      <c r="AA870" s="2">
        <v>1636913.3</v>
      </c>
      <c r="AB870" s="2"/>
      <c r="AC870" s="2">
        <v>615566.06000000006</v>
      </c>
      <c r="AG870" s="1" t="s">
        <v>1522</v>
      </c>
      <c r="AH870" s="1" t="s">
        <v>1521</v>
      </c>
      <c r="AI870" s="2">
        <v>0</v>
      </c>
      <c r="AK870" s="1"/>
      <c r="AV870" s="2"/>
      <c r="AW870" s="2"/>
      <c r="AX870" s="2"/>
      <c r="BA870" s="2"/>
    </row>
    <row r="871" spans="1:53" ht="15" customHeight="1" x14ac:dyDescent="0.2">
      <c r="A871" s="1" t="s">
        <v>19</v>
      </c>
      <c r="B871" s="5" t="s">
        <v>109</v>
      </c>
      <c r="C871" s="1" t="s">
        <v>37</v>
      </c>
      <c r="D871" s="24" t="s">
        <v>132</v>
      </c>
      <c r="E871" s="24" t="s">
        <v>35</v>
      </c>
      <c r="G871" s="1" t="s">
        <v>131</v>
      </c>
      <c r="H871" s="1" t="s">
        <v>130</v>
      </c>
      <c r="I871" s="1" t="s">
        <v>1520</v>
      </c>
      <c r="J871" s="1">
        <v>2021</v>
      </c>
      <c r="P871" s="1" t="s">
        <v>825</v>
      </c>
      <c r="Q871" s="1" t="s">
        <v>788</v>
      </c>
      <c r="R871" s="1" t="s">
        <v>787</v>
      </c>
      <c r="S871" s="1" t="s">
        <v>786</v>
      </c>
      <c r="T871" s="1" t="s">
        <v>785</v>
      </c>
      <c r="U871" s="1">
        <v>1</v>
      </c>
      <c r="V871" s="1" t="s">
        <v>767</v>
      </c>
      <c r="Y871" s="3">
        <v>44378</v>
      </c>
      <c r="Z871" s="1">
        <v>2021</v>
      </c>
      <c r="AA871" s="2"/>
      <c r="AB871" s="2"/>
      <c r="AC871" s="2">
        <v>770358.51999999979</v>
      </c>
      <c r="AG871" s="1" t="s">
        <v>21</v>
      </c>
      <c r="AI871" s="2">
        <v>770358.51999999979</v>
      </c>
      <c r="AK871" s="1"/>
      <c r="AL871" s="1" t="s">
        <v>127</v>
      </c>
      <c r="AV871" s="2"/>
      <c r="AW871" s="2"/>
      <c r="AX871" s="2"/>
      <c r="BA871" s="2"/>
    </row>
    <row r="872" spans="1:53" ht="15" customHeight="1" x14ac:dyDescent="0.2">
      <c r="A872" s="1" t="s">
        <v>19</v>
      </c>
      <c r="B872" s="5" t="s">
        <v>109</v>
      </c>
      <c r="C872" s="1" t="s">
        <v>37</v>
      </c>
      <c r="D872" s="24" t="s">
        <v>132</v>
      </c>
      <c r="E872" s="24" t="s">
        <v>35</v>
      </c>
      <c r="G872" s="1" t="s">
        <v>131</v>
      </c>
      <c r="H872" s="1" t="s">
        <v>130</v>
      </c>
      <c r="I872" s="1" t="s">
        <v>1519</v>
      </c>
      <c r="J872" s="1">
        <v>2019</v>
      </c>
      <c r="P872" s="1" t="s">
        <v>825</v>
      </c>
      <c r="Q872" s="1" t="s">
        <v>788</v>
      </c>
      <c r="R872" s="1" t="s">
        <v>787</v>
      </c>
      <c r="S872" s="1" t="s">
        <v>786</v>
      </c>
      <c r="T872" s="1" t="s">
        <v>785</v>
      </c>
      <c r="U872" s="1">
        <v>1</v>
      </c>
      <c r="V872" s="1" t="s">
        <v>767</v>
      </c>
      <c r="Y872" s="3">
        <v>43647</v>
      </c>
      <c r="Z872" s="1">
        <v>2019</v>
      </c>
      <c r="AA872" s="2"/>
      <c r="AB872" s="2"/>
      <c r="AC872" s="2">
        <v>428347.05000000005</v>
      </c>
      <c r="AG872" s="1" t="s">
        <v>21</v>
      </c>
      <c r="AI872" s="2">
        <v>428347.05000000005</v>
      </c>
      <c r="AK872" s="1"/>
      <c r="AL872" s="1" t="s">
        <v>127</v>
      </c>
      <c r="AV872" s="2"/>
      <c r="AW872" s="2"/>
      <c r="AX872" s="2"/>
      <c r="BA872" s="2"/>
    </row>
    <row r="873" spans="1:53" ht="15" customHeight="1" x14ac:dyDescent="0.2">
      <c r="A873" s="1" t="s">
        <v>19</v>
      </c>
      <c r="B873" s="5" t="s">
        <v>109</v>
      </c>
      <c r="C873" s="1" t="s">
        <v>37</v>
      </c>
      <c r="D873" s="24" t="s">
        <v>132</v>
      </c>
      <c r="E873" s="24" t="s">
        <v>35</v>
      </c>
      <c r="G873" s="1" t="s">
        <v>131</v>
      </c>
      <c r="H873" s="1" t="s">
        <v>130</v>
      </c>
      <c r="I873" s="1" t="s">
        <v>1518</v>
      </c>
      <c r="J873" s="1">
        <v>2019</v>
      </c>
      <c r="P873" s="1" t="s">
        <v>825</v>
      </c>
      <c r="Q873" s="1" t="s">
        <v>788</v>
      </c>
      <c r="R873" s="1" t="s">
        <v>787</v>
      </c>
      <c r="S873" s="1" t="s">
        <v>786</v>
      </c>
      <c r="T873" s="1" t="s">
        <v>785</v>
      </c>
      <c r="U873" s="1">
        <v>1</v>
      </c>
      <c r="V873" s="1" t="s">
        <v>767</v>
      </c>
      <c r="Y873" s="3">
        <v>43647</v>
      </c>
      <c r="Z873" s="1">
        <v>2019</v>
      </c>
      <c r="AA873" s="2"/>
      <c r="AB873" s="2"/>
      <c r="AC873" s="2">
        <v>440707.78</v>
      </c>
      <c r="AG873" s="1" t="s">
        <v>21</v>
      </c>
      <c r="AI873" s="2">
        <v>440707.78</v>
      </c>
      <c r="AK873" s="1"/>
      <c r="AL873" s="1" t="s">
        <v>127</v>
      </c>
      <c r="AV873" s="2"/>
      <c r="AW873" s="2"/>
      <c r="AX873" s="2"/>
      <c r="BA873" s="2"/>
    </row>
    <row r="874" spans="1:53" ht="15" customHeight="1" x14ac:dyDescent="0.2">
      <c r="A874" s="1" t="s">
        <v>19</v>
      </c>
      <c r="B874" s="5" t="s">
        <v>109</v>
      </c>
      <c r="C874" s="1" t="s">
        <v>37</v>
      </c>
      <c r="D874" s="24" t="s">
        <v>132</v>
      </c>
      <c r="E874" s="24" t="s">
        <v>35</v>
      </c>
      <c r="G874" s="1" t="s">
        <v>131</v>
      </c>
      <c r="H874" s="1" t="s">
        <v>130</v>
      </c>
      <c r="I874" s="1" t="s">
        <v>1517</v>
      </c>
      <c r="J874" s="1">
        <v>2019</v>
      </c>
      <c r="P874" s="1" t="s">
        <v>825</v>
      </c>
      <c r="Q874" s="1" t="s">
        <v>788</v>
      </c>
      <c r="R874" s="1" t="s">
        <v>787</v>
      </c>
      <c r="S874" s="1" t="s">
        <v>786</v>
      </c>
      <c r="T874" s="1" t="s">
        <v>785</v>
      </c>
      <c r="U874" s="1">
        <v>1</v>
      </c>
      <c r="V874" s="1" t="s">
        <v>767</v>
      </c>
      <c r="Y874" s="3">
        <v>43647</v>
      </c>
      <c r="Z874" s="1">
        <v>2019</v>
      </c>
      <c r="AA874" s="2"/>
      <c r="AB874" s="2"/>
      <c r="AC874" s="2">
        <v>423368.81000000006</v>
      </c>
      <c r="AG874" s="1" t="s">
        <v>21</v>
      </c>
      <c r="AI874" s="2">
        <v>423368.81000000006</v>
      </c>
      <c r="AK874" s="1"/>
      <c r="AL874" s="1" t="s">
        <v>127</v>
      </c>
      <c r="AV874" s="2"/>
      <c r="AW874" s="2"/>
      <c r="AX874" s="2"/>
      <c r="BA874" s="2"/>
    </row>
    <row r="875" spans="1:53" ht="15" customHeight="1" x14ac:dyDescent="0.2">
      <c r="A875" s="1" t="s">
        <v>19</v>
      </c>
      <c r="B875" s="5" t="s">
        <v>109</v>
      </c>
      <c r="C875" s="1" t="s">
        <v>37</v>
      </c>
      <c r="D875" s="24" t="s">
        <v>132</v>
      </c>
      <c r="E875" s="24" t="s">
        <v>35</v>
      </c>
      <c r="G875" s="1" t="s">
        <v>131</v>
      </c>
      <c r="H875" s="1" t="s">
        <v>130</v>
      </c>
      <c r="I875" s="1" t="s">
        <v>1516</v>
      </c>
      <c r="J875" s="1">
        <v>2019</v>
      </c>
      <c r="P875" s="1" t="s">
        <v>825</v>
      </c>
      <c r="Q875" s="1" t="s">
        <v>788</v>
      </c>
      <c r="R875" s="1" t="s">
        <v>787</v>
      </c>
      <c r="S875" s="1" t="s">
        <v>786</v>
      </c>
      <c r="T875" s="1" t="s">
        <v>785</v>
      </c>
      <c r="U875" s="1">
        <v>1</v>
      </c>
      <c r="V875" s="1" t="s">
        <v>767</v>
      </c>
      <c r="Y875" s="3">
        <v>43647</v>
      </c>
      <c r="Z875" s="1">
        <v>2019</v>
      </c>
      <c r="AA875" s="2"/>
      <c r="AB875" s="2"/>
      <c r="AC875" s="2">
        <v>419765.33</v>
      </c>
      <c r="AG875" s="1" t="s">
        <v>21</v>
      </c>
      <c r="AI875" s="2">
        <v>419765.33</v>
      </c>
      <c r="AK875" s="1"/>
      <c r="AL875" s="1" t="s">
        <v>127</v>
      </c>
      <c r="AV875" s="2"/>
      <c r="AW875" s="2"/>
      <c r="AX875" s="2"/>
      <c r="BA875" s="2"/>
    </row>
    <row r="876" spans="1:53" ht="15" customHeight="1" x14ac:dyDescent="0.2">
      <c r="A876" s="1" t="s">
        <v>19</v>
      </c>
      <c r="B876" s="5" t="s">
        <v>109</v>
      </c>
      <c r="C876" s="1" t="s">
        <v>37</v>
      </c>
      <c r="D876" s="24" t="s">
        <v>132</v>
      </c>
      <c r="E876" s="24" t="s">
        <v>35</v>
      </c>
      <c r="G876" s="1" t="s">
        <v>131</v>
      </c>
      <c r="H876" s="1" t="s">
        <v>130</v>
      </c>
      <c r="I876" s="1" t="s">
        <v>1515</v>
      </c>
      <c r="J876" s="1">
        <v>2019</v>
      </c>
      <c r="P876" s="1" t="s">
        <v>825</v>
      </c>
      <c r="Q876" s="1" t="s">
        <v>788</v>
      </c>
      <c r="R876" s="1" t="s">
        <v>787</v>
      </c>
      <c r="S876" s="1" t="s">
        <v>786</v>
      </c>
      <c r="T876" s="1" t="s">
        <v>785</v>
      </c>
      <c r="U876" s="1">
        <v>1</v>
      </c>
      <c r="V876" s="1" t="s">
        <v>767</v>
      </c>
      <c r="Y876" s="3">
        <v>43800</v>
      </c>
      <c r="Z876" s="1">
        <v>2019</v>
      </c>
      <c r="AA876" s="2"/>
      <c r="AB876" s="2"/>
      <c r="AC876" s="2">
        <v>615100.31000000006</v>
      </c>
      <c r="AG876" s="1" t="s">
        <v>21</v>
      </c>
      <c r="AI876" s="2">
        <v>615100.31000000006</v>
      </c>
      <c r="AK876" s="1"/>
      <c r="AL876" s="1" t="s">
        <v>127</v>
      </c>
      <c r="AV876" s="2"/>
      <c r="AW876" s="2"/>
      <c r="AX876" s="2"/>
      <c r="BA876" s="2"/>
    </row>
    <row r="877" spans="1:53" ht="15" customHeight="1" x14ac:dyDescent="0.2">
      <c r="A877" s="1" t="s">
        <v>19</v>
      </c>
      <c r="B877" s="5" t="s">
        <v>109</v>
      </c>
      <c r="C877" s="1" t="s">
        <v>37</v>
      </c>
      <c r="D877" s="24" t="s">
        <v>132</v>
      </c>
      <c r="E877" s="24" t="s">
        <v>35</v>
      </c>
      <c r="G877" s="1" t="s">
        <v>131</v>
      </c>
      <c r="H877" s="1" t="s">
        <v>130</v>
      </c>
      <c r="I877" s="1" t="s">
        <v>1514</v>
      </c>
      <c r="J877" s="1">
        <v>2019</v>
      </c>
      <c r="P877" s="1" t="s">
        <v>825</v>
      </c>
      <c r="Q877" s="1" t="s">
        <v>788</v>
      </c>
      <c r="R877" s="1" t="s">
        <v>787</v>
      </c>
      <c r="S877" s="1" t="s">
        <v>786</v>
      </c>
      <c r="T877" s="1" t="s">
        <v>785</v>
      </c>
      <c r="U877" s="1">
        <v>1</v>
      </c>
      <c r="V877" s="1" t="s">
        <v>767</v>
      </c>
      <c r="Y877" s="3">
        <v>43800</v>
      </c>
      <c r="Z877" s="1">
        <v>2019</v>
      </c>
      <c r="AA877" s="2"/>
      <c r="AB877" s="2"/>
      <c r="AC877" s="2">
        <v>441453.2</v>
      </c>
      <c r="AG877" s="1" t="s">
        <v>21</v>
      </c>
      <c r="AI877" s="2">
        <v>441453.2</v>
      </c>
      <c r="AK877" s="1"/>
      <c r="AL877" s="1" t="s">
        <v>127</v>
      </c>
      <c r="AV877" s="2"/>
      <c r="AW877" s="2"/>
      <c r="AX877" s="2"/>
      <c r="BA877" s="2"/>
    </row>
    <row r="878" spans="1:53" ht="15" customHeight="1" x14ac:dyDescent="0.2">
      <c r="A878" s="1" t="s">
        <v>19</v>
      </c>
      <c r="B878" s="5" t="s">
        <v>109</v>
      </c>
      <c r="C878" s="1" t="s">
        <v>37</v>
      </c>
      <c r="D878" s="24" t="s">
        <v>132</v>
      </c>
      <c r="E878" s="24" t="s">
        <v>35</v>
      </c>
      <c r="G878" s="1" t="s">
        <v>131</v>
      </c>
      <c r="H878" s="1" t="s">
        <v>130</v>
      </c>
      <c r="I878" s="1" t="s">
        <v>1513</v>
      </c>
      <c r="J878" s="1">
        <v>2019</v>
      </c>
      <c r="P878" s="1" t="s">
        <v>825</v>
      </c>
      <c r="Q878" s="1" t="s">
        <v>788</v>
      </c>
      <c r="R878" s="1" t="s">
        <v>787</v>
      </c>
      <c r="S878" s="1" t="s">
        <v>786</v>
      </c>
      <c r="T878" s="1" t="s">
        <v>785</v>
      </c>
      <c r="U878" s="1">
        <v>1</v>
      </c>
      <c r="V878" s="1" t="s">
        <v>767</v>
      </c>
      <c r="Y878" s="3">
        <v>43800</v>
      </c>
      <c r="Z878" s="1">
        <v>2019</v>
      </c>
      <c r="AA878" s="2"/>
      <c r="AB878" s="2"/>
      <c r="AC878" s="2">
        <v>567607.3600000001</v>
      </c>
      <c r="AG878" s="1" t="s">
        <v>21</v>
      </c>
      <c r="AI878" s="2">
        <v>567607.3600000001</v>
      </c>
      <c r="AK878" s="1"/>
      <c r="AL878" s="1" t="s">
        <v>127</v>
      </c>
      <c r="AV878" s="2"/>
      <c r="AW878" s="2"/>
      <c r="AX878" s="2"/>
      <c r="BA878" s="2"/>
    </row>
    <row r="879" spans="1:53" ht="15" customHeight="1" x14ac:dyDescent="0.2">
      <c r="A879" s="1" t="s">
        <v>19</v>
      </c>
      <c r="B879" s="5" t="s">
        <v>109</v>
      </c>
      <c r="C879" s="1" t="s">
        <v>37</v>
      </c>
      <c r="D879" s="24" t="s">
        <v>211</v>
      </c>
      <c r="E879" s="24" t="s">
        <v>35</v>
      </c>
      <c r="F879" s="1" t="s">
        <v>637</v>
      </c>
      <c r="G879" s="1" t="s">
        <v>636</v>
      </c>
      <c r="H879" s="1" t="s">
        <v>130</v>
      </c>
      <c r="I879" s="1" t="s">
        <v>1512</v>
      </c>
      <c r="J879" s="1">
        <v>2016</v>
      </c>
      <c r="K879" s="1" t="s">
        <v>1508</v>
      </c>
      <c r="L879" s="1" t="s">
        <v>1511</v>
      </c>
      <c r="M879" s="1" t="s">
        <v>1510</v>
      </c>
      <c r="P879" s="1" t="s">
        <v>1509</v>
      </c>
      <c r="Q879" s="1" t="s">
        <v>780</v>
      </c>
      <c r="R879" s="1" t="s">
        <v>779</v>
      </c>
      <c r="S879" s="1" t="s">
        <v>778</v>
      </c>
      <c r="T879" s="1" t="s">
        <v>777</v>
      </c>
      <c r="U879" s="1">
        <v>2</v>
      </c>
      <c r="V879" s="1" t="s">
        <v>767</v>
      </c>
      <c r="W879" s="1" t="s">
        <v>1508</v>
      </c>
      <c r="Y879" s="3">
        <v>44923</v>
      </c>
      <c r="Z879" s="1">
        <v>2022</v>
      </c>
      <c r="AA879" s="2">
        <v>49899000</v>
      </c>
      <c r="AB879" s="2"/>
      <c r="AC879" s="2">
        <v>2494950</v>
      </c>
      <c r="AD879" s="1">
        <v>57</v>
      </c>
      <c r="AE879" s="1">
        <v>15</v>
      </c>
      <c r="AG879" s="1" t="s">
        <v>21</v>
      </c>
      <c r="AI879" s="2">
        <v>2494950</v>
      </c>
      <c r="AK879" s="1"/>
      <c r="AV879" s="2"/>
      <c r="AW879" s="2"/>
      <c r="AX879" s="2"/>
      <c r="BA879" s="2"/>
    </row>
    <row r="880" spans="1:53" ht="15" customHeight="1" x14ac:dyDescent="0.2">
      <c r="A880" s="1" t="s">
        <v>19</v>
      </c>
      <c r="B880" s="5" t="s">
        <v>109</v>
      </c>
      <c r="C880" s="1" t="s">
        <v>37</v>
      </c>
      <c r="D880" s="24" t="s">
        <v>211</v>
      </c>
      <c r="E880" s="24" t="s">
        <v>35</v>
      </c>
      <c r="F880" s="1" t="s">
        <v>637</v>
      </c>
      <c r="G880" s="1" t="s">
        <v>636</v>
      </c>
      <c r="H880" s="1" t="s">
        <v>130</v>
      </c>
      <c r="I880" s="1" t="s">
        <v>1507</v>
      </c>
      <c r="J880" s="1">
        <v>2016</v>
      </c>
      <c r="K880" s="1" t="s">
        <v>1347</v>
      </c>
      <c r="L880" s="1" t="s">
        <v>1506</v>
      </c>
      <c r="P880" s="1" t="s">
        <v>1473</v>
      </c>
      <c r="Q880" s="1" t="s">
        <v>771</v>
      </c>
      <c r="R880" s="1" t="s">
        <v>897</v>
      </c>
      <c r="S880" s="1" t="s">
        <v>922</v>
      </c>
      <c r="T880" s="1" t="s">
        <v>921</v>
      </c>
      <c r="U880" s="1">
        <v>2</v>
      </c>
      <c r="V880" s="1" t="s">
        <v>767</v>
      </c>
      <c r="W880" s="1" t="s">
        <v>1505</v>
      </c>
      <c r="Y880" s="3">
        <v>44255</v>
      </c>
      <c r="Z880" s="1">
        <v>2021</v>
      </c>
      <c r="AA880" s="2">
        <v>2919619.42</v>
      </c>
      <c r="AB880" s="2"/>
      <c r="AC880" s="2">
        <v>437942.91</v>
      </c>
      <c r="AD880" s="1">
        <v>15</v>
      </c>
      <c r="AE880" s="1">
        <v>6</v>
      </c>
      <c r="AG880" s="1" t="s">
        <v>21</v>
      </c>
      <c r="AI880" s="2">
        <v>437942.91</v>
      </c>
      <c r="AK880" s="1"/>
      <c r="AV880" s="2"/>
      <c r="AW880" s="2"/>
      <c r="AX880" s="2"/>
      <c r="BA880" s="2"/>
    </row>
    <row r="881" spans="1:53" ht="15" customHeight="1" x14ac:dyDescent="0.2">
      <c r="A881" s="1" t="s">
        <v>19</v>
      </c>
      <c r="B881" s="5" t="s">
        <v>109</v>
      </c>
      <c r="C881" s="1" t="s">
        <v>37</v>
      </c>
      <c r="D881" s="24" t="s">
        <v>211</v>
      </c>
      <c r="E881" s="24" t="s">
        <v>35</v>
      </c>
      <c r="F881" s="1" t="s">
        <v>637</v>
      </c>
      <c r="G881" s="1" t="s">
        <v>636</v>
      </c>
      <c r="H881" s="1" t="s">
        <v>130</v>
      </c>
      <c r="I881" s="1" t="s">
        <v>1504</v>
      </c>
      <c r="J881" s="1">
        <v>2016</v>
      </c>
      <c r="K881" s="1" t="s">
        <v>1494</v>
      </c>
      <c r="L881" s="1" t="s">
        <v>1503</v>
      </c>
      <c r="P881" s="1" t="s">
        <v>1124</v>
      </c>
      <c r="Q881" s="1" t="s">
        <v>771</v>
      </c>
      <c r="R881" s="1" t="s">
        <v>770</v>
      </c>
      <c r="S881" s="1" t="s">
        <v>769</v>
      </c>
      <c r="T881" s="1" t="s">
        <v>768</v>
      </c>
      <c r="U881" s="1">
        <v>1</v>
      </c>
      <c r="V881" s="1" t="s">
        <v>767</v>
      </c>
      <c r="W881" s="1" t="s">
        <v>1503</v>
      </c>
      <c r="Y881" s="3">
        <v>44255</v>
      </c>
      <c r="Z881" s="1">
        <v>2021</v>
      </c>
      <c r="AA881" s="2">
        <v>1184134</v>
      </c>
      <c r="AB881" s="2"/>
      <c r="AC881" s="2">
        <v>78831.81</v>
      </c>
      <c r="AD881" s="1">
        <v>5</v>
      </c>
      <c r="AE881" s="1">
        <v>4</v>
      </c>
      <c r="AG881" s="1" t="s">
        <v>21</v>
      </c>
      <c r="AI881" s="2">
        <v>78831.81</v>
      </c>
      <c r="AK881" s="1"/>
      <c r="AV881" s="2"/>
      <c r="AW881" s="2"/>
      <c r="AX881" s="2"/>
      <c r="BA881" s="2"/>
    </row>
    <row r="882" spans="1:53" ht="15" customHeight="1" x14ac:dyDescent="0.2">
      <c r="A882" s="1" t="s">
        <v>19</v>
      </c>
      <c r="B882" s="5" t="s">
        <v>109</v>
      </c>
      <c r="C882" s="1" t="s">
        <v>37</v>
      </c>
      <c r="D882" s="24" t="s">
        <v>211</v>
      </c>
      <c r="E882" s="24" t="s">
        <v>35</v>
      </c>
      <c r="F882" s="1" t="s">
        <v>637</v>
      </c>
      <c r="G882" s="1" t="s">
        <v>636</v>
      </c>
      <c r="H882" s="1" t="s">
        <v>130</v>
      </c>
      <c r="I882" s="1" t="s">
        <v>1502</v>
      </c>
      <c r="J882" s="1">
        <v>2016</v>
      </c>
      <c r="K882" s="1" t="s">
        <v>1347</v>
      </c>
      <c r="L882" s="1" t="s">
        <v>1333</v>
      </c>
      <c r="P882" s="1" t="s">
        <v>1501</v>
      </c>
      <c r="Q882" s="1" t="s">
        <v>771</v>
      </c>
      <c r="R882" s="1" t="s">
        <v>897</v>
      </c>
      <c r="S882" s="1" t="s">
        <v>922</v>
      </c>
      <c r="T882" s="1" t="s">
        <v>921</v>
      </c>
      <c r="U882" s="1">
        <v>2</v>
      </c>
      <c r="V882" s="1" t="s">
        <v>767</v>
      </c>
      <c r="W882" s="1" t="s">
        <v>1500</v>
      </c>
      <c r="Y882" s="3">
        <v>44255</v>
      </c>
      <c r="Z882" s="1">
        <v>2021</v>
      </c>
      <c r="AA882" s="2">
        <v>1272762.6000000001</v>
      </c>
      <c r="AB882" s="2"/>
      <c r="AC882" s="2">
        <v>190914.39</v>
      </c>
      <c r="AD882" s="1">
        <v>4</v>
      </c>
      <c r="AE882" s="1">
        <v>3</v>
      </c>
      <c r="AG882" s="1" t="s">
        <v>21</v>
      </c>
      <c r="AI882" s="2">
        <v>190914.39</v>
      </c>
      <c r="AK882" s="1"/>
      <c r="AV882" s="2"/>
      <c r="AW882" s="2"/>
      <c r="AX882" s="2"/>
      <c r="BA882" s="2"/>
    </row>
    <row r="883" spans="1:53" ht="15" customHeight="1" x14ac:dyDescent="0.25">
      <c r="A883" s="1" t="s">
        <v>19</v>
      </c>
      <c r="B883" s="5" t="s">
        <v>109</v>
      </c>
      <c r="C883" s="1" t="s">
        <v>37</v>
      </c>
      <c r="D883" s="24" t="s">
        <v>211</v>
      </c>
      <c r="E883" s="24" t="s">
        <v>35</v>
      </c>
      <c r="F883" s="1" t="s">
        <v>637</v>
      </c>
      <c r="G883" s="1" t="s">
        <v>636</v>
      </c>
      <c r="H883" s="1" t="s">
        <v>130</v>
      </c>
      <c r="I883" s="1" t="s">
        <v>1499</v>
      </c>
      <c r="J883" s="1">
        <v>2016</v>
      </c>
      <c r="K883" s="1" t="s">
        <v>1498</v>
      </c>
      <c r="L883" s="1" t="s">
        <v>1496</v>
      </c>
      <c r="P883" s="1" t="s">
        <v>1497</v>
      </c>
      <c r="Q883" s="1" t="s">
        <v>771</v>
      </c>
      <c r="R883" s="1" t="s">
        <v>897</v>
      </c>
      <c r="S883" s="10" t="s">
        <v>896</v>
      </c>
      <c r="T883" s="1" t="s">
        <v>895</v>
      </c>
      <c r="U883" s="1">
        <v>2</v>
      </c>
      <c r="V883" s="1" t="s">
        <v>767</v>
      </c>
      <c r="W883" s="1" t="s">
        <v>1496</v>
      </c>
      <c r="Y883" s="3">
        <v>44255</v>
      </c>
      <c r="Z883" s="1">
        <v>2021</v>
      </c>
      <c r="AA883" s="2">
        <v>3087034.6</v>
      </c>
      <c r="AB883" s="2"/>
      <c r="AC883" s="2">
        <v>308703.46000000002</v>
      </c>
      <c r="AD883" s="1">
        <v>10</v>
      </c>
      <c r="AE883" s="1">
        <v>7</v>
      </c>
      <c r="AG883" s="1" t="s">
        <v>21</v>
      </c>
      <c r="AI883" s="2">
        <v>308703.46000000002</v>
      </c>
      <c r="AK883" s="1"/>
      <c r="AV883" s="2"/>
      <c r="AW883" s="2"/>
      <c r="AX883" s="2"/>
      <c r="BA883" s="2"/>
    </row>
    <row r="884" spans="1:53" ht="15" customHeight="1" x14ac:dyDescent="0.2">
      <c r="A884" s="1" t="s">
        <v>19</v>
      </c>
      <c r="B884" s="5" t="s">
        <v>109</v>
      </c>
      <c r="C884" s="1" t="s">
        <v>37</v>
      </c>
      <c r="D884" s="24" t="s">
        <v>211</v>
      </c>
      <c r="E884" s="24" t="s">
        <v>35</v>
      </c>
      <c r="F884" s="1" t="s">
        <v>637</v>
      </c>
      <c r="G884" s="1" t="s">
        <v>636</v>
      </c>
      <c r="H884" s="1" t="s">
        <v>130</v>
      </c>
      <c r="I884" s="1" t="s">
        <v>1495</v>
      </c>
      <c r="J884" s="1">
        <v>2016</v>
      </c>
      <c r="K884" s="1" t="s">
        <v>1494</v>
      </c>
      <c r="L884" s="1" t="s">
        <v>1493</v>
      </c>
      <c r="P884" s="1" t="s">
        <v>1476</v>
      </c>
      <c r="Q884" s="1" t="s">
        <v>771</v>
      </c>
      <c r="R884" s="1" t="s">
        <v>770</v>
      </c>
      <c r="S884" s="1" t="s">
        <v>769</v>
      </c>
      <c r="T884" s="1" t="s">
        <v>768</v>
      </c>
      <c r="U884" s="1">
        <v>1</v>
      </c>
      <c r="V884" s="1" t="s">
        <v>767</v>
      </c>
      <c r="W884" s="1" t="s">
        <v>1493</v>
      </c>
      <c r="Y884" s="3">
        <v>44255</v>
      </c>
      <c r="Z884" s="1">
        <v>2021</v>
      </c>
      <c r="AA884" s="2">
        <v>715244.39</v>
      </c>
      <c r="AB884" s="2"/>
      <c r="AC884" s="2">
        <v>143048.88</v>
      </c>
      <c r="AD884" s="1">
        <v>3</v>
      </c>
      <c r="AG884" s="1" t="s">
        <v>21</v>
      </c>
      <c r="AI884" s="2">
        <v>143048.88</v>
      </c>
      <c r="AK884" s="1"/>
      <c r="AV884" s="2"/>
      <c r="AW884" s="2"/>
      <c r="AX884" s="2"/>
      <c r="BA884" s="2"/>
    </row>
    <row r="885" spans="1:53" ht="15" customHeight="1" x14ac:dyDescent="0.2">
      <c r="A885" s="1" t="s">
        <v>19</v>
      </c>
      <c r="B885" s="5" t="s">
        <v>109</v>
      </c>
      <c r="C885" s="1" t="s">
        <v>37</v>
      </c>
      <c r="D885" s="24" t="s">
        <v>211</v>
      </c>
      <c r="E885" s="24" t="s">
        <v>35</v>
      </c>
      <c r="F885" s="1" t="s">
        <v>637</v>
      </c>
      <c r="G885" s="1" t="s">
        <v>636</v>
      </c>
      <c r="H885" s="1" t="s">
        <v>130</v>
      </c>
      <c r="I885" s="1" t="s">
        <v>1492</v>
      </c>
      <c r="J885" s="1" t="s">
        <v>316</v>
      </c>
      <c r="K885" s="1" t="s">
        <v>1491</v>
      </c>
      <c r="L885" s="1" t="s">
        <v>1490</v>
      </c>
      <c r="P885" s="1" t="s">
        <v>1489</v>
      </c>
      <c r="Q885" s="1" t="s">
        <v>780</v>
      </c>
      <c r="R885" s="1" t="s">
        <v>779</v>
      </c>
      <c r="S885" s="1" t="s">
        <v>778</v>
      </c>
      <c r="T885" s="1" t="s">
        <v>777</v>
      </c>
      <c r="U885" s="1">
        <v>2</v>
      </c>
      <c r="V885" s="1" t="s">
        <v>767</v>
      </c>
      <c r="W885" s="1" t="s">
        <v>1488</v>
      </c>
      <c r="X885" s="1" t="s">
        <v>319</v>
      </c>
      <c r="Y885" s="3">
        <v>43825</v>
      </c>
      <c r="Z885" s="1">
        <v>2019</v>
      </c>
      <c r="AA885" s="2">
        <v>748997.89</v>
      </c>
      <c r="AB885" s="2"/>
      <c r="AC885" s="2">
        <v>42000</v>
      </c>
      <c r="AD885" s="1">
        <v>3</v>
      </c>
      <c r="AG885" s="1" t="s">
        <v>21</v>
      </c>
      <c r="AI885" s="2">
        <v>42000</v>
      </c>
      <c r="AK885" s="1"/>
      <c r="AV885" s="2"/>
      <c r="AW885" s="2"/>
      <c r="AX885" s="2"/>
      <c r="BA885" s="2"/>
    </row>
    <row r="886" spans="1:53" ht="15" customHeight="1" x14ac:dyDescent="0.2">
      <c r="A886" s="1" t="s">
        <v>19</v>
      </c>
      <c r="B886" s="5" t="s">
        <v>109</v>
      </c>
      <c r="C886" s="1" t="s">
        <v>37</v>
      </c>
      <c r="D886" s="24" t="s">
        <v>211</v>
      </c>
      <c r="E886" s="24" t="s">
        <v>35</v>
      </c>
      <c r="F886" s="1" t="s">
        <v>637</v>
      </c>
      <c r="G886" s="1" t="s">
        <v>636</v>
      </c>
      <c r="H886" s="1" t="s">
        <v>130</v>
      </c>
      <c r="I886" s="1" t="s">
        <v>1487</v>
      </c>
      <c r="J886" s="1" t="s">
        <v>316</v>
      </c>
      <c r="K886" s="1" t="s">
        <v>1486</v>
      </c>
      <c r="L886" s="1" t="s">
        <v>1484</v>
      </c>
      <c r="P886" s="1" t="s">
        <v>1485</v>
      </c>
      <c r="Q886" s="1" t="s">
        <v>27</v>
      </c>
      <c r="R886" s="1" t="s">
        <v>26</v>
      </c>
      <c r="S886" s="1" t="s">
        <v>805</v>
      </c>
      <c r="T886" s="1" t="s">
        <v>804</v>
      </c>
      <c r="U886" s="1">
        <v>2</v>
      </c>
      <c r="V886" s="1" t="s">
        <v>767</v>
      </c>
      <c r="W886" s="1" t="s">
        <v>1484</v>
      </c>
      <c r="X886" s="1" t="s">
        <v>319</v>
      </c>
      <c r="Y886" s="3">
        <v>43825</v>
      </c>
      <c r="Z886" s="1">
        <v>2019</v>
      </c>
      <c r="AA886" s="2">
        <v>1803728.85</v>
      </c>
      <c r="AB886" s="2"/>
      <c r="AC886" s="2">
        <v>87500</v>
      </c>
      <c r="AD886" s="1">
        <v>3</v>
      </c>
      <c r="AE886" s="1">
        <v>1</v>
      </c>
      <c r="AG886" s="1" t="s">
        <v>21</v>
      </c>
      <c r="AI886" s="2">
        <v>87208.33</v>
      </c>
      <c r="AK886" s="1"/>
      <c r="AL886" s="7" t="s">
        <v>1483</v>
      </c>
      <c r="AV886" s="2"/>
      <c r="AW886" s="2"/>
      <c r="AX886" s="2"/>
      <c r="BA886" s="2"/>
    </row>
    <row r="887" spans="1:53" ht="15" customHeight="1" x14ac:dyDescent="0.2">
      <c r="A887" s="1" t="s">
        <v>19</v>
      </c>
      <c r="B887" s="5" t="s">
        <v>109</v>
      </c>
      <c r="C887" s="1" t="s">
        <v>37</v>
      </c>
      <c r="D887" s="24" t="s">
        <v>211</v>
      </c>
      <c r="E887" s="24" t="s">
        <v>35</v>
      </c>
      <c r="F887" s="1" t="s">
        <v>637</v>
      </c>
      <c r="G887" s="1" t="s">
        <v>636</v>
      </c>
      <c r="H887" s="1" t="s">
        <v>130</v>
      </c>
      <c r="I887" s="1" t="s">
        <v>1482</v>
      </c>
      <c r="J887" s="1" t="s">
        <v>316</v>
      </c>
      <c r="K887" s="1" t="s">
        <v>1480</v>
      </c>
      <c r="P887" s="1" t="s">
        <v>1481</v>
      </c>
      <c r="Q887" s="1" t="s">
        <v>771</v>
      </c>
      <c r="R887" s="1" t="s">
        <v>770</v>
      </c>
      <c r="S887" s="1" t="s">
        <v>769</v>
      </c>
      <c r="T887" s="1" t="s">
        <v>768</v>
      </c>
      <c r="U887" s="1">
        <v>1</v>
      </c>
      <c r="V887" s="1" t="s">
        <v>767</v>
      </c>
      <c r="W887" s="1" t="s">
        <v>1480</v>
      </c>
      <c r="X887" s="1" t="s">
        <v>304</v>
      </c>
      <c r="Y887" s="3">
        <v>44113</v>
      </c>
      <c r="Z887" s="1">
        <v>2020</v>
      </c>
      <c r="AA887" s="2">
        <v>5980017.9100000001</v>
      </c>
      <c r="AB887" s="2"/>
      <c r="AC887" s="2">
        <v>673750</v>
      </c>
      <c r="AD887" s="1">
        <v>21</v>
      </c>
      <c r="AE887" s="1">
        <v>14</v>
      </c>
      <c r="AG887" s="1" t="s">
        <v>106</v>
      </c>
      <c r="AH887" s="1" t="s">
        <v>105</v>
      </c>
      <c r="AI887" s="2">
        <v>0</v>
      </c>
      <c r="AK887" s="1"/>
      <c r="AV887" s="2"/>
      <c r="AW887" s="2"/>
      <c r="AX887" s="2"/>
      <c r="BA887" s="2"/>
    </row>
    <row r="888" spans="1:53" ht="15" customHeight="1" x14ac:dyDescent="0.2">
      <c r="A888" s="1" t="s">
        <v>19</v>
      </c>
      <c r="B888" s="5" t="s">
        <v>109</v>
      </c>
      <c r="C888" s="1" t="s">
        <v>37</v>
      </c>
      <c r="D888" s="24" t="s">
        <v>211</v>
      </c>
      <c r="E888" s="24" t="s">
        <v>35</v>
      </c>
      <c r="F888" s="1" t="s">
        <v>637</v>
      </c>
      <c r="G888" s="1" t="s">
        <v>636</v>
      </c>
      <c r="H888" s="1" t="s">
        <v>130</v>
      </c>
      <c r="I888" s="1" t="s">
        <v>1479</v>
      </c>
      <c r="J888" s="1" t="s">
        <v>316</v>
      </c>
      <c r="K888" s="1" t="s">
        <v>1478</v>
      </c>
      <c r="L888" s="1" t="s">
        <v>1477</v>
      </c>
      <c r="P888" s="1" t="s">
        <v>1476</v>
      </c>
      <c r="Q888" s="1" t="s">
        <v>771</v>
      </c>
      <c r="R888" s="1" t="s">
        <v>770</v>
      </c>
      <c r="S888" s="1" t="s">
        <v>769</v>
      </c>
      <c r="T888" s="1" t="s">
        <v>768</v>
      </c>
      <c r="U888" s="1">
        <v>1</v>
      </c>
      <c r="V888" s="1" t="s">
        <v>767</v>
      </c>
      <c r="W888" s="1" t="s">
        <v>1475</v>
      </c>
      <c r="X888" s="1" t="s">
        <v>464</v>
      </c>
      <c r="Y888" s="3">
        <v>43825</v>
      </c>
      <c r="Z888" s="1">
        <v>2019</v>
      </c>
      <c r="AA888" s="2">
        <v>1282789.69</v>
      </c>
      <c r="AB888" s="2"/>
      <c r="AC888" s="2">
        <v>105000</v>
      </c>
      <c r="AD888" s="1">
        <v>4</v>
      </c>
      <c r="AG888" s="1" t="s">
        <v>21</v>
      </c>
      <c r="AH888" s="1" t="s">
        <v>1079</v>
      </c>
      <c r="AI888" s="2">
        <v>104083.52</v>
      </c>
      <c r="AK888" s="1"/>
      <c r="AV888" s="2"/>
      <c r="AW888" s="2"/>
      <c r="AX888" s="2"/>
      <c r="BA888" s="2"/>
    </row>
    <row r="889" spans="1:53" ht="15" customHeight="1" x14ac:dyDescent="0.2">
      <c r="A889" s="1" t="s">
        <v>19</v>
      </c>
      <c r="B889" s="5" t="s">
        <v>109</v>
      </c>
      <c r="C889" s="1" t="s">
        <v>37</v>
      </c>
      <c r="D889" s="24" t="s">
        <v>211</v>
      </c>
      <c r="E889" s="24" t="s">
        <v>35</v>
      </c>
      <c r="F889" s="1" t="s">
        <v>637</v>
      </c>
      <c r="G889" s="1" t="s">
        <v>636</v>
      </c>
      <c r="H889" s="1" t="s">
        <v>130</v>
      </c>
      <c r="I889" s="1" t="s">
        <v>1474</v>
      </c>
      <c r="J889" s="1" t="s">
        <v>316</v>
      </c>
      <c r="K889" s="1" t="s">
        <v>1347</v>
      </c>
      <c r="L889" s="1" t="s">
        <v>1333</v>
      </c>
      <c r="P889" s="1" t="s">
        <v>1473</v>
      </c>
      <c r="Q889" s="1" t="s">
        <v>771</v>
      </c>
      <c r="R889" s="1" t="s">
        <v>897</v>
      </c>
      <c r="S889" s="1" t="s">
        <v>922</v>
      </c>
      <c r="T889" s="1" t="s">
        <v>921</v>
      </c>
      <c r="U889" s="1">
        <v>2</v>
      </c>
      <c r="V889" s="1" t="s">
        <v>767</v>
      </c>
      <c r="W889" s="1" t="s">
        <v>1472</v>
      </c>
      <c r="X889" s="1" t="s">
        <v>464</v>
      </c>
      <c r="Y889" s="3">
        <v>43825</v>
      </c>
      <c r="Z889" s="1">
        <v>2019</v>
      </c>
      <c r="AA889" s="2">
        <v>2368823.7400000002</v>
      </c>
      <c r="AB889" s="2"/>
      <c r="AC889" s="2">
        <v>173250</v>
      </c>
      <c r="AD889" s="1">
        <v>9</v>
      </c>
      <c r="AE889" s="1">
        <v>8</v>
      </c>
      <c r="AG889" s="1" t="s">
        <v>21</v>
      </c>
      <c r="AH889" s="1" t="s">
        <v>1079</v>
      </c>
      <c r="AI889" s="2">
        <v>137227.26</v>
      </c>
      <c r="AK889" s="1"/>
      <c r="AV889" s="2"/>
      <c r="AW889" s="2"/>
      <c r="AX889" s="2"/>
      <c r="BA889" s="2"/>
    </row>
    <row r="890" spans="1:53" ht="15" customHeight="1" x14ac:dyDescent="0.2">
      <c r="A890" s="1" t="s">
        <v>19</v>
      </c>
      <c r="B890" s="5" t="s">
        <v>109</v>
      </c>
      <c r="C890" s="1" t="s">
        <v>37</v>
      </c>
      <c r="D890" s="24" t="s">
        <v>211</v>
      </c>
      <c r="E890" s="24" t="s">
        <v>35</v>
      </c>
      <c r="F890" s="1" t="s">
        <v>637</v>
      </c>
      <c r="G890" s="1" t="s">
        <v>636</v>
      </c>
      <c r="H890" s="1" t="s">
        <v>130</v>
      </c>
      <c r="I890" s="1" t="s">
        <v>1471</v>
      </c>
      <c r="J890" s="1" t="s">
        <v>316</v>
      </c>
      <c r="K890" s="1" t="s">
        <v>1470</v>
      </c>
      <c r="L890" s="1" t="s">
        <v>1469</v>
      </c>
      <c r="P890" s="1" t="s">
        <v>1468</v>
      </c>
      <c r="Q890" s="1" t="s">
        <v>771</v>
      </c>
      <c r="R890" s="1" t="s">
        <v>897</v>
      </c>
      <c r="S890" s="1" t="s">
        <v>922</v>
      </c>
      <c r="T890" s="1" t="s">
        <v>921</v>
      </c>
      <c r="U890" s="1">
        <v>2</v>
      </c>
      <c r="V890" s="1" t="s">
        <v>767</v>
      </c>
      <c r="W890" s="1" t="s">
        <v>1467</v>
      </c>
      <c r="X890" s="1" t="s">
        <v>319</v>
      </c>
      <c r="Y890" s="3">
        <v>43825</v>
      </c>
      <c r="Z890" s="1">
        <v>2019</v>
      </c>
      <c r="AA890" s="2">
        <v>4274406.2699999996</v>
      </c>
      <c r="AB890" s="2"/>
      <c r="AC890" s="2">
        <v>262500</v>
      </c>
      <c r="AD890" s="1">
        <v>15</v>
      </c>
      <c r="AE890" s="1">
        <v>7</v>
      </c>
      <c r="AG890" s="1" t="s">
        <v>21</v>
      </c>
      <c r="AH890" s="1" t="s">
        <v>1079</v>
      </c>
      <c r="AI890" s="2">
        <v>200529.51</v>
      </c>
      <c r="AK890" s="1"/>
      <c r="AL890" s="1" t="s">
        <v>1466</v>
      </c>
      <c r="AV890" s="2"/>
      <c r="AW890" s="2"/>
      <c r="AX890" s="2"/>
      <c r="BA890" s="2"/>
    </row>
    <row r="891" spans="1:53" ht="15" customHeight="1" x14ac:dyDescent="0.2">
      <c r="A891" s="1" t="s">
        <v>19</v>
      </c>
      <c r="B891" s="5" t="s">
        <v>109</v>
      </c>
      <c r="C891" s="1" t="s">
        <v>37</v>
      </c>
      <c r="D891" s="24" t="s">
        <v>211</v>
      </c>
      <c r="E891" s="24" t="s">
        <v>35</v>
      </c>
      <c r="F891" s="1" t="s">
        <v>637</v>
      </c>
      <c r="G891" s="1" t="s">
        <v>636</v>
      </c>
      <c r="H891" s="1" t="s">
        <v>130</v>
      </c>
      <c r="I891" s="1" t="s">
        <v>1465</v>
      </c>
      <c r="J891" s="1" t="s">
        <v>316</v>
      </c>
      <c r="K891" s="1" t="s">
        <v>1464</v>
      </c>
      <c r="L891" s="1" t="s">
        <v>1463</v>
      </c>
      <c r="P891" s="1" t="s">
        <v>1205</v>
      </c>
      <c r="Q891" s="1" t="s">
        <v>771</v>
      </c>
      <c r="R891" s="1" t="s">
        <v>897</v>
      </c>
      <c r="S891" s="1" t="s">
        <v>922</v>
      </c>
      <c r="T891" s="1" t="s">
        <v>921</v>
      </c>
      <c r="U891" s="1">
        <v>2</v>
      </c>
      <c r="V891" s="1" t="s">
        <v>767</v>
      </c>
      <c r="W891" s="1" t="s">
        <v>1463</v>
      </c>
      <c r="X891" s="1" t="s">
        <v>319</v>
      </c>
      <c r="Y891" s="3">
        <v>43825</v>
      </c>
      <c r="Z891" s="1">
        <v>2019</v>
      </c>
      <c r="AA891" s="2">
        <v>2877016.6</v>
      </c>
      <c r="AB891" s="2"/>
      <c r="AC891" s="2">
        <v>192500</v>
      </c>
      <c r="AD891" s="1">
        <v>10</v>
      </c>
      <c r="AE891" s="1">
        <v>8.5</v>
      </c>
      <c r="AG891" s="1" t="s">
        <v>21</v>
      </c>
      <c r="AH891" s="1" t="s">
        <v>1079</v>
      </c>
      <c r="AI891" s="2">
        <v>187518.04</v>
      </c>
      <c r="AK891" s="1"/>
      <c r="AL891" s="7" t="s">
        <v>1462</v>
      </c>
      <c r="AV891" s="2"/>
      <c r="AW891" s="2"/>
      <c r="AX891" s="2"/>
      <c r="BA891" s="2"/>
    </row>
    <row r="892" spans="1:53" ht="15" customHeight="1" x14ac:dyDescent="0.2">
      <c r="A892" s="1" t="s">
        <v>19</v>
      </c>
      <c r="B892" s="5" t="s">
        <v>109</v>
      </c>
      <c r="C892" s="1" t="s">
        <v>37</v>
      </c>
      <c r="D892" s="24" t="s">
        <v>211</v>
      </c>
      <c r="E892" s="24" t="s">
        <v>35</v>
      </c>
      <c r="F892" s="1" t="s">
        <v>637</v>
      </c>
      <c r="G892" s="1" t="s">
        <v>636</v>
      </c>
      <c r="H892" s="1" t="s">
        <v>130</v>
      </c>
      <c r="I892" s="1" t="s">
        <v>1461</v>
      </c>
      <c r="J892" s="1" t="s">
        <v>316</v>
      </c>
      <c r="K892" s="1" t="s">
        <v>1460</v>
      </c>
      <c r="L892" s="1" t="s">
        <v>1459</v>
      </c>
      <c r="P892" s="1" t="s">
        <v>1458</v>
      </c>
      <c r="Q892" s="1" t="s">
        <v>788</v>
      </c>
      <c r="R892" s="1" t="s">
        <v>787</v>
      </c>
      <c r="S892" s="1" t="s">
        <v>786</v>
      </c>
      <c r="T892" s="1" t="s">
        <v>785</v>
      </c>
      <c r="U892" s="1">
        <v>1</v>
      </c>
      <c r="V892" s="1" t="s">
        <v>767</v>
      </c>
      <c r="W892" s="1" t="s">
        <v>1457</v>
      </c>
      <c r="X892" s="1" t="s">
        <v>52</v>
      </c>
      <c r="Y892" s="3">
        <v>43825</v>
      </c>
      <c r="Z892" s="1">
        <v>2019</v>
      </c>
      <c r="AA892" s="2">
        <v>4470500</v>
      </c>
      <c r="AB892" s="2"/>
      <c r="AC892" s="2">
        <v>1260000</v>
      </c>
      <c r="AD892" s="1">
        <v>38</v>
      </c>
      <c r="AE892" s="1">
        <v>10</v>
      </c>
      <c r="AG892" s="1" t="s">
        <v>21</v>
      </c>
      <c r="AI892" s="2">
        <v>1260000</v>
      </c>
      <c r="AK892" s="1"/>
      <c r="AL892" s="1" t="s">
        <v>1456</v>
      </c>
      <c r="AV892" s="2"/>
      <c r="AW892" s="2"/>
      <c r="AX892" s="2"/>
      <c r="BA892" s="2"/>
    </row>
    <row r="893" spans="1:53" ht="15" customHeight="1" x14ac:dyDescent="0.2">
      <c r="A893" s="1" t="s">
        <v>19</v>
      </c>
      <c r="B893" s="5" t="s">
        <v>109</v>
      </c>
      <c r="C893" s="1" t="s">
        <v>37</v>
      </c>
      <c r="D893" s="24" t="s">
        <v>211</v>
      </c>
      <c r="E893" s="24" t="s">
        <v>35</v>
      </c>
      <c r="F893" s="1" t="s">
        <v>637</v>
      </c>
      <c r="G893" s="1" t="s">
        <v>636</v>
      </c>
      <c r="H893" s="1" t="s">
        <v>130</v>
      </c>
      <c r="I893" s="1" t="s">
        <v>1455</v>
      </c>
      <c r="J893" s="1" t="s">
        <v>316</v>
      </c>
      <c r="K893" s="1" t="s">
        <v>1451</v>
      </c>
      <c r="P893" s="1" t="s">
        <v>1454</v>
      </c>
      <c r="Q893" s="1" t="s">
        <v>780</v>
      </c>
      <c r="R893" s="1" t="s">
        <v>941</v>
      </c>
      <c r="S893" s="1" t="s">
        <v>1453</v>
      </c>
      <c r="T893" s="1" t="s">
        <v>1452</v>
      </c>
      <c r="U893" s="1">
        <v>2</v>
      </c>
      <c r="V893" s="24" t="s">
        <v>767</v>
      </c>
      <c r="W893" s="1" t="s">
        <v>1451</v>
      </c>
      <c r="X893" s="1" t="s">
        <v>319</v>
      </c>
      <c r="Y893" s="3">
        <v>44827</v>
      </c>
      <c r="Z893" s="1">
        <v>2022</v>
      </c>
      <c r="AA893" s="2">
        <v>253732.74</v>
      </c>
      <c r="AB893" s="2"/>
      <c r="AC893" s="2">
        <v>38059.910000000003</v>
      </c>
      <c r="AD893" s="1">
        <v>4</v>
      </c>
      <c r="AG893" s="1" t="s">
        <v>106</v>
      </c>
      <c r="AH893" s="1" t="s">
        <v>1018</v>
      </c>
      <c r="AI893" s="2">
        <v>0</v>
      </c>
      <c r="AK893" s="1" t="s">
        <v>1335</v>
      </c>
      <c r="AL893" s="1" t="s">
        <v>1450</v>
      </c>
      <c r="AV893" s="2"/>
      <c r="AW893" s="2"/>
      <c r="AX893" s="2"/>
      <c r="BA893" s="2"/>
    </row>
    <row r="894" spans="1:53" ht="15" customHeight="1" x14ac:dyDescent="0.2">
      <c r="A894" s="1" t="s">
        <v>19</v>
      </c>
      <c r="B894" s="5" t="s">
        <v>109</v>
      </c>
      <c r="C894" s="1" t="s">
        <v>37</v>
      </c>
      <c r="D894" s="24" t="s">
        <v>211</v>
      </c>
      <c r="E894" s="24" t="s">
        <v>35</v>
      </c>
      <c r="F894" s="1" t="s">
        <v>637</v>
      </c>
      <c r="G894" s="1" t="s">
        <v>636</v>
      </c>
      <c r="H894" s="1" t="s">
        <v>130</v>
      </c>
      <c r="I894" s="1" t="s">
        <v>1449</v>
      </c>
      <c r="J894" s="1" t="s">
        <v>316</v>
      </c>
      <c r="K894" s="1" t="s">
        <v>1446</v>
      </c>
      <c r="P894" s="1" t="s">
        <v>1448</v>
      </c>
      <c r="Q894" s="1" t="s">
        <v>771</v>
      </c>
      <c r="R894" s="1" t="s">
        <v>897</v>
      </c>
      <c r="S894" s="1" t="s">
        <v>922</v>
      </c>
      <c r="T894" s="1" t="s">
        <v>921</v>
      </c>
      <c r="U894" s="1">
        <v>2</v>
      </c>
      <c r="V894" s="1" t="s">
        <v>767</v>
      </c>
      <c r="W894" s="1" t="s">
        <v>1444</v>
      </c>
      <c r="X894" s="1" t="s">
        <v>464</v>
      </c>
      <c r="Y894" s="3">
        <v>44817</v>
      </c>
      <c r="Z894" s="1">
        <v>2022</v>
      </c>
      <c r="AA894" s="2">
        <v>1391894.47</v>
      </c>
      <c r="AB894" s="2"/>
      <c r="AC894" s="2">
        <v>139189.45000000001</v>
      </c>
      <c r="AD894" s="1">
        <v>10</v>
      </c>
      <c r="AE894" s="1">
        <v>6</v>
      </c>
      <c r="AG894" s="1" t="s">
        <v>106</v>
      </c>
      <c r="AH894" s="1" t="s">
        <v>1088</v>
      </c>
      <c r="AI894" s="2">
        <v>0</v>
      </c>
      <c r="AK894" s="1"/>
      <c r="AV894" s="2"/>
      <c r="AW894" s="2"/>
      <c r="AX894" s="2"/>
      <c r="BA894" s="2"/>
    </row>
    <row r="895" spans="1:53" ht="15" customHeight="1" x14ac:dyDescent="0.2">
      <c r="A895" s="1" t="s">
        <v>19</v>
      </c>
      <c r="B895" s="5" t="s">
        <v>109</v>
      </c>
      <c r="C895" s="1" t="s">
        <v>37</v>
      </c>
      <c r="D895" s="24" t="s">
        <v>211</v>
      </c>
      <c r="E895" s="24" t="s">
        <v>35</v>
      </c>
      <c r="F895" s="1" t="s">
        <v>637</v>
      </c>
      <c r="G895" s="1" t="s">
        <v>636</v>
      </c>
      <c r="H895" s="1" t="s">
        <v>130</v>
      </c>
      <c r="I895" s="1" t="s">
        <v>1447</v>
      </c>
      <c r="J895" s="1" t="s">
        <v>316</v>
      </c>
      <c r="K895" s="1" t="s">
        <v>1446</v>
      </c>
      <c r="P895" s="1" t="s">
        <v>1445</v>
      </c>
      <c r="Q895" s="1" t="s">
        <v>771</v>
      </c>
      <c r="R895" s="1" t="s">
        <v>897</v>
      </c>
      <c r="S895" s="1" t="s">
        <v>922</v>
      </c>
      <c r="T895" s="1" t="s">
        <v>921</v>
      </c>
      <c r="U895" s="1">
        <v>2</v>
      </c>
      <c r="V895" s="1" t="s">
        <v>767</v>
      </c>
      <c r="W895" s="1" t="s">
        <v>1444</v>
      </c>
      <c r="X895" s="1" t="s">
        <v>464</v>
      </c>
      <c r="Y895" s="3">
        <v>44299</v>
      </c>
      <c r="Z895" s="1">
        <v>2021</v>
      </c>
      <c r="AA895" s="2">
        <v>2381991.61</v>
      </c>
      <c r="AB895" s="2"/>
      <c r="AC895" s="2">
        <v>154000</v>
      </c>
      <c r="AD895" s="1">
        <v>8</v>
      </c>
      <c r="AE895" s="1">
        <v>5</v>
      </c>
      <c r="AG895" s="1" t="s">
        <v>106</v>
      </c>
      <c r="AH895" s="1" t="s">
        <v>105</v>
      </c>
      <c r="AI895" s="2">
        <v>0</v>
      </c>
      <c r="AK895" s="1"/>
      <c r="AV895" s="2"/>
      <c r="AW895" s="2"/>
      <c r="AX895" s="2"/>
      <c r="BA895" s="2"/>
    </row>
    <row r="896" spans="1:53" ht="15" customHeight="1" thickBot="1" x14ac:dyDescent="0.25">
      <c r="A896" s="1" t="s">
        <v>19</v>
      </c>
      <c r="B896" s="5" t="s">
        <v>109</v>
      </c>
      <c r="C896" s="1" t="s">
        <v>37</v>
      </c>
      <c r="D896" s="24" t="s">
        <v>211</v>
      </c>
      <c r="E896" s="24" t="s">
        <v>35</v>
      </c>
      <c r="F896" s="1" t="s">
        <v>637</v>
      </c>
      <c r="G896" s="24" t="s">
        <v>636</v>
      </c>
      <c r="H896" s="1" t="s">
        <v>130</v>
      </c>
      <c r="I896" s="1" t="s">
        <v>1443</v>
      </c>
      <c r="J896" s="1" t="s">
        <v>316</v>
      </c>
      <c r="K896" s="1" t="s">
        <v>1442</v>
      </c>
      <c r="P896" s="1" t="s">
        <v>1177</v>
      </c>
      <c r="Q896" s="1" t="s">
        <v>771</v>
      </c>
      <c r="R896" s="1" t="s">
        <v>1060</v>
      </c>
      <c r="S896" s="1" t="s">
        <v>1176</v>
      </c>
      <c r="T896" s="1" t="s">
        <v>1175</v>
      </c>
      <c r="U896" s="1">
        <v>2</v>
      </c>
      <c r="V896" s="24" t="s">
        <v>767</v>
      </c>
      <c r="W896" s="1" t="s">
        <v>1442</v>
      </c>
      <c r="X896" s="1" t="s">
        <v>319</v>
      </c>
      <c r="Y896" s="3">
        <v>44895</v>
      </c>
      <c r="Z896" s="1">
        <v>2022</v>
      </c>
      <c r="AA896" s="2">
        <v>984202.82</v>
      </c>
      <c r="AB896" s="2"/>
      <c r="AC896" s="2">
        <v>42000</v>
      </c>
      <c r="AD896" s="30">
        <v>3</v>
      </c>
      <c r="AG896" s="1" t="s">
        <v>106</v>
      </c>
      <c r="AH896" s="1" t="s">
        <v>1088</v>
      </c>
      <c r="AI896" s="2">
        <v>0</v>
      </c>
      <c r="AK896" s="1" t="s">
        <v>318</v>
      </c>
      <c r="AV896" s="2"/>
      <c r="AW896" s="2"/>
      <c r="AX896" s="2"/>
      <c r="BA896" s="2"/>
    </row>
    <row r="897" spans="1:53" ht="15" customHeight="1" thickBot="1" x14ac:dyDescent="0.25">
      <c r="A897" s="1" t="s">
        <v>19</v>
      </c>
      <c r="B897" s="5" t="s">
        <v>109</v>
      </c>
      <c r="C897" s="1" t="s">
        <v>37</v>
      </c>
      <c r="D897" s="24" t="s">
        <v>211</v>
      </c>
      <c r="E897" s="24" t="s">
        <v>35</v>
      </c>
      <c r="F897" s="1" t="s">
        <v>637</v>
      </c>
      <c r="G897" s="24" t="s">
        <v>636</v>
      </c>
      <c r="H897" s="1" t="s">
        <v>130</v>
      </c>
      <c r="I897" s="1" t="s">
        <v>1441</v>
      </c>
      <c r="J897" s="1" t="s">
        <v>316</v>
      </c>
      <c r="K897" s="1" t="s">
        <v>1440</v>
      </c>
      <c r="L897" s="1" t="s">
        <v>1436</v>
      </c>
      <c r="P897" s="1" t="s">
        <v>1439</v>
      </c>
      <c r="Q897" s="1" t="s">
        <v>771</v>
      </c>
      <c r="R897" s="1" t="s">
        <v>1060</v>
      </c>
      <c r="S897" s="1" t="s">
        <v>1438</v>
      </c>
      <c r="T897" s="1" t="s">
        <v>1437</v>
      </c>
      <c r="U897" s="1">
        <v>2</v>
      </c>
      <c r="V897" s="1" t="s">
        <v>767</v>
      </c>
      <c r="W897" s="1" t="s">
        <v>1436</v>
      </c>
      <c r="X897" s="1" t="s">
        <v>304</v>
      </c>
      <c r="Y897" s="3">
        <v>43825</v>
      </c>
      <c r="Z897" s="1">
        <v>2019</v>
      </c>
      <c r="AA897" s="2">
        <v>4084960.18</v>
      </c>
      <c r="AB897" s="2"/>
      <c r="AC897" s="2">
        <v>105000</v>
      </c>
      <c r="AD897" s="30">
        <v>6</v>
      </c>
      <c r="AE897" s="1">
        <v>2</v>
      </c>
      <c r="AG897" s="1" t="s">
        <v>21</v>
      </c>
      <c r="AH897" s="1" t="s">
        <v>1079</v>
      </c>
      <c r="AI897" s="2">
        <v>75819.86</v>
      </c>
      <c r="AK897" s="1"/>
      <c r="AL897" s="1" t="s">
        <v>1435</v>
      </c>
      <c r="AV897" s="2"/>
      <c r="AW897" s="2"/>
      <c r="AX897" s="2"/>
      <c r="BA897" s="2"/>
    </row>
    <row r="898" spans="1:53" ht="15" customHeight="1" thickBot="1" x14ac:dyDescent="0.25">
      <c r="A898" s="1" t="s">
        <v>19</v>
      </c>
      <c r="B898" s="5" t="s">
        <v>109</v>
      </c>
      <c r="C898" s="1" t="s">
        <v>37</v>
      </c>
      <c r="D898" s="24" t="s">
        <v>211</v>
      </c>
      <c r="E898" s="24" t="s">
        <v>35</v>
      </c>
      <c r="F898" s="1" t="s">
        <v>637</v>
      </c>
      <c r="G898" s="24" t="s">
        <v>636</v>
      </c>
      <c r="H898" s="1" t="s">
        <v>130</v>
      </c>
      <c r="I898" s="1" t="s">
        <v>1434</v>
      </c>
      <c r="J898" s="1" t="s">
        <v>316</v>
      </c>
      <c r="K898" s="1" t="s">
        <v>1433</v>
      </c>
      <c r="L898" s="1" t="s">
        <v>1431</v>
      </c>
      <c r="P898" s="1" t="s">
        <v>1432</v>
      </c>
      <c r="Q898" s="1" t="s">
        <v>771</v>
      </c>
      <c r="R898" s="1" t="s">
        <v>770</v>
      </c>
      <c r="S898" s="1" t="s">
        <v>1396</v>
      </c>
      <c r="T898" s="1" t="s">
        <v>1395</v>
      </c>
      <c r="U898" s="1">
        <v>2</v>
      </c>
      <c r="V898" s="24" t="s">
        <v>767</v>
      </c>
      <c r="W898" s="1" t="s">
        <v>1431</v>
      </c>
      <c r="X898" s="1" t="s">
        <v>319</v>
      </c>
      <c r="Y898" s="3">
        <v>44127</v>
      </c>
      <c r="Z898" s="1">
        <v>2020</v>
      </c>
      <c r="AA898" s="2">
        <v>4507775.8</v>
      </c>
      <c r="AB898" s="2"/>
      <c r="AC898" s="2">
        <v>119000</v>
      </c>
      <c r="AD898" s="30">
        <v>7</v>
      </c>
      <c r="AE898" s="1">
        <v>3</v>
      </c>
      <c r="AG898" s="1" t="s">
        <v>21</v>
      </c>
      <c r="AH898" s="1" t="s">
        <v>1115</v>
      </c>
      <c r="AI898" s="2">
        <v>119000</v>
      </c>
      <c r="AK898" s="1" t="s">
        <v>1393</v>
      </c>
      <c r="AL898" s="1" t="s">
        <v>1430</v>
      </c>
      <c r="AV898" s="2"/>
      <c r="AW898" s="2"/>
      <c r="AX898" s="2"/>
      <c r="BA898" s="2"/>
    </row>
    <row r="899" spans="1:53" ht="15" customHeight="1" thickBot="1" x14ac:dyDescent="0.25">
      <c r="A899" s="1" t="s">
        <v>19</v>
      </c>
      <c r="B899" s="5" t="s">
        <v>109</v>
      </c>
      <c r="C899" s="1" t="s">
        <v>37</v>
      </c>
      <c r="D899" s="24" t="s">
        <v>211</v>
      </c>
      <c r="E899" s="24" t="s">
        <v>35</v>
      </c>
      <c r="F899" s="1" t="s">
        <v>637</v>
      </c>
      <c r="G899" s="24" t="s">
        <v>636</v>
      </c>
      <c r="H899" s="1" t="s">
        <v>130</v>
      </c>
      <c r="I899" s="1" t="s">
        <v>1429</v>
      </c>
      <c r="J899" s="1" t="s">
        <v>316</v>
      </c>
      <c r="K899" s="1" t="s">
        <v>1427</v>
      </c>
      <c r="P899" s="1" t="s">
        <v>1428</v>
      </c>
      <c r="Q899" s="1" t="s">
        <v>771</v>
      </c>
      <c r="R899" s="1" t="s">
        <v>770</v>
      </c>
      <c r="S899" s="1" t="s">
        <v>769</v>
      </c>
      <c r="T899" s="1" t="s">
        <v>768</v>
      </c>
      <c r="U899" s="1">
        <v>1</v>
      </c>
      <c r="V899" s="1" t="s">
        <v>767</v>
      </c>
      <c r="W899" s="1" t="s">
        <v>1427</v>
      </c>
      <c r="X899" s="1" t="s">
        <v>319</v>
      </c>
      <c r="Y899" s="3">
        <v>44321</v>
      </c>
      <c r="Z899" s="1">
        <v>2021</v>
      </c>
      <c r="AA899" s="2">
        <v>9625422</v>
      </c>
      <c r="AB899" s="2"/>
      <c r="AC899" s="2">
        <v>1155000</v>
      </c>
      <c r="AD899" s="30">
        <v>35</v>
      </c>
      <c r="AE899" s="1">
        <v>8</v>
      </c>
      <c r="AG899" s="1" t="s">
        <v>106</v>
      </c>
      <c r="AH899" s="1" t="s">
        <v>105</v>
      </c>
      <c r="AI899" s="2">
        <v>0</v>
      </c>
      <c r="AK899" s="1"/>
      <c r="AV899" s="2"/>
      <c r="AW899" s="2"/>
      <c r="AX899" s="2"/>
      <c r="BA899" s="2"/>
    </row>
    <row r="900" spans="1:53" ht="15" customHeight="1" thickBot="1" x14ac:dyDescent="0.25">
      <c r="A900" s="1" t="s">
        <v>19</v>
      </c>
      <c r="B900" s="5" t="s">
        <v>109</v>
      </c>
      <c r="C900" s="1" t="s">
        <v>37</v>
      </c>
      <c r="D900" s="24" t="s">
        <v>211</v>
      </c>
      <c r="E900" s="24" t="s">
        <v>35</v>
      </c>
      <c r="F900" s="1" t="s">
        <v>637</v>
      </c>
      <c r="G900" s="24" t="s">
        <v>636</v>
      </c>
      <c r="H900" s="1" t="s">
        <v>130</v>
      </c>
      <c r="I900" s="1" t="s">
        <v>1426</v>
      </c>
      <c r="J900" s="1" t="s">
        <v>316</v>
      </c>
      <c r="K900" s="1" t="s">
        <v>1425</v>
      </c>
      <c r="P900" s="1" t="s">
        <v>1220</v>
      </c>
      <c r="Q900" s="1" t="s">
        <v>27</v>
      </c>
      <c r="R900" s="1" t="s">
        <v>26</v>
      </c>
      <c r="S900" s="1" t="s">
        <v>805</v>
      </c>
      <c r="T900" s="1" t="s">
        <v>804</v>
      </c>
      <c r="U900" s="1">
        <v>2</v>
      </c>
      <c r="V900" s="24" t="s">
        <v>767</v>
      </c>
      <c r="W900" s="1" t="s">
        <v>1425</v>
      </c>
      <c r="X900" s="1" t="s">
        <v>304</v>
      </c>
      <c r="Y900" s="3">
        <v>44299</v>
      </c>
      <c r="Z900" s="1">
        <v>2021</v>
      </c>
      <c r="AA900" s="2">
        <v>3235359.01</v>
      </c>
      <c r="AB900" s="2"/>
      <c r="AC900" s="2">
        <v>288750</v>
      </c>
      <c r="AD900" s="30">
        <v>15</v>
      </c>
      <c r="AE900" s="1">
        <v>6.5</v>
      </c>
      <c r="AG900" s="1" t="s">
        <v>106</v>
      </c>
      <c r="AH900" s="1" t="s">
        <v>105</v>
      </c>
      <c r="AI900" s="2">
        <v>0</v>
      </c>
      <c r="AK900" s="1"/>
      <c r="AV900" s="2"/>
      <c r="AW900" s="2"/>
      <c r="AX900" s="2"/>
      <c r="BA900" s="2"/>
    </row>
    <row r="901" spans="1:53" ht="15" customHeight="1" thickBot="1" x14ac:dyDescent="0.25">
      <c r="A901" s="1" t="s">
        <v>19</v>
      </c>
      <c r="B901" s="5" t="s">
        <v>109</v>
      </c>
      <c r="C901" s="1" t="s">
        <v>37</v>
      </c>
      <c r="D901" s="24" t="s">
        <v>211</v>
      </c>
      <c r="E901" s="24" t="s">
        <v>35</v>
      </c>
      <c r="F901" s="1" t="s">
        <v>637</v>
      </c>
      <c r="G901" s="24" t="s">
        <v>636</v>
      </c>
      <c r="H901" s="1" t="s">
        <v>130</v>
      </c>
      <c r="I901" s="1" t="s">
        <v>1424</v>
      </c>
      <c r="J901" s="1" t="s">
        <v>316</v>
      </c>
      <c r="K901" s="1" t="s">
        <v>1423</v>
      </c>
      <c r="L901" s="1" t="s">
        <v>1421</v>
      </c>
      <c r="P901" s="1" t="s">
        <v>1422</v>
      </c>
      <c r="Q901" s="1" t="s">
        <v>27</v>
      </c>
      <c r="R901" s="1" t="s">
        <v>26</v>
      </c>
      <c r="S901" s="1" t="s">
        <v>1310</v>
      </c>
      <c r="T901" s="1" t="s">
        <v>1309</v>
      </c>
      <c r="U901" s="1">
        <v>2</v>
      </c>
      <c r="V901" s="24" t="s">
        <v>767</v>
      </c>
      <c r="W901" s="1" t="s">
        <v>1421</v>
      </c>
      <c r="X901" s="1" t="s">
        <v>319</v>
      </c>
      <c r="Y901" s="3">
        <v>43825</v>
      </c>
      <c r="Z901" s="1">
        <v>2019</v>
      </c>
      <c r="AA901" s="2">
        <v>1235647.1499999999</v>
      </c>
      <c r="AB901" s="2"/>
      <c r="AC901" s="2">
        <v>52500</v>
      </c>
      <c r="AD901" s="30">
        <v>3</v>
      </c>
      <c r="AE901" s="1">
        <v>2</v>
      </c>
      <c r="AG901" s="1" t="s">
        <v>21</v>
      </c>
      <c r="AI901" s="2">
        <v>52500</v>
      </c>
      <c r="AK901" s="1"/>
      <c r="AL901" s="1" t="s">
        <v>1420</v>
      </c>
      <c r="AV901" s="2"/>
      <c r="AW901" s="2"/>
      <c r="AX901" s="2"/>
      <c r="BA901" s="2"/>
    </row>
    <row r="902" spans="1:53" ht="15" customHeight="1" thickBot="1" x14ac:dyDescent="0.25">
      <c r="A902" s="1" t="s">
        <v>19</v>
      </c>
      <c r="B902" s="5" t="s">
        <v>109</v>
      </c>
      <c r="C902" s="1" t="s">
        <v>37</v>
      </c>
      <c r="D902" s="24" t="s">
        <v>211</v>
      </c>
      <c r="E902" s="24" t="s">
        <v>35</v>
      </c>
      <c r="F902" s="1" t="s">
        <v>637</v>
      </c>
      <c r="G902" s="24" t="s">
        <v>636</v>
      </c>
      <c r="H902" s="1" t="s">
        <v>130</v>
      </c>
      <c r="I902" s="1" t="s">
        <v>1419</v>
      </c>
      <c r="J902" s="1" t="s">
        <v>316</v>
      </c>
      <c r="K902" s="1" t="s">
        <v>1417</v>
      </c>
      <c r="P902" s="1" t="s">
        <v>1418</v>
      </c>
      <c r="Q902" s="1" t="s">
        <v>27</v>
      </c>
      <c r="R902" s="1" t="s">
        <v>26</v>
      </c>
      <c r="S902" s="1" t="s">
        <v>856</v>
      </c>
      <c r="T902" s="1" t="s">
        <v>855</v>
      </c>
      <c r="U902" s="1">
        <v>2</v>
      </c>
      <c r="V902" s="1" t="s">
        <v>767</v>
      </c>
      <c r="W902" s="1" t="s">
        <v>1417</v>
      </c>
      <c r="X902" s="1" t="s">
        <v>52</v>
      </c>
      <c r="Y902" s="3">
        <v>44813</v>
      </c>
      <c r="Z902" s="1">
        <v>2022</v>
      </c>
      <c r="AA902" s="2">
        <v>1139201.21</v>
      </c>
      <c r="AB902" s="2"/>
      <c r="AC902" s="2">
        <v>77000</v>
      </c>
      <c r="AD902" s="30">
        <v>4</v>
      </c>
      <c r="AE902" s="1">
        <v>2</v>
      </c>
      <c r="AG902" s="1" t="s">
        <v>106</v>
      </c>
      <c r="AH902" s="1" t="s">
        <v>310</v>
      </c>
      <c r="AI902" s="2">
        <v>0</v>
      </c>
      <c r="AK902" s="1"/>
      <c r="AV902" s="2"/>
      <c r="AW902" s="2"/>
      <c r="AX902" s="2"/>
      <c r="BA902" s="2"/>
    </row>
    <row r="903" spans="1:53" ht="15" customHeight="1" thickBot="1" x14ac:dyDescent="0.25">
      <c r="A903" s="1" t="s">
        <v>19</v>
      </c>
      <c r="B903" s="5" t="s">
        <v>109</v>
      </c>
      <c r="C903" s="1" t="s">
        <v>37</v>
      </c>
      <c r="D903" s="24" t="s">
        <v>211</v>
      </c>
      <c r="E903" s="24" t="s">
        <v>35</v>
      </c>
      <c r="F903" s="1" t="s">
        <v>260</v>
      </c>
      <c r="G903" s="24" t="s">
        <v>259</v>
      </c>
      <c r="H903" s="1" t="s">
        <v>130</v>
      </c>
      <c r="I903" s="1" t="s">
        <v>1416</v>
      </c>
      <c r="J903" s="1" t="s">
        <v>316</v>
      </c>
      <c r="K903" s="1" t="s">
        <v>1415</v>
      </c>
      <c r="L903" s="1" t="s">
        <v>1415</v>
      </c>
      <c r="P903" s="1" t="s">
        <v>934</v>
      </c>
      <c r="Q903" s="1" t="s">
        <v>27</v>
      </c>
      <c r="R903" s="1" t="s">
        <v>26</v>
      </c>
      <c r="S903" s="1" t="s">
        <v>805</v>
      </c>
      <c r="T903" s="1" t="s">
        <v>804</v>
      </c>
      <c r="U903" s="1">
        <v>1</v>
      </c>
      <c r="V903" s="1" t="s">
        <v>767</v>
      </c>
      <c r="W903" s="1" t="s">
        <v>1415</v>
      </c>
      <c r="X903" s="1" t="s">
        <v>529</v>
      </c>
      <c r="Y903" s="3">
        <v>43825</v>
      </c>
      <c r="Z903" s="1">
        <v>2019</v>
      </c>
      <c r="AA903" s="2">
        <v>102901.25</v>
      </c>
      <c r="AB903" s="2"/>
      <c r="AC903" s="2">
        <v>20580.25</v>
      </c>
      <c r="AD903" s="30">
        <v>2</v>
      </c>
      <c r="AG903" s="1" t="s">
        <v>21</v>
      </c>
      <c r="AI903" s="2">
        <v>20580.25</v>
      </c>
      <c r="AK903" s="1"/>
      <c r="AV903" s="2"/>
      <c r="AW903" s="2"/>
      <c r="AX903" s="2"/>
      <c r="BA903" s="2"/>
    </row>
    <row r="904" spans="1:53" ht="15" customHeight="1" thickBot="1" x14ac:dyDescent="0.25">
      <c r="A904" s="1" t="s">
        <v>19</v>
      </c>
      <c r="B904" s="5" t="s">
        <v>109</v>
      </c>
      <c r="C904" s="1" t="s">
        <v>37</v>
      </c>
      <c r="D904" s="24" t="s">
        <v>211</v>
      </c>
      <c r="E904" s="24" t="s">
        <v>35</v>
      </c>
      <c r="F904" s="1" t="s">
        <v>260</v>
      </c>
      <c r="G904" s="24" t="s">
        <v>259</v>
      </c>
      <c r="H904" s="1" t="s">
        <v>130</v>
      </c>
      <c r="I904" s="1" t="s">
        <v>1414</v>
      </c>
      <c r="J904" s="1" t="s">
        <v>316</v>
      </c>
      <c r="K904" s="1" t="s">
        <v>1413</v>
      </c>
      <c r="L904" s="1" t="s">
        <v>1412</v>
      </c>
      <c r="P904" s="1" t="s">
        <v>970</v>
      </c>
      <c r="Q904" s="1" t="s">
        <v>27</v>
      </c>
      <c r="R904" s="1" t="s">
        <v>26</v>
      </c>
      <c r="S904" s="1" t="s">
        <v>810</v>
      </c>
      <c r="T904" s="1" t="s">
        <v>809</v>
      </c>
      <c r="U904" s="1">
        <v>1</v>
      </c>
      <c r="V904" s="1" t="s">
        <v>767</v>
      </c>
      <c r="W904" s="1" t="s">
        <v>1412</v>
      </c>
      <c r="X904" s="1" t="s">
        <v>667</v>
      </c>
      <c r="Y904" s="3">
        <v>43825</v>
      </c>
      <c r="Z904" s="1">
        <v>2019</v>
      </c>
      <c r="AA904" s="2">
        <v>68242.86</v>
      </c>
      <c r="AB904" s="2"/>
      <c r="AC904" s="2">
        <v>34121.43</v>
      </c>
      <c r="AD904" s="30">
        <v>2</v>
      </c>
      <c r="AE904" s="1">
        <v>1</v>
      </c>
      <c r="AG904" s="1" t="s">
        <v>21</v>
      </c>
      <c r="AI904" s="2">
        <v>34121.43</v>
      </c>
      <c r="AK904" s="1"/>
      <c r="AV904" s="2"/>
      <c r="AW904" s="2"/>
      <c r="AX904" s="2"/>
      <c r="BA904" s="2"/>
    </row>
    <row r="905" spans="1:53" ht="15" customHeight="1" thickBot="1" x14ac:dyDescent="0.25">
      <c r="A905" s="1" t="s">
        <v>19</v>
      </c>
      <c r="B905" s="5" t="s">
        <v>109</v>
      </c>
      <c r="C905" s="1" t="s">
        <v>37</v>
      </c>
      <c r="D905" s="24" t="s">
        <v>211</v>
      </c>
      <c r="E905" s="24" t="s">
        <v>35</v>
      </c>
      <c r="F905" s="1" t="s">
        <v>260</v>
      </c>
      <c r="G905" s="24" t="s">
        <v>259</v>
      </c>
      <c r="H905" s="1" t="s">
        <v>130</v>
      </c>
      <c r="I905" s="1" t="s">
        <v>1411</v>
      </c>
      <c r="J905" s="1" t="s">
        <v>316</v>
      </c>
      <c r="K905" s="1" t="s">
        <v>1409</v>
      </c>
      <c r="P905" s="1" t="s">
        <v>1410</v>
      </c>
      <c r="Q905" s="1" t="s">
        <v>780</v>
      </c>
      <c r="R905" s="1" t="s">
        <v>941</v>
      </c>
      <c r="S905" s="1" t="s">
        <v>1227</v>
      </c>
      <c r="T905" s="1" t="s">
        <v>1226</v>
      </c>
      <c r="U905" s="1">
        <v>2</v>
      </c>
      <c r="V905" s="1" t="s">
        <v>767</v>
      </c>
      <c r="W905" s="1" t="s">
        <v>1409</v>
      </c>
      <c r="X905" s="1" t="s">
        <v>52</v>
      </c>
      <c r="Y905" s="3">
        <v>44484</v>
      </c>
      <c r="Z905" s="1">
        <v>2021</v>
      </c>
      <c r="AA905" s="2">
        <v>367045.05</v>
      </c>
      <c r="AB905" s="2"/>
      <c r="AC905" s="2">
        <v>62056.76</v>
      </c>
      <c r="AD905" s="30">
        <v>2</v>
      </c>
      <c r="AE905" s="1">
        <v>1</v>
      </c>
      <c r="AG905" s="1" t="s">
        <v>106</v>
      </c>
      <c r="AH905" s="1" t="s">
        <v>105</v>
      </c>
      <c r="AI905" s="2">
        <v>0</v>
      </c>
      <c r="AK905" s="1" t="s">
        <v>1408</v>
      </c>
      <c r="AV905" s="2"/>
      <c r="AW905" s="2"/>
      <c r="AX905" s="2"/>
      <c r="BA905" s="2"/>
    </row>
    <row r="906" spans="1:53" ht="15" customHeight="1" thickBot="1" x14ac:dyDescent="0.25">
      <c r="A906" s="1" t="s">
        <v>19</v>
      </c>
      <c r="B906" s="5" t="s">
        <v>109</v>
      </c>
      <c r="C906" s="1" t="s">
        <v>37</v>
      </c>
      <c r="D906" s="24" t="s">
        <v>211</v>
      </c>
      <c r="E906" s="24" t="s">
        <v>35</v>
      </c>
      <c r="F906" s="1" t="s">
        <v>260</v>
      </c>
      <c r="G906" s="24" t="s">
        <v>259</v>
      </c>
      <c r="H906" s="1" t="s">
        <v>130</v>
      </c>
      <c r="I906" s="1" t="s">
        <v>1407</v>
      </c>
      <c r="J906" s="1" t="s">
        <v>316</v>
      </c>
      <c r="K906" s="1" t="s">
        <v>1405</v>
      </c>
      <c r="P906" s="1" t="s">
        <v>1406</v>
      </c>
      <c r="Q906" s="1" t="s">
        <v>780</v>
      </c>
      <c r="R906" s="1" t="s">
        <v>779</v>
      </c>
      <c r="S906" s="1" t="s">
        <v>778</v>
      </c>
      <c r="T906" s="1" t="s">
        <v>777</v>
      </c>
      <c r="U906" s="1">
        <v>2</v>
      </c>
      <c r="V906" s="1" t="s">
        <v>767</v>
      </c>
      <c r="W906" s="1" t="s">
        <v>1405</v>
      </c>
      <c r="X906" s="1" t="s">
        <v>304</v>
      </c>
      <c r="Y906" s="3">
        <v>45069</v>
      </c>
      <c r="Z906" s="1">
        <v>2023</v>
      </c>
      <c r="AA906" s="2">
        <v>161970.72</v>
      </c>
      <c r="AB906" s="2"/>
      <c r="AC906" s="2">
        <v>31295.61</v>
      </c>
      <c r="AD906" s="30">
        <v>2</v>
      </c>
      <c r="AE906" s="1">
        <v>1</v>
      </c>
      <c r="AG906" s="1" t="s">
        <v>106</v>
      </c>
      <c r="AH906" s="1" t="s">
        <v>1325</v>
      </c>
      <c r="AI906" s="2">
        <v>0</v>
      </c>
      <c r="AK906" s="1"/>
      <c r="AV906" s="2"/>
      <c r="AW906" s="2"/>
      <c r="AX906" s="2"/>
      <c r="BA906" s="2"/>
    </row>
    <row r="907" spans="1:53" ht="15" customHeight="1" thickBot="1" x14ac:dyDescent="0.25">
      <c r="A907" s="1" t="s">
        <v>19</v>
      </c>
      <c r="B907" s="5" t="s">
        <v>109</v>
      </c>
      <c r="C907" s="1" t="s">
        <v>37</v>
      </c>
      <c r="D907" s="24" t="s">
        <v>211</v>
      </c>
      <c r="E907" s="24" t="s">
        <v>35</v>
      </c>
      <c r="F907" s="1" t="s">
        <v>260</v>
      </c>
      <c r="G907" s="24" t="s">
        <v>259</v>
      </c>
      <c r="H907" s="1" t="s">
        <v>130</v>
      </c>
      <c r="I907" s="1" t="s">
        <v>1404</v>
      </c>
      <c r="J907" s="1" t="s">
        <v>316</v>
      </c>
      <c r="K907" s="1" t="s">
        <v>1403</v>
      </c>
      <c r="L907" s="1" t="s">
        <v>1401</v>
      </c>
      <c r="P907" s="1" t="s">
        <v>1402</v>
      </c>
      <c r="Q907" s="1" t="s">
        <v>27</v>
      </c>
      <c r="R907" s="1" t="s">
        <v>26</v>
      </c>
      <c r="S907" s="1" t="s">
        <v>810</v>
      </c>
      <c r="T907" s="1" t="s">
        <v>809</v>
      </c>
      <c r="U907" s="1">
        <v>1</v>
      </c>
      <c r="V907" s="1" t="s">
        <v>767</v>
      </c>
      <c r="W907" s="1" t="s">
        <v>1401</v>
      </c>
      <c r="X907" s="1" t="s">
        <v>667</v>
      </c>
      <c r="Y907" s="3">
        <v>43825</v>
      </c>
      <c r="Z907" s="1">
        <v>2019</v>
      </c>
      <c r="AA907" s="2">
        <v>46519.17</v>
      </c>
      <c r="AB907" s="2"/>
      <c r="AC907" s="2">
        <v>17455.75</v>
      </c>
      <c r="AD907" s="30">
        <v>2.5</v>
      </c>
      <c r="AE907" s="1">
        <v>0.5</v>
      </c>
      <c r="AG907" s="1" t="s">
        <v>21</v>
      </c>
      <c r="AI907" s="2">
        <v>17455.75</v>
      </c>
      <c r="AK907" s="1"/>
      <c r="AL907" s="1" t="s">
        <v>1400</v>
      </c>
      <c r="AV907" s="2"/>
      <c r="AW907" s="2"/>
      <c r="AX907" s="2"/>
      <c r="BA907" s="2"/>
    </row>
    <row r="908" spans="1:53" ht="15" customHeight="1" thickBot="1" x14ac:dyDescent="0.25">
      <c r="A908" s="1" t="s">
        <v>19</v>
      </c>
      <c r="B908" s="5" t="s">
        <v>109</v>
      </c>
      <c r="C908" s="1" t="s">
        <v>37</v>
      </c>
      <c r="D908" s="24" t="s">
        <v>211</v>
      </c>
      <c r="E908" s="24" t="s">
        <v>35</v>
      </c>
      <c r="F908" s="1" t="s">
        <v>260</v>
      </c>
      <c r="G908" s="24" t="s">
        <v>259</v>
      </c>
      <c r="H908" s="1" t="s">
        <v>130</v>
      </c>
      <c r="I908" s="1" t="s">
        <v>1399</v>
      </c>
      <c r="J908" s="1" t="s">
        <v>316</v>
      </c>
      <c r="K908" s="1" t="s">
        <v>1398</v>
      </c>
      <c r="L908" s="1" t="s">
        <v>1394</v>
      </c>
      <c r="P908" s="1" t="s">
        <v>1397</v>
      </c>
      <c r="Q908" s="1" t="s">
        <v>771</v>
      </c>
      <c r="R908" s="1" t="s">
        <v>770</v>
      </c>
      <c r="S908" s="1" t="s">
        <v>1396</v>
      </c>
      <c r="T908" s="1" t="s">
        <v>1395</v>
      </c>
      <c r="U908" s="1">
        <v>2</v>
      </c>
      <c r="V908" s="1" t="s">
        <v>767</v>
      </c>
      <c r="W908" s="1" t="s">
        <v>1394</v>
      </c>
      <c r="X908" s="1" t="s">
        <v>319</v>
      </c>
      <c r="Y908" s="3">
        <v>44127</v>
      </c>
      <c r="Z908" s="1">
        <v>2020</v>
      </c>
      <c r="AA908" s="2">
        <v>332492.43</v>
      </c>
      <c r="AB908" s="2"/>
      <c r="AC908" s="2">
        <v>70873.86</v>
      </c>
      <c r="AD908" s="30">
        <v>3</v>
      </c>
      <c r="AE908" s="1">
        <v>2</v>
      </c>
      <c r="AG908" s="1" t="s">
        <v>21</v>
      </c>
      <c r="AH908" s="1" t="s">
        <v>1079</v>
      </c>
      <c r="AI908" s="2">
        <v>63741.270000000004</v>
      </c>
      <c r="AK908" s="1" t="s">
        <v>1393</v>
      </c>
      <c r="AV908" s="2"/>
      <c r="AW908" s="2"/>
      <c r="AX908" s="2"/>
      <c r="BA908" s="2"/>
    </row>
    <row r="909" spans="1:53" ht="15" customHeight="1" thickBot="1" x14ac:dyDescent="0.25">
      <c r="A909" s="1" t="s">
        <v>19</v>
      </c>
      <c r="B909" s="5" t="s">
        <v>109</v>
      </c>
      <c r="C909" s="1" t="s">
        <v>37</v>
      </c>
      <c r="D909" s="24" t="s">
        <v>211</v>
      </c>
      <c r="E909" s="24" t="s">
        <v>35</v>
      </c>
      <c r="F909" s="1" t="s">
        <v>260</v>
      </c>
      <c r="G909" s="24" t="s">
        <v>259</v>
      </c>
      <c r="H909" s="1" t="s">
        <v>130</v>
      </c>
      <c r="I909" s="1" t="s">
        <v>1392</v>
      </c>
      <c r="J909" s="1" t="s">
        <v>316</v>
      </c>
      <c r="K909" s="1" t="s">
        <v>1391</v>
      </c>
      <c r="P909" s="1" t="s">
        <v>1390</v>
      </c>
      <c r="Q909" s="1" t="s">
        <v>27</v>
      </c>
      <c r="R909" s="1" t="s">
        <v>26</v>
      </c>
      <c r="S909" s="1" t="s">
        <v>810</v>
      </c>
      <c r="T909" s="1" t="s">
        <v>809</v>
      </c>
      <c r="U909" s="1">
        <v>1</v>
      </c>
      <c r="V909" s="1" t="s">
        <v>767</v>
      </c>
      <c r="W909" s="1" t="s">
        <v>1389</v>
      </c>
      <c r="X909" s="1" t="s">
        <v>327</v>
      </c>
      <c r="Y909" s="3">
        <v>44993</v>
      </c>
      <c r="Z909" s="1">
        <v>2023</v>
      </c>
      <c r="AA909" s="2">
        <v>106681.17</v>
      </c>
      <c r="AB909" s="2"/>
      <c r="AC909" s="2">
        <v>39004.35</v>
      </c>
      <c r="AD909" s="30">
        <v>6</v>
      </c>
      <c r="AG909" s="1" t="s">
        <v>106</v>
      </c>
      <c r="AH909" s="1" t="s">
        <v>310</v>
      </c>
      <c r="AI909" s="2">
        <v>0</v>
      </c>
      <c r="AK909" s="1"/>
      <c r="AV909" s="2"/>
      <c r="AW909" s="2"/>
      <c r="AX909" s="2"/>
      <c r="BA909" s="2"/>
    </row>
    <row r="910" spans="1:53" ht="15" customHeight="1" thickBot="1" x14ac:dyDescent="0.25">
      <c r="A910" s="1" t="s">
        <v>19</v>
      </c>
      <c r="B910" s="5" t="s">
        <v>109</v>
      </c>
      <c r="C910" s="1" t="s">
        <v>37</v>
      </c>
      <c r="D910" s="24" t="s">
        <v>211</v>
      </c>
      <c r="E910" s="24" t="s">
        <v>35</v>
      </c>
      <c r="F910" s="1" t="s">
        <v>260</v>
      </c>
      <c r="G910" s="24" t="s">
        <v>259</v>
      </c>
      <c r="H910" s="1" t="s">
        <v>130</v>
      </c>
      <c r="I910" s="1" t="s">
        <v>1388</v>
      </c>
      <c r="J910" s="1" t="s">
        <v>316</v>
      </c>
      <c r="K910" s="1" t="s">
        <v>1386</v>
      </c>
      <c r="P910" s="1" t="s">
        <v>1387</v>
      </c>
      <c r="Q910" s="1" t="s">
        <v>780</v>
      </c>
      <c r="R910" s="1" t="s">
        <v>941</v>
      </c>
      <c r="S910" s="1" t="s">
        <v>940</v>
      </c>
      <c r="T910" s="1" t="s">
        <v>939</v>
      </c>
      <c r="U910" s="1">
        <v>2</v>
      </c>
      <c r="V910" s="1" t="s">
        <v>767</v>
      </c>
      <c r="W910" s="1" t="s">
        <v>1386</v>
      </c>
      <c r="X910" s="1" t="s">
        <v>304</v>
      </c>
      <c r="Y910" s="3">
        <v>45069</v>
      </c>
      <c r="Z910" s="1">
        <v>2023</v>
      </c>
      <c r="AA910" s="2">
        <v>317492.06</v>
      </c>
      <c r="AB910" s="2"/>
      <c r="AC910" s="2">
        <v>39000</v>
      </c>
      <c r="AD910" s="30">
        <v>1</v>
      </c>
      <c r="AE910" s="1">
        <v>1</v>
      </c>
      <c r="AG910" s="1" t="s">
        <v>106</v>
      </c>
      <c r="AH910" s="1" t="s">
        <v>1325</v>
      </c>
      <c r="AI910" s="2">
        <v>0</v>
      </c>
      <c r="AK910" s="1"/>
      <c r="AV910" s="2"/>
      <c r="AW910" s="2"/>
      <c r="AX910" s="2"/>
      <c r="BA910" s="2"/>
    </row>
    <row r="911" spans="1:53" ht="15" customHeight="1" thickBot="1" x14ac:dyDescent="0.25">
      <c r="A911" s="1" t="s">
        <v>19</v>
      </c>
      <c r="B911" s="5" t="s">
        <v>109</v>
      </c>
      <c r="C911" s="1" t="s">
        <v>37</v>
      </c>
      <c r="D911" s="24" t="s">
        <v>211</v>
      </c>
      <c r="E911" s="24" t="s">
        <v>35</v>
      </c>
      <c r="F911" s="1" t="s">
        <v>260</v>
      </c>
      <c r="G911" s="24" t="s">
        <v>259</v>
      </c>
      <c r="H911" s="1" t="s">
        <v>130</v>
      </c>
      <c r="I911" s="1" t="s">
        <v>1385</v>
      </c>
      <c r="J911" s="1" t="s">
        <v>316</v>
      </c>
      <c r="K911" s="1" t="s">
        <v>1384</v>
      </c>
      <c r="L911" s="1" t="s">
        <v>1382</v>
      </c>
      <c r="P911" s="1" t="s">
        <v>1383</v>
      </c>
      <c r="Q911" s="1" t="s">
        <v>771</v>
      </c>
      <c r="R911" s="1" t="s">
        <v>770</v>
      </c>
      <c r="S911" s="1" t="s">
        <v>769</v>
      </c>
      <c r="T911" s="1" t="s">
        <v>768</v>
      </c>
      <c r="U911" s="1">
        <v>1</v>
      </c>
      <c r="V911" s="1" t="s">
        <v>767</v>
      </c>
      <c r="W911" s="1" t="s">
        <v>1382</v>
      </c>
      <c r="X911" s="1" t="s">
        <v>327</v>
      </c>
      <c r="Y911" s="3">
        <v>43825</v>
      </c>
      <c r="Z911" s="1">
        <v>2019</v>
      </c>
      <c r="AA911" s="2">
        <v>178397.06</v>
      </c>
      <c r="AB911" s="2"/>
      <c r="AC911" s="2">
        <v>60519.12</v>
      </c>
      <c r="AD911" s="30">
        <v>1</v>
      </c>
      <c r="AE911" s="1">
        <v>1</v>
      </c>
      <c r="AG911" s="1" t="s">
        <v>21</v>
      </c>
      <c r="AH911" s="1" t="s">
        <v>1079</v>
      </c>
      <c r="AI911" s="2">
        <v>59891.7</v>
      </c>
      <c r="AK911" s="1"/>
      <c r="AV911" s="2"/>
      <c r="AW911" s="2"/>
      <c r="AX911" s="2"/>
      <c r="BA911" s="2"/>
    </row>
    <row r="912" spans="1:53" ht="15" customHeight="1" thickBot="1" x14ac:dyDescent="0.25">
      <c r="A912" s="1" t="s">
        <v>19</v>
      </c>
      <c r="B912" s="5" t="s">
        <v>109</v>
      </c>
      <c r="C912" s="1" t="s">
        <v>37</v>
      </c>
      <c r="D912" s="24" t="s">
        <v>211</v>
      </c>
      <c r="E912" s="24" t="s">
        <v>35</v>
      </c>
      <c r="F912" s="1" t="s">
        <v>260</v>
      </c>
      <c r="G912" s="24" t="s">
        <v>259</v>
      </c>
      <c r="H912" s="1" t="s">
        <v>130</v>
      </c>
      <c r="I912" s="1" t="s">
        <v>1381</v>
      </c>
      <c r="J912" s="1" t="s">
        <v>316</v>
      </c>
      <c r="K912" s="1" t="s">
        <v>1380</v>
      </c>
      <c r="L912" s="1" t="s">
        <v>1379</v>
      </c>
      <c r="P912" s="1" t="s">
        <v>954</v>
      </c>
      <c r="Q912" s="1" t="s">
        <v>771</v>
      </c>
      <c r="R912" s="1" t="s">
        <v>770</v>
      </c>
      <c r="S912" s="1" t="s">
        <v>769</v>
      </c>
      <c r="T912" s="1" t="s">
        <v>768</v>
      </c>
      <c r="U912" s="1">
        <v>1</v>
      </c>
      <c r="V912" s="1" t="s">
        <v>767</v>
      </c>
      <c r="W912" s="1" t="s">
        <v>1379</v>
      </c>
      <c r="X912" s="1" t="s">
        <v>319</v>
      </c>
      <c r="Y912" s="3">
        <v>43825</v>
      </c>
      <c r="Z912" s="1">
        <v>2019</v>
      </c>
      <c r="AA912" s="2">
        <v>424565.99</v>
      </c>
      <c r="AB912" s="2"/>
      <c r="AC912" s="2">
        <v>127369.8</v>
      </c>
      <c r="AD912" s="30">
        <v>3</v>
      </c>
      <c r="AG912" s="1" t="s">
        <v>21</v>
      </c>
      <c r="AH912" s="1" t="s">
        <v>1115</v>
      </c>
      <c r="AI912" s="2">
        <v>127369.8</v>
      </c>
      <c r="AK912" s="1"/>
      <c r="AV912" s="2"/>
      <c r="AW912" s="2"/>
      <c r="AX912" s="2"/>
      <c r="BA912" s="2"/>
    </row>
    <row r="913" spans="1:53" ht="15" customHeight="1" thickBot="1" x14ac:dyDescent="0.25">
      <c r="A913" s="1" t="s">
        <v>19</v>
      </c>
      <c r="B913" s="5" t="s">
        <v>109</v>
      </c>
      <c r="C913" s="1" t="s">
        <v>37</v>
      </c>
      <c r="D913" s="24" t="s">
        <v>211</v>
      </c>
      <c r="E913" s="24" t="s">
        <v>35</v>
      </c>
      <c r="F913" s="1" t="s">
        <v>260</v>
      </c>
      <c r="G913" s="24" t="s">
        <v>259</v>
      </c>
      <c r="H913" s="1" t="s">
        <v>130</v>
      </c>
      <c r="I913" s="1" t="s">
        <v>1378</v>
      </c>
      <c r="J913" s="1" t="s">
        <v>316</v>
      </c>
      <c r="K913" s="1" t="s">
        <v>1377</v>
      </c>
      <c r="L913" s="1" t="s">
        <v>1376</v>
      </c>
      <c r="P913" s="1" t="s">
        <v>1375</v>
      </c>
      <c r="Q913" s="1" t="s">
        <v>788</v>
      </c>
      <c r="R913" s="1" t="s">
        <v>787</v>
      </c>
      <c r="S913" s="1" t="s">
        <v>786</v>
      </c>
      <c r="T913" s="1" t="s">
        <v>785</v>
      </c>
      <c r="U913" s="1">
        <v>1</v>
      </c>
      <c r="V913" s="24" t="s">
        <v>767</v>
      </c>
      <c r="W913" s="1" t="s">
        <v>1374</v>
      </c>
      <c r="X913" s="1" t="s">
        <v>52</v>
      </c>
      <c r="Y913" s="3">
        <v>43825</v>
      </c>
      <c r="Z913" s="1">
        <v>2019</v>
      </c>
      <c r="AA913" s="2">
        <v>156221.6</v>
      </c>
      <c r="AB913" s="2"/>
      <c r="AC913" s="2">
        <v>70299.72</v>
      </c>
      <c r="AD913" s="30">
        <v>0</v>
      </c>
      <c r="AG913" s="1" t="s">
        <v>21</v>
      </c>
      <c r="AI913" s="2">
        <v>70299.72</v>
      </c>
      <c r="AK913" s="1"/>
      <c r="AL913" s="1" t="s">
        <v>1373</v>
      </c>
      <c r="AV913" s="2"/>
      <c r="AW913" s="2"/>
      <c r="AX913" s="2"/>
      <c r="BA913" s="2"/>
    </row>
    <row r="914" spans="1:53" ht="15" customHeight="1" thickBot="1" x14ac:dyDescent="0.25">
      <c r="A914" s="1" t="s">
        <v>19</v>
      </c>
      <c r="B914" s="5" t="s">
        <v>109</v>
      </c>
      <c r="C914" s="1" t="s">
        <v>37</v>
      </c>
      <c r="D914" s="24" t="s">
        <v>211</v>
      </c>
      <c r="E914" s="24" t="s">
        <v>35</v>
      </c>
      <c r="F914" s="1" t="s">
        <v>260</v>
      </c>
      <c r="G914" s="24" t="s">
        <v>259</v>
      </c>
      <c r="H914" s="1" t="s">
        <v>130</v>
      </c>
      <c r="I914" s="1" t="s">
        <v>1372</v>
      </c>
      <c r="J914" s="1" t="s">
        <v>316</v>
      </c>
      <c r="K914" s="1" t="s">
        <v>1354</v>
      </c>
      <c r="L914" s="1" t="s">
        <v>1371</v>
      </c>
      <c r="M914" s="1" t="s">
        <v>1370</v>
      </c>
      <c r="P914" s="1" t="s">
        <v>1172</v>
      </c>
      <c r="Q914" s="1" t="s">
        <v>771</v>
      </c>
      <c r="R914" s="1" t="s">
        <v>897</v>
      </c>
      <c r="S914" s="1" t="s">
        <v>922</v>
      </c>
      <c r="T914" s="1" t="s">
        <v>921</v>
      </c>
      <c r="U914" s="1">
        <v>2</v>
      </c>
      <c r="V914" s="1" t="s">
        <v>767</v>
      </c>
      <c r="W914" s="1" t="s">
        <v>1354</v>
      </c>
      <c r="X914" s="1" t="s">
        <v>693</v>
      </c>
      <c r="Y914" s="3">
        <v>43825</v>
      </c>
      <c r="Z914" s="1">
        <v>2019</v>
      </c>
      <c r="AA914" s="2">
        <v>499788.64</v>
      </c>
      <c r="AB914" s="2"/>
      <c r="AC914" s="2">
        <v>78000</v>
      </c>
      <c r="AD914" s="30">
        <v>2</v>
      </c>
      <c r="AE914" s="1">
        <v>1</v>
      </c>
      <c r="AG914" s="1" t="s">
        <v>21</v>
      </c>
      <c r="AH914" s="1" t="s">
        <v>1079</v>
      </c>
      <c r="AI914" s="2">
        <v>33000.92</v>
      </c>
      <c r="AK914" s="1"/>
      <c r="AV914" s="2"/>
      <c r="AW914" s="2"/>
      <c r="AX914" s="2"/>
      <c r="BA914" s="2"/>
    </row>
    <row r="915" spans="1:53" ht="15" customHeight="1" thickBot="1" x14ac:dyDescent="0.25">
      <c r="A915" s="1" t="s">
        <v>19</v>
      </c>
      <c r="B915" s="5" t="s">
        <v>109</v>
      </c>
      <c r="C915" s="1" t="s">
        <v>37</v>
      </c>
      <c r="D915" s="24" t="s">
        <v>211</v>
      </c>
      <c r="E915" s="24" t="s">
        <v>35</v>
      </c>
      <c r="F915" s="1" t="s">
        <v>260</v>
      </c>
      <c r="G915" s="24" t="s">
        <v>259</v>
      </c>
      <c r="H915" s="1" t="s">
        <v>130</v>
      </c>
      <c r="I915" s="1" t="s">
        <v>1369</v>
      </c>
      <c r="J915" s="1" t="s">
        <v>316</v>
      </c>
      <c r="K915" s="1" t="s">
        <v>1365</v>
      </c>
      <c r="P915" s="1" t="s">
        <v>1368</v>
      </c>
      <c r="Q915" s="1" t="s">
        <v>780</v>
      </c>
      <c r="R915" s="1" t="s">
        <v>941</v>
      </c>
      <c r="S915" s="1" t="s">
        <v>1367</v>
      </c>
      <c r="T915" s="1" t="s">
        <v>1366</v>
      </c>
      <c r="U915" s="1">
        <v>2</v>
      </c>
      <c r="V915" s="1" t="s">
        <v>767</v>
      </c>
      <c r="W915" s="1" t="s">
        <v>1365</v>
      </c>
      <c r="X915" s="1" t="s">
        <v>319</v>
      </c>
      <c r="Y915" s="3">
        <v>45098</v>
      </c>
      <c r="Z915" s="1">
        <v>2023</v>
      </c>
      <c r="AA915" s="2">
        <v>65443</v>
      </c>
      <c r="AB915" s="2"/>
      <c r="AC915" s="2">
        <v>9816.4500000000007</v>
      </c>
      <c r="AD915" s="30">
        <v>3</v>
      </c>
      <c r="AG915" s="1" t="s">
        <v>106</v>
      </c>
      <c r="AH915" s="1" t="s">
        <v>1325</v>
      </c>
      <c r="AI915" s="2">
        <v>0</v>
      </c>
      <c r="AK915" s="1"/>
      <c r="AL915" s="1" t="s">
        <v>1364</v>
      </c>
      <c r="AV915" s="2"/>
      <c r="AW915" s="2"/>
      <c r="AX915" s="2"/>
      <c r="BA915" s="2"/>
    </row>
    <row r="916" spans="1:53" ht="15" customHeight="1" thickBot="1" x14ac:dyDescent="0.25">
      <c r="A916" s="1" t="s">
        <v>19</v>
      </c>
      <c r="B916" s="5" t="s">
        <v>109</v>
      </c>
      <c r="C916" s="1" t="s">
        <v>37</v>
      </c>
      <c r="D916" s="24" t="s">
        <v>211</v>
      </c>
      <c r="E916" s="24" t="s">
        <v>35</v>
      </c>
      <c r="F916" s="1" t="s">
        <v>260</v>
      </c>
      <c r="G916" s="24" t="s">
        <v>259</v>
      </c>
      <c r="H916" s="1" t="s">
        <v>130</v>
      </c>
      <c r="I916" s="1" t="s">
        <v>1363</v>
      </c>
      <c r="J916" s="1" t="s">
        <v>316</v>
      </c>
      <c r="K916" s="1" t="s">
        <v>1333</v>
      </c>
      <c r="L916" s="1" t="s">
        <v>1362</v>
      </c>
      <c r="P916" s="1" t="s">
        <v>1124</v>
      </c>
      <c r="Q916" s="1" t="s">
        <v>771</v>
      </c>
      <c r="R916" s="1" t="s">
        <v>770</v>
      </c>
      <c r="S916" s="1" t="s">
        <v>769</v>
      </c>
      <c r="T916" s="1" t="s">
        <v>768</v>
      </c>
      <c r="U916" s="1">
        <v>1</v>
      </c>
      <c r="V916" s="24" t="s">
        <v>767</v>
      </c>
      <c r="W916" s="1" t="s">
        <v>1346</v>
      </c>
      <c r="X916" s="1" t="s">
        <v>464</v>
      </c>
      <c r="Y916" s="3">
        <v>43825</v>
      </c>
      <c r="Z916" s="1">
        <v>2019</v>
      </c>
      <c r="AA916" s="2">
        <v>462826.93</v>
      </c>
      <c r="AB916" s="2"/>
      <c r="AC916" s="2">
        <v>78831.81</v>
      </c>
      <c r="AD916" s="30">
        <v>2</v>
      </c>
      <c r="AE916" s="1">
        <v>2</v>
      </c>
      <c r="AG916" s="1" t="s">
        <v>21</v>
      </c>
      <c r="AH916" s="1" t="s">
        <v>1079</v>
      </c>
      <c r="AI916" s="2">
        <v>72417.460000000006</v>
      </c>
      <c r="AK916" s="1"/>
      <c r="AV916" s="2"/>
      <c r="AW916" s="2"/>
      <c r="AX916" s="2"/>
      <c r="BA916" s="2"/>
    </row>
    <row r="917" spans="1:53" ht="15" customHeight="1" thickBot="1" x14ac:dyDescent="0.25">
      <c r="A917" s="1" t="s">
        <v>19</v>
      </c>
      <c r="B917" s="5" t="s">
        <v>109</v>
      </c>
      <c r="C917" s="1" t="s">
        <v>37</v>
      </c>
      <c r="D917" s="24" t="s">
        <v>211</v>
      </c>
      <c r="E917" s="24" t="s">
        <v>35</v>
      </c>
      <c r="F917" s="1" t="s">
        <v>260</v>
      </c>
      <c r="G917" s="24" t="s">
        <v>259</v>
      </c>
      <c r="H917" s="1" t="s">
        <v>130</v>
      </c>
      <c r="I917" s="1" t="s">
        <v>1361</v>
      </c>
      <c r="J917" s="1" t="s">
        <v>316</v>
      </c>
      <c r="K917" s="1" t="s">
        <v>1356</v>
      </c>
      <c r="L917" s="1" t="s">
        <v>1356</v>
      </c>
      <c r="M917" s="1" t="s">
        <v>1360</v>
      </c>
      <c r="P917" s="1" t="s">
        <v>1359</v>
      </c>
      <c r="Q917" s="1" t="s">
        <v>780</v>
      </c>
      <c r="R917" s="1" t="s">
        <v>941</v>
      </c>
      <c r="S917" s="1" t="s">
        <v>1358</v>
      </c>
      <c r="T917" s="1" t="s">
        <v>1357</v>
      </c>
      <c r="U917" s="1">
        <v>2</v>
      </c>
      <c r="V917" s="24" t="s">
        <v>767</v>
      </c>
      <c r="W917" s="1" t="s">
        <v>1356</v>
      </c>
      <c r="X917" s="1" t="s">
        <v>319</v>
      </c>
      <c r="Y917" s="3">
        <v>43825</v>
      </c>
      <c r="Z917" s="1">
        <v>2019</v>
      </c>
      <c r="AA917" s="2">
        <v>78574.37</v>
      </c>
      <c r="AB917" s="2"/>
      <c r="AC917" s="2">
        <v>11786.16</v>
      </c>
      <c r="AD917" s="30">
        <v>1</v>
      </c>
      <c r="AG917" s="1" t="s">
        <v>21</v>
      </c>
      <c r="AI917" s="2">
        <v>11786.16</v>
      </c>
      <c r="AK917" s="1"/>
      <c r="AV917" s="2"/>
      <c r="AW917" s="2"/>
      <c r="AX917" s="2"/>
      <c r="BA917" s="2"/>
    </row>
    <row r="918" spans="1:53" ht="15" customHeight="1" thickBot="1" x14ac:dyDescent="0.3">
      <c r="A918" s="1" t="s">
        <v>19</v>
      </c>
      <c r="B918" s="5" t="s">
        <v>109</v>
      </c>
      <c r="C918" s="1" t="s">
        <v>37</v>
      </c>
      <c r="D918" s="24" t="s">
        <v>211</v>
      </c>
      <c r="E918" s="24" t="s">
        <v>35</v>
      </c>
      <c r="F918" s="1" t="s">
        <v>260</v>
      </c>
      <c r="G918" s="24" t="s">
        <v>259</v>
      </c>
      <c r="H918" s="1" t="s">
        <v>130</v>
      </c>
      <c r="I918" s="1" t="s">
        <v>1355</v>
      </c>
      <c r="J918" s="1" t="s">
        <v>316</v>
      </c>
      <c r="K918" s="1" t="s">
        <v>1354</v>
      </c>
      <c r="P918" s="1" t="s">
        <v>1353</v>
      </c>
      <c r="Q918" s="1" t="s">
        <v>771</v>
      </c>
      <c r="R918" s="1" t="s">
        <v>897</v>
      </c>
      <c r="S918" s="10" t="s">
        <v>896</v>
      </c>
      <c r="T918" s="1" t="s">
        <v>895</v>
      </c>
      <c r="U918" s="1">
        <v>2</v>
      </c>
      <c r="V918" s="1" t="s">
        <v>767</v>
      </c>
      <c r="W918" s="1" t="s">
        <v>1352</v>
      </c>
      <c r="X918" s="1" t="s">
        <v>464</v>
      </c>
      <c r="Y918" s="3">
        <v>44881</v>
      </c>
      <c r="Z918" s="1">
        <v>2022</v>
      </c>
      <c r="AA918" s="2">
        <v>174852.66</v>
      </c>
      <c r="AB918" s="2"/>
      <c r="AC918" s="2">
        <v>33227.9</v>
      </c>
      <c r="AD918" s="30">
        <v>1</v>
      </c>
      <c r="AE918" s="1">
        <v>1</v>
      </c>
      <c r="AG918" s="1" t="s">
        <v>106</v>
      </c>
      <c r="AH918" s="1" t="s">
        <v>105</v>
      </c>
      <c r="AI918" s="2">
        <v>0</v>
      </c>
      <c r="AK918" s="1"/>
      <c r="AV918" s="2"/>
      <c r="AW918" s="2"/>
      <c r="AX918" s="2"/>
      <c r="BA918" s="2"/>
    </row>
    <row r="919" spans="1:53" ht="15" customHeight="1" thickBot="1" x14ac:dyDescent="0.25">
      <c r="A919" s="1" t="s">
        <v>19</v>
      </c>
      <c r="B919" s="5" t="s">
        <v>109</v>
      </c>
      <c r="C919" s="1" t="s">
        <v>37</v>
      </c>
      <c r="D919" s="24" t="s">
        <v>211</v>
      </c>
      <c r="E919" s="24" t="s">
        <v>35</v>
      </c>
      <c r="F919" s="1" t="s">
        <v>260</v>
      </c>
      <c r="G919" s="24" t="s">
        <v>259</v>
      </c>
      <c r="H919" s="1" t="s">
        <v>130</v>
      </c>
      <c r="I919" s="1" t="s">
        <v>1351</v>
      </c>
      <c r="J919" s="1" t="s">
        <v>316</v>
      </c>
      <c r="K919" s="1" t="s">
        <v>1349</v>
      </c>
      <c r="P919" s="1" t="s">
        <v>1350</v>
      </c>
      <c r="Q919" s="1" t="s">
        <v>780</v>
      </c>
      <c r="R919" s="1" t="s">
        <v>941</v>
      </c>
      <c r="S919" s="1" t="s">
        <v>940</v>
      </c>
      <c r="T919" s="1" t="s">
        <v>939</v>
      </c>
      <c r="U919" s="1">
        <v>2</v>
      </c>
      <c r="V919" s="1" t="s">
        <v>767</v>
      </c>
      <c r="W919" s="1" t="s">
        <v>1349</v>
      </c>
      <c r="X919" s="1" t="s">
        <v>319</v>
      </c>
      <c r="Y919" s="3">
        <v>45098</v>
      </c>
      <c r="Z919" s="1">
        <v>2023</v>
      </c>
      <c r="AA919" s="2">
        <v>70000</v>
      </c>
      <c r="AB919" s="2"/>
      <c r="AC919" s="2">
        <v>17500</v>
      </c>
      <c r="AD919" s="30">
        <v>1</v>
      </c>
      <c r="AG919" s="1" t="s">
        <v>106</v>
      </c>
      <c r="AH919" s="1" t="s">
        <v>1325</v>
      </c>
      <c r="AI919" s="2">
        <v>0</v>
      </c>
      <c r="AK919" s="1"/>
      <c r="AV919" s="2"/>
      <c r="AW919" s="2"/>
      <c r="AX919" s="2"/>
      <c r="BA919" s="2"/>
    </row>
    <row r="920" spans="1:53" ht="15" customHeight="1" thickBot="1" x14ac:dyDescent="0.25">
      <c r="A920" s="1" t="s">
        <v>19</v>
      </c>
      <c r="B920" s="5" t="s">
        <v>109</v>
      </c>
      <c r="C920" s="1" t="s">
        <v>37</v>
      </c>
      <c r="D920" s="24" t="s">
        <v>211</v>
      </c>
      <c r="E920" s="24" t="s">
        <v>35</v>
      </c>
      <c r="F920" s="1" t="s">
        <v>260</v>
      </c>
      <c r="G920" s="24" t="s">
        <v>259</v>
      </c>
      <c r="H920" s="1" t="s">
        <v>130</v>
      </c>
      <c r="I920" s="1" t="s">
        <v>1348</v>
      </c>
      <c r="J920" s="1" t="s">
        <v>316</v>
      </c>
      <c r="K920" s="1" t="s">
        <v>1347</v>
      </c>
      <c r="L920" s="1" t="s">
        <v>1333</v>
      </c>
      <c r="P920" s="1" t="s">
        <v>1238</v>
      </c>
      <c r="Q920" s="1" t="s">
        <v>771</v>
      </c>
      <c r="R920" s="1" t="s">
        <v>897</v>
      </c>
      <c r="S920" s="1" t="s">
        <v>922</v>
      </c>
      <c r="T920" s="1" t="s">
        <v>921</v>
      </c>
      <c r="U920" s="1">
        <v>2</v>
      </c>
      <c r="V920" s="24" t="s">
        <v>767</v>
      </c>
      <c r="W920" s="1" t="s">
        <v>1346</v>
      </c>
      <c r="X920" s="1" t="s">
        <v>464</v>
      </c>
      <c r="Y920" s="3">
        <v>43825</v>
      </c>
      <c r="Z920" s="1">
        <v>2019</v>
      </c>
      <c r="AA920" s="2">
        <v>499966.8</v>
      </c>
      <c r="AB920" s="2"/>
      <c r="AC920" s="2">
        <v>78000</v>
      </c>
      <c r="AD920" s="30">
        <v>2</v>
      </c>
      <c r="AE920" s="1">
        <v>1</v>
      </c>
      <c r="AG920" s="1" t="s">
        <v>21</v>
      </c>
      <c r="AH920" s="1" t="s">
        <v>1345</v>
      </c>
      <c r="AI920" s="2">
        <v>39000</v>
      </c>
      <c r="AK920" s="1"/>
      <c r="AV920" s="2"/>
      <c r="AW920" s="2"/>
      <c r="AX920" s="2"/>
      <c r="BA920" s="2"/>
    </row>
    <row r="921" spans="1:53" ht="15" customHeight="1" thickBot="1" x14ac:dyDescent="0.25">
      <c r="A921" s="1" t="s">
        <v>19</v>
      </c>
      <c r="B921" s="5" t="s">
        <v>109</v>
      </c>
      <c r="C921" s="1" t="s">
        <v>37</v>
      </c>
      <c r="D921" s="24" t="s">
        <v>211</v>
      </c>
      <c r="E921" s="24" t="s">
        <v>35</v>
      </c>
      <c r="F921" s="1" t="s">
        <v>260</v>
      </c>
      <c r="G921" s="24" t="s">
        <v>259</v>
      </c>
      <c r="H921" s="1" t="s">
        <v>130</v>
      </c>
      <c r="I921" s="1" t="s">
        <v>1344</v>
      </c>
      <c r="J921" s="1" t="s">
        <v>316</v>
      </c>
      <c r="K921" s="1" t="s">
        <v>1342</v>
      </c>
      <c r="L921" s="1" t="s">
        <v>1343</v>
      </c>
      <c r="P921" s="1" t="s">
        <v>1100</v>
      </c>
      <c r="Q921" s="1" t="s">
        <v>771</v>
      </c>
      <c r="R921" s="1" t="s">
        <v>897</v>
      </c>
      <c r="S921" s="1" t="s">
        <v>922</v>
      </c>
      <c r="T921" s="1" t="s">
        <v>921</v>
      </c>
      <c r="U921" s="1">
        <v>2</v>
      </c>
      <c r="V921" s="1" t="s">
        <v>767</v>
      </c>
      <c r="W921" s="1" t="s">
        <v>1342</v>
      </c>
      <c r="X921" s="1" t="s">
        <v>52</v>
      </c>
      <c r="Y921" s="3">
        <v>43825</v>
      </c>
      <c r="Z921" s="1">
        <v>2019</v>
      </c>
      <c r="AA921" s="2">
        <v>345875.05</v>
      </c>
      <c r="AB921" s="2"/>
      <c r="AC921" s="2">
        <v>65881.259999999995</v>
      </c>
      <c r="AD921" s="30">
        <v>3</v>
      </c>
      <c r="AG921" s="1" t="s">
        <v>21</v>
      </c>
      <c r="AH921" s="1" t="s">
        <v>1079</v>
      </c>
      <c r="AI921" s="2">
        <v>65509.77</v>
      </c>
      <c r="AK921" s="1"/>
      <c r="AL921" s="1" t="s">
        <v>1341</v>
      </c>
      <c r="AV921" s="2"/>
      <c r="AW921" s="2"/>
      <c r="AX921" s="2"/>
      <c r="BA921" s="2"/>
    </row>
    <row r="922" spans="1:53" ht="15" customHeight="1" thickBot="1" x14ac:dyDescent="0.25">
      <c r="A922" s="1" t="s">
        <v>19</v>
      </c>
      <c r="B922" s="5" t="s">
        <v>109</v>
      </c>
      <c r="C922" s="1" t="s">
        <v>37</v>
      </c>
      <c r="D922" s="24" t="s">
        <v>211</v>
      </c>
      <c r="E922" s="24" t="s">
        <v>35</v>
      </c>
      <c r="F922" s="1" t="s">
        <v>260</v>
      </c>
      <c r="G922" s="24" t="s">
        <v>259</v>
      </c>
      <c r="H922" s="1" t="s">
        <v>130</v>
      </c>
      <c r="I922" s="1" t="s">
        <v>1340</v>
      </c>
      <c r="J922" s="1" t="s">
        <v>316</v>
      </c>
      <c r="K922" s="1" t="s">
        <v>1336</v>
      </c>
      <c r="P922" s="1" t="s">
        <v>1339</v>
      </c>
      <c r="Q922" s="1" t="s">
        <v>780</v>
      </c>
      <c r="R922" s="1" t="s">
        <v>941</v>
      </c>
      <c r="S922" s="1" t="s">
        <v>1338</v>
      </c>
      <c r="T922" s="1" t="s">
        <v>1337</v>
      </c>
      <c r="U922" s="1">
        <v>2</v>
      </c>
      <c r="V922" s="24" t="s">
        <v>767</v>
      </c>
      <c r="W922" s="1" t="s">
        <v>1336</v>
      </c>
      <c r="X922" s="1" t="s">
        <v>319</v>
      </c>
      <c r="Y922" s="3">
        <v>45069</v>
      </c>
      <c r="Z922" s="1">
        <v>2023</v>
      </c>
      <c r="AA922" s="2">
        <v>73965.87</v>
      </c>
      <c r="AB922" s="2"/>
      <c r="AC922" s="2">
        <v>7396.59</v>
      </c>
      <c r="AD922" s="30">
        <v>0</v>
      </c>
      <c r="AG922" s="1" t="s">
        <v>106</v>
      </c>
      <c r="AH922" s="1" t="s">
        <v>1325</v>
      </c>
      <c r="AI922" s="2">
        <v>0</v>
      </c>
      <c r="AK922" s="1" t="s">
        <v>1335</v>
      </c>
      <c r="AV922" s="2"/>
      <c r="AW922" s="2"/>
      <c r="AX922" s="2"/>
      <c r="BA922" s="2"/>
    </row>
    <row r="923" spans="1:53" ht="15" customHeight="1" thickBot="1" x14ac:dyDescent="0.25">
      <c r="A923" s="1" t="s">
        <v>19</v>
      </c>
      <c r="B923" s="5" t="s">
        <v>109</v>
      </c>
      <c r="C923" s="1" t="s">
        <v>37</v>
      </c>
      <c r="D923" s="24" t="s">
        <v>211</v>
      </c>
      <c r="E923" s="24" t="s">
        <v>35</v>
      </c>
      <c r="F923" s="1" t="s">
        <v>260</v>
      </c>
      <c r="G923" s="24" t="s">
        <v>259</v>
      </c>
      <c r="H923" s="1" t="s">
        <v>130</v>
      </c>
      <c r="I923" s="1" t="s">
        <v>1334</v>
      </c>
      <c r="J923" s="1" t="s">
        <v>316</v>
      </c>
      <c r="K923" s="1" t="s">
        <v>1333</v>
      </c>
      <c r="L923" s="1" t="s">
        <v>1333</v>
      </c>
      <c r="P923" s="1" t="s">
        <v>1332</v>
      </c>
      <c r="Q923" s="1" t="s">
        <v>771</v>
      </c>
      <c r="R923" s="1" t="s">
        <v>897</v>
      </c>
      <c r="S923" s="1" t="s">
        <v>922</v>
      </c>
      <c r="T923" s="1" t="s">
        <v>921</v>
      </c>
      <c r="U923" s="1">
        <v>2</v>
      </c>
      <c r="V923" s="1" t="s">
        <v>767</v>
      </c>
      <c r="W923" s="1" t="s">
        <v>1331</v>
      </c>
      <c r="X923" s="1" t="s">
        <v>464</v>
      </c>
      <c r="Y923" s="3">
        <v>43825</v>
      </c>
      <c r="Z923" s="1">
        <v>2019</v>
      </c>
      <c r="AA923" s="2">
        <v>499691.02</v>
      </c>
      <c r="AB923" s="2"/>
      <c r="AC923" s="2">
        <v>63969.1</v>
      </c>
      <c r="AD923" s="30">
        <v>2</v>
      </c>
      <c r="AE923" s="1">
        <v>1</v>
      </c>
      <c r="AG923" s="1" t="s">
        <v>21</v>
      </c>
      <c r="AH923" s="1" t="s">
        <v>1115</v>
      </c>
      <c r="AI923" s="2">
        <v>63969.1</v>
      </c>
      <c r="AK923" s="1"/>
      <c r="AV923" s="2"/>
      <c r="AW923" s="2"/>
      <c r="AX923" s="2"/>
      <c r="BA923" s="2"/>
    </row>
    <row r="924" spans="1:53" ht="15" customHeight="1" thickBot="1" x14ac:dyDescent="0.25">
      <c r="A924" s="1" t="s">
        <v>19</v>
      </c>
      <c r="B924" s="5" t="s">
        <v>109</v>
      </c>
      <c r="C924" s="1" t="s">
        <v>37</v>
      </c>
      <c r="D924" s="24" t="s">
        <v>211</v>
      </c>
      <c r="E924" s="24" t="s">
        <v>35</v>
      </c>
      <c r="F924" s="1" t="s">
        <v>260</v>
      </c>
      <c r="G924" s="24" t="s">
        <v>259</v>
      </c>
      <c r="H924" s="1" t="s">
        <v>130</v>
      </c>
      <c r="I924" s="1" t="s">
        <v>1330</v>
      </c>
      <c r="J924" s="1" t="s">
        <v>316</v>
      </c>
      <c r="K924" s="1" t="s">
        <v>1326</v>
      </c>
      <c r="P924" s="1" t="s">
        <v>1329</v>
      </c>
      <c r="Q924" s="1" t="s">
        <v>780</v>
      </c>
      <c r="R924" s="1" t="s">
        <v>941</v>
      </c>
      <c r="S924" s="1" t="s">
        <v>1328</v>
      </c>
      <c r="T924" s="1" t="s">
        <v>1327</v>
      </c>
      <c r="U924" s="1">
        <v>2</v>
      </c>
      <c r="V924" s="1" t="s">
        <v>767</v>
      </c>
      <c r="W924" s="1" t="s">
        <v>1326</v>
      </c>
      <c r="X924" s="1" t="s">
        <v>304</v>
      </c>
      <c r="Y924" s="3">
        <v>45162</v>
      </c>
      <c r="Z924" s="1">
        <v>2023</v>
      </c>
      <c r="AA924" s="2">
        <v>145914.9</v>
      </c>
      <c r="AB924" s="2"/>
      <c r="AC924" s="2">
        <v>28887.24</v>
      </c>
      <c r="AD924" s="30">
        <v>1</v>
      </c>
      <c r="AE924" s="1">
        <v>1</v>
      </c>
      <c r="AG924" s="1" t="s">
        <v>106</v>
      </c>
      <c r="AH924" s="1" t="s">
        <v>1325</v>
      </c>
      <c r="AI924" s="2">
        <v>0</v>
      </c>
      <c r="AK924" s="1"/>
      <c r="AL924" s="1" t="s">
        <v>1324</v>
      </c>
      <c r="AV924" s="2"/>
      <c r="AW924" s="2"/>
      <c r="AX924" s="2"/>
      <c r="BA924" s="2"/>
    </row>
    <row r="925" spans="1:53" ht="15" customHeight="1" x14ac:dyDescent="0.2">
      <c r="A925" s="1" t="s">
        <v>19</v>
      </c>
      <c r="B925" s="5" t="s">
        <v>109</v>
      </c>
      <c r="C925" s="1" t="s">
        <v>37</v>
      </c>
      <c r="D925" s="24" t="s">
        <v>211</v>
      </c>
      <c r="E925" s="24" t="s">
        <v>35</v>
      </c>
      <c r="F925" s="1" t="s">
        <v>260</v>
      </c>
      <c r="G925" s="1" t="s">
        <v>259</v>
      </c>
      <c r="H925" s="1" t="s">
        <v>130</v>
      </c>
      <c r="I925" s="1" t="s">
        <v>1323</v>
      </c>
      <c r="J925" s="1" t="s">
        <v>316</v>
      </c>
      <c r="K925" s="1" t="s">
        <v>1321</v>
      </c>
      <c r="P925" s="1" t="s">
        <v>1322</v>
      </c>
      <c r="Q925" s="1" t="s">
        <v>27</v>
      </c>
      <c r="R925" s="1" t="s">
        <v>26</v>
      </c>
      <c r="S925" s="1" t="s">
        <v>810</v>
      </c>
      <c r="T925" s="1" t="s">
        <v>809</v>
      </c>
      <c r="U925" s="1">
        <v>1</v>
      </c>
      <c r="V925" s="1" t="s">
        <v>767</v>
      </c>
      <c r="W925" s="1" t="s">
        <v>1321</v>
      </c>
      <c r="X925" s="1" t="s">
        <v>52</v>
      </c>
      <c r="Y925" s="3">
        <v>44993</v>
      </c>
      <c r="Z925" s="1">
        <v>2023</v>
      </c>
      <c r="AA925" s="2">
        <v>85908.55</v>
      </c>
      <c r="AB925" s="2"/>
      <c r="AC925" s="2">
        <v>25772.57</v>
      </c>
      <c r="AD925" s="1">
        <v>0</v>
      </c>
      <c r="AG925" s="1" t="s">
        <v>106</v>
      </c>
      <c r="AH925" s="1" t="s">
        <v>310</v>
      </c>
      <c r="AI925" s="2">
        <v>0</v>
      </c>
      <c r="AK925" s="1"/>
      <c r="AV925" s="2"/>
      <c r="AW925" s="2"/>
      <c r="AX925" s="2"/>
      <c r="BA925" s="2"/>
    </row>
    <row r="926" spans="1:53" ht="15" customHeight="1" x14ac:dyDescent="0.2">
      <c r="A926" s="1" t="s">
        <v>19</v>
      </c>
      <c r="B926" s="5" t="s">
        <v>109</v>
      </c>
      <c r="C926" s="1" t="s">
        <v>37</v>
      </c>
      <c r="D926" s="24" t="s">
        <v>211</v>
      </c>
      <c r="E926" s="24" t="s">
        <v>35</v>
      </c>
      <c r="F926" s="1" t="s">
        <v>260</v>
      </c>
      <c r="G926" s="1" t="s">
        <v>259</v>
      </c>
      <c r="H926" s="1" t="s">
        <v>130</v>
      </c>
      <c r="I926" s="1" t="s">
        <v>1320</v>
      </c>
      <c r="J926" s="1" t="s">
        <v>316</v>
      </c>
      <c r="K926" s="1" t="s">
        <v>1318</v>
      </c>
      <c r="P926" s="1" t="s">
        <v>1319</v>
      </c>
      <c r="Q926" s="1" t="s">
        <v>27</v>
      </c>
      <c r="R926" s="1" t="s">
        <v>26</v>
      </c>
      <c r="S926" s="1" t="s">
        <v>810</v>
      </c>
      <c r="T926" s="1" t="s">
        <v>809</v>
      </c>
      <c r="U926" s="1">
        <v>1</v>
      </c>
      <c r="V926" s="1" t="s">
        <v>767</v>
      </c>
      <c r="W926" s="1" t="s">
        <v>1318</v>
      </c>
      <c r="X926" s="1" t="s">
        <v>52</v>
      </c>
      <c r="Y926" s="3">
        <v>44858</v>
      </c>
      <c r="Z926" s="1">
        <v>2022</v>
      </c>
      <c r="AA926" s="2">
        <v>349355.04</v>
      </c>
      <c r="AB926" s="2"/>
      <c r="AC926" s="2">
        <v>50000</v>
      </c>
      <c r="AD926" s="1">
        <v>1</v>
      </c>
      <c r="AG926" s="1" t="s">
        <v>106</v>
      </c>
      <c r="AH926" s="1" t="s">
        <v>105</v>
      </c>
      <c r="AI926" s="2">
        <v>0</v>
      </c>
      <c r="AK926" s="1"/>
      <c r="AV926" s="2"/>
      <c r="AW926" s="2"/>
      <c r="AX926" s="2"/>
      <c r="BA926" s="2"/>
    </row>
    <row r="927" spans="1:53" ht="15" customHeight="1" x14ac:dyDescent="0.2">
      <c r="A927" s="1" t="s">
        <v>19</v>
      </c>
      <c r="B927" s="5" t="s">
        <v>109</v>
      </c>
      <c r="C927" s="1" t="s">
        <v>37</v>
      </c>
      <c r="D927" s="24" t="s">
        <v>211</v>
      </c>
      <c r="E927" s="24" t="s">
        <v>35</v>
      </c>
      <c r="F927" s="1" t="s">
        <v>260</v>
      </c>
      <c r="G927" s="1" t="s">
        <v>259</v>
      </c>
      <c r="H927" s="1" t="s">
        <v>130</v>
      </c>
      <c r="I927" s="1" t="s">
        <v>1317</v>
      </c>
      <c r="J927" s="1" t="s">
        <v>316</v>
      </c>
      <c r="K927" s="1" t="s">
        <v>1316</v>
      </c>
      <c r="L927" s="1" t="s">
        <v>1315</v>
      </c>
      <c r="P927" s="1" t="s">
        <v>1314</v>
      </c>
      <c r="Q927" s="1" t="s">
        <v>27</v>
      </c>
      <c r="R927" s="1" t="s">
        <v>26</v>
      </c>
      <c r="S927" s="1" t="s">
        <v>810</v>
      </c>
      <c r="T927" s="1" t="s">
        <v>809</v>
      </c>
      <c r="U927" s="1">
        <v>1</v>
      </c>
      <c r="V927" s="1" t="s">
        <v>767</v>
      </c>
      <c r="W927" s="1" t="s">
        <v>1313</v>
      </c>
      <c r="X927" s="1" t="s">
        <v>667</v>
      </c>
      <c r="Y927" s="3">
        <v>43825</v>
      </c>
      <c r="Z927" s="1">
        <v>2019</v>
      </c>
      <c r="AA927" s="2">
        <v>207968.27</v>
      </c>
      <c r="AB927" s="2"/>
      <c r="AC927" s="2">
        <v>83390.48</v>
      </c>
      <c r="AD927" s="1">
        <v>3</v>
      </c>
      <c r="AE927" s="1">
        <v>2</v>
      </c>
      <c r="AG927" s="1" t="s">
        <v>21</v>
      </c>
      <c r="AI927" s="2">
        <v>83390.48</v>
      </c>
      <c r="AK927" s="1"/>
      <c r="AV927" s="2"/>
      <c r="AW927" s="2"/>
      <c r="AX927" s="2"/>
      <c r="BA927" s="2"/>
    </row>
    <row r="928" spans="1:53" ht="15" customHeight="1" x14ac:dyDescent="0.2">
      <c r="A928" s="1" t="s">
        <v>19</v>
      </c>
      <c r="B928" s="5" t="s">
        <v>109</v>
      </c>
      <c r="C928" s="1" t="s">
        <v>37</v>
      </c>
      <c r="D928" s="24" t="s">
        <v>211</v>
      </c>
      <c r="E928" s="24" t="s">
        <v>35</v>
      </c>
      <c r="F928" s="1" t="s">
        <v>260</v>
      </c>
      <c r="G928" s="1" t="s">
        <v>259</v>
      </c>
      <c r="H928" s="1" t="s">
        <v>130</v>
      </c>
      <c r="I928" s="1" t="s">
        <v>1312</v>
      </c>
      <c r="J928" s="1" t="s">
        <v>316</v>
      </c>
      <c r="K928" s="1" t="s">
        <v>1308</v>
      </c>
      <c r="P928" s="1" t="s">
        <v>1311</v>
      </c>
      <c r="Q928" s="1" t="s">
        <v>27</v>
      </c>
      <c r="R928" s="1" t="s">
        <v>26</v>
      </c>
      <c r="S928" s="1" t="s">
        <v>1310</v>
      </c>
      <c r="T928" s="1" t="s">
        <v>1309</v>
      </c>
      <c r="U928" s="1">
        <v>2</v>
      </c>
      <c r="V928" s="1" t="s">
        <v>767</v>
      </c>
      <c r="W928" s="1" t="s">
        <v>1308</v>
      </c>
      <c r="X928" s="1" t="s">
        <v>304</v>
      </c>
      <c r="Y928" s="3">
        <v>44113</v>
      </c>
      <c r="Z928" s="1">
        <v>2020</v>
      </c>
      <c r="AA928" s="2">
        <v>346151.77</v>
      </c>
      <c r="AB928" s="2"/>
      <c r="AC928" s="2">
        <v>58922.77</v>
      </c>
      <c r="AD928" s="1">
        <v>2</v>
      </c>
      <c r="AE928" s="1">
        <v>1</v>
      </c>
      <c r="AG928" s="1" t="s">
        <v>106</v>
      </c>
      <c r="AH928" s="1" t="s">
        <v>105</v>
      </c>
      <c r="AI928" s="2">
        <v>0</v>
      </c>
      <c r="AK928" s="1"/>
      <c r="AV928" s="2"/>
      <c r="AW928" s="2"/>
      <c r="AX928" s="2"/>
      <c r="BA928" s="2"/>
    </row>
    <row r="929" spans="1:53" ht="15" customHeight="1" x14ac:dyDescent="0.2">
      <c r="A929" s="1" t="s">
        <v>19</v>
      </c>
      <c r="B929" s="5" t="s">
        <v>109</v>
      </c>
      <c r="C929" s="1" t="s">
        <v>37</v>
      </c>
      <c r="D929" s="24" t="s">
        <v>211</v>
      </c>
      <c r="E929" s="24" t="s">
        <v>35</v>
      </c>
      <c r="F929" s="1" t="s">
        <v>260</v>
      </c>
      <c r="G929" s="1" t="s">
        <v>259</v>
      </c>
      <c r="H929" s="1" t="s">
        <v>130</v>
      </c>
      <c r="I929" s="1" t="s">
        <v>1307</v>
      </c>
      <c r="J929" s="1" t="s">
        <v>316</v>
      </c>
      <c r="K929" s="1" t="s">
        <v>1306</v>
      </c>
      <c r="L929" s="1" t="s">
        <v>1304</v>
      </c>
      <c r="P929" s="1" t="s">
        <v>1305</v>
      </c>
      <c r="Q929" s="1" t="s">
        <v>27</v>
      </c>
      <c r="R929" s="1" t="s">
        <v>26</v>
      </c>
      <c r="S929" s="1" t="s">
        <v>856</v>
      </c>
      <c r="T929" s="1" t="s">
        <v>855</v>
      </c>
      <c r="U929" s="1">
        <v>2</v>
      </c>
      <c r="V929" s="1" t="s">
        <v>767</v>
      </c>
      <c r="W929" s="1" t="s">
        <v>1304</v>
      </c>
      <c r="X929" s="1" t="s">
        <v>319</v>
      </c>
      <c r="Y929" s="3">
        <v>43825</v>
      </c>
      <c r="Z929" s="1">
        <v>2019</v>
      </c>
      <c r="AA929" s="2">
        <v>172967.38</v>
      </c>
      <c r="AB929" s="2"/>
      <c r="AC929" s="2">
        <v>25945.11</v>
      </c>
      <c r="AD929" s="1">
        <v>1</v>
      </c>
      <c r="AG929" s="1" t="s">
        <v>21</v>
      </c>
      <c r="AI929" s="2">
        <v>25945.11</v>
      </c>
      <c r="AK929" s="1"/>
      <c r="AV929" s="2"/>
      <c r="AW929" s="2"/>
      <c r="AX929" s="2"/>
      <c r="BA929" s="2"/>
    </row>
    <row r="930" spans="1:53" ht="15" customHeight="1" x14ac:dyDescent="0.2">
      <c r="A930" s="1" t="s">
        <v>19</v>
      </c>
      <c r="B930" s="5" t="s">
        <v>109</v>
      </c>
      <c r="C930" s="1" t="s">
        <v>37</v>
      </c>
      <c r="D930" s="24" t="s">
        <v>211</v>
      </c>
      <c r="E930" s="24" t="s">
        <v>35</v>
      </c>
      <c r="F930" s="1" t="s">
        <v>260</v>
      </c>
      <c r="G930" s="1" t="s">
        <v>259</v>
      </c>
      <c r="H930" s="1" t="s">
        <v>130</v>
      </c>
      <c r="I930" s="1" t="s">
        <v>1303</v>
      </c>
      <c r="J930" s="1" t="s">
        <v>316</v>
      </c>
      <c r="K930" s="1" t="s">
        <v>1299</v>
      </c>
      <c r="P930" s="1" t="s">
        <v>1302</v>
      </c>
      <c r="Q930" s="1" t="s">
        <v>27</v>
      </c>
      <c r="R930" s="1" t="s">
        <v>26</v>
      </c>
      <c r="S930" s="1" t="s">
        <v>1301</v>
      </c>
      <c r="T930" s="1" t="s">
        <v>1300</v>
      </c>
      <c r="U930" s="1">
        <v>2</v>
      </c>
      <c r="V930" s="1" t="s">
        <v>767</v>
      </c>
      <c r="W930" s="1" t="s">
        <v>1299</v>
      </c>
      <c r="X930" s="1" t="s">
        <v>304</v>
      </c>
      <c r="Y930" s="3">
        <v>44993</v>
      </c>
      <c r="Z930" s="1">
        <v>2023</v>
      </c>
      <c r="AA930" s="2">
        <v>122699.48</v>
      </c>
      <c r="AB930" s="2"/>
      <c r="AC930" s="2">
        <v>18404.919999999998</v>
      </c>
      <c r="AD930" s="1">
        <v>2</v>
      </c>
      <c r="AG930" s="1" t="s">
        <v>106</v>
      </c>
      <c r="AH930" s="1" t="s">
        <v>310</v>
      </c>
      <c r="AI930" s="2">
        <v>0</v>
      </c>
      <c r="AK930" s="1"/>
      <c r="AV930" s="2"/>
      <c r="AW930" s="2"/>
      <c r="AX930" s="2"/>
      <c r="BA930" s="2"/>
    </row>
    <row r="931" spans="1:53" ht="15" customHeight="1" x14ac:dyDescent="0.2">
      <c r="A931" s="1" t="s">
        <v>19</v>
      </c>
      <c r="B931" s="5" t="s">
        <v>109</v>
      </c>
      <c r="C931" s="1" t="s">
        <v>37</v>
      </c>
      <c r="D931" s="24" t="s">
        <v>211</v>
      </c>
      <c r="E931" s="24" t="s">
        <v>35</v>
      </c>
      <c r="F931" s="1" t="s">
        <v>260</v>
      </c>
      <c r="G931" s="1" t="s">
        <v>259</v>
      </c>
      <c r="H931" s="1" t="s">
        <v>130</v>
      </c>
      <c r="I931" s="1" t="s">
        <v>1298</v>
      </c>
      <c r="J931" s="1" t="s">
        <v>316</v>
      </c>
      <c r="K931" s="1" t="s">
        <v>1297</v>
      </c>
      <c r="P931" s="1" t="s">
        <v>1067</v>
      </c>
      <c r="Q931" s="1" t="s">
        <v>27</v>
      </c>
      <c r="R931" s="1" t="s">
        <v>26</v>
      </c>
      <c r="S931" s="1" t="s">
        <v>810</v>
      </c>
      <c r="T931" s="1" t="s">
        <v>809</v>
      </c>
      <c r="U931" s="1">
        <v>1</v>
      </c>
      <c r="V931" s="1" t="s">
        <v>767</v>
      </c>
      <c r="W931" s="1" t="s">
        <v>1297</v>
      </c>
      <c r="X931" s="1" t="s">
        <v>327</v>
      </c>
      <c r="Y931" s="3">
        <v>44181</v>
      </c>
      <c r="Z931" s="1">
        <v>2020</v>
      </c>
      <c r="AA931" s="2">
        <v>269389.96000000002</v>
      </c>
      <c r="AB931" s="2"/>
      <c r="AC931" s="2">
        <v>80816.990000000005</v>
      </c>
      <c r="AD931" s="1">
        <v>0</v>
      </c>
      <c r="AG931" s="1" t="s">
        <v>106</v>
      </c>
      <c r="AH931" s="1" t="s">
        <v>1018</v>
      </c>
      <c r="AI931" s="2">
        <v>0</v>
      </c>
      <c r="AK931" s="1"/>
      <c r="AV931" s="2"/>
      <c r="AW931" s="2"/>
      <c r="AX931" s="2"/>
      <c r="BA931" s="2"/>
    </row>
    <row r="932" spans="1:53" ht="15" customHeight="1" x14ac:dyDescent="0.2">
      <c r="A932" s="1" t="s">
        <v>19</v>
      </c>
      <c r="B932" s="5" t="s">
        <v>109</v>
      </c>
      <c r="C932" s="1" t="s">
        <v>37</v>
      </c>
      <c r="D932" s="24" t="s">
        <v>211</v>
      </c>
      <c r="E932" s="24" t="s">
        <v>35</v>
      </c>
      <c r="F932" s="1" t="s">
        <v>260</v>
      </c>
      <c r="G932" s="1" t="s">
        <v>259</v>
      </c>
      <c r="H932" s="1" t="s">
        <v>130</v>
      </c>
      <c r="I932" s="1" t="s">
        <v>1296</v>
      </c>
      <c r="J932" s="1" t="s">
        <v>316</v>
      </c>
      <c r="K932" s="1" t="s">
        <v>1295</v>
      </c>
      <c r="L932" s="1" t="s">
        <v>1293</v>
      </c>
      <c r="P932" s="1" t="s">
        <v>1294</v>
      </c>
      <c r="Q932" s="1" t="s">
        <v>27</v>
      </c>
      <c r="R932" s="1" t="s">
        <v>26</v>
      </c>
      <c r="S932" s="1" t="s">
        <v>810</v>
      </c>
      <c r="T932" s="1" t="s">
        <v>809</v>
      </c>
      <c r="U932" s="1">
        <v>1</v>
      </c>
      <c r="V932" s="1" t="s">
        <v>767</v>
      </c>
      <c r="W932" s="1" t="s">
        <v>1293</v>
      </c>
      <c r="X932" s="1" t="s">
        <v>52</v>
      </c>
      <c r="Y932" s="3">
        <v>43825</v>
      </c>
      <c r="Z932" s="1">
        <v>2019</v>
      </c>
      <c r="AA932" s="2">
        <v>166235.79999999999</v>
      </c>
      <c r="AB932" s="2"/>
      <c r="AC932" s="2">
        <v>49870.74</v>
      </c>
      <c r="AD932" s="1">
        <v>2</v>
      </c>
      <c r="AG932" s="1" t="s">
        <v>21</v>
      </c>
      <c r="AI932" s="2">
        <v>49870.74</v>
      </c>
      <c r="AK932" s="1"/>
      <c r="AV932" s="2"/>
      <c r="AW932" s="2"/>
      <c r="AX932" s="2"/>
      <c r="BA932" s="2"/>
    </row>
    <row r="933" spans="1:53" ht="15" customHeight="1" x14ac:dyDescent="0.2">
      <c r="A933" s="1" t="s">
        <v>19</v>
      </c>
      <c r="B933" s="5" t="s">
        <v>109</v>
      </c>
      <c r="C933" s="1" t="s">
        <v>37</v>
      </c>
      <c r="D933" s="24" t="s">
        <v>211</v>
      </c>
      <c r="E933" s="24" t="s">
        <v>35</v>
      </c>
      <c r="F933" s="1" t="s">
        <v>260</v>
      </c>
      <c r="G933" s="1" t="s">
        <v>259</v>
      </c>
      <c r="H933" s="1" t="s">
        <v>130</v>
      </c>
      <c r="I933" s="1" t="s">
        <v>1292</v>
      </c>
      <c r="J933" s="1" t="s">
        <v>316</v>
      </c>
      <c r="K933" s="1" t="s">
        <v>1291</v>
      </c>
      <c r="L933" s="1" t="s">
        <v>1290</v>
      </c>
      <c r="P933" s="1" t="s">
        <v>1289</v>
      </c>
      <c r="Q933" s="1" t="s">
        <v>27</v>
      </c>
      <c r="R933" s="1" t="s">
        <v>26</v>
      </c>
      <c r="S933" s="1" t="s">
        <v>810</v>
      </c>
      <c r="T933" s="1" t="s">
        <v>809</v>
      </c>
      <c r="U933" s="1">
        <v>1</v>
      </c>
      <c r="V933" s="1" t="s">
        <v>767</v>
      </c>
      <c r="W933" s="1" t="s">
        <v>1288</v>
      </c>
      <c r="X933" s="1" t="s">
        <v>327</v>
      </c>
      <c r="Y933" s="3">
        <v>43825</v>
      </c>
      <c r="Z933" s="1">
        <v>2019</v>
      </c>
      <c r="AA933" s="2">
        <v>32878</v>
      </c>
      <c r="AB933" s="2"/>
      <c r="AC933" s="2">
        <v>9863.4</v>
      </c>
      <c r="AD933" s="1">
        <v>0</v>
      </c>
      <c r="AG933" s="1" t="s">
        <v>21</v>
      </c>
      <c r="AI933" s="2">
        <v>9863.4</v>
      </c>
      <c r="AK933" s="1"/>
      <c r="AV933" s="2"/>
      <c r="AW933" s="2"/>
      <c r="AX933" s="2"/>
      <c r="BA933" s="2"/>
    </row>
    <row r="934" spans="1:53" ht="15" customHeight="1" x14ac:dyDescent="0.2">
      <c r="A934" s="1" t="s">
        <v>19</v>
      </c>
      <c r="B934" s="5" t="s">
        <v>109</v>
      </c>
      <c r="C934" s="1" t="s">
        <v>37</v>
      </c>
      <c r="D934" s="24" t="s">
        <v>211</v>
      </c>
      <c r="E934" s="24" t="s">
        <v>35</v>
      </c>
      <c r="F934" s="1" t="s">
        <v>260</v>
      </c>
      <c r="G934" s="1" t="s">
        <v>259</v>
      </c>
      <c r="H934" s="1" t="s">
        <v>130</v>
      </c>
      <c r="I934" s="1" t="s">
        <v>1287</v>
      </c>
      <c r="J934" s="1" t="s">
        <v>316</v>
      </c>
      <c r="K934" s="1" t="s">
        <v>1285</v>
      </c>
      <c r="P934" s="1" t="s">
        <v>1286</v>
      </c>
      <c r="Q934" s="1" t="s">
        <v>27</v>
      </c>
      <c r="R934" s="1" t="s">
        <v>26</v>
      </c>
      <c r="S934" s="1" t="s">
        <v>810</v>
      </c>
      <c r="T934" s="1" t="s">
        <v>809</v>
      </c>
      <c r="U934" s="1">
        <v>1</v>
      </c>
      <c r="V934" s="1" t="s">
        <v>767</v>
      </c>
      <c r="W934" s="1" t="s">
        <v>1285</v>
      </c>
      <c r="X934" s="1" t="s">
        <v>327</v>
      </c>
      <c r="Y934" s="3">
        <v>44858</v>
      </c>
      <c r="Z934" s="1">
        <v>2022</v>
      </c>
      <c r="AA934" s="2">
        <v>47141.74</v>
      </c>
      <c r="AB934" s="2"/>
      <c r="AC934" s="2">
        <v>19392.52</v>
      </c>
      <c r="AD934" s="1">
        <v>1.75</v>
      </c>
      <c r="AG934" s="1" t="s">
        <v>106</v>
      </c>
      <c r="AH934" s="1" t="s">
        <v>105</v>
      </c>
      <c r="AI934" s="2">
        <v>0</v>
      </c>
      <c r="AK934" s="1"/>
      <c r="AL934" s="1" t="s">
        <v>791</v>
      </c>
      <c r="AV934" s="2"/>
      <c r="AW934" s="2"/>
      <c r="AX934" s="2"/>
      <c r="BA934" s="2"/>
    </row>
    <row r="935" spans="1:53" ht="15" customHeight="1" x14ac:dyDescent="0.2">
      <c r="A935" s="1" t="s">
        <v>19</v>
      </c>
      <c r="B935" s="5" t="s">
        <v>109</v>
      </c>
      <c r="C935" s="1" t="s">
        <v>37</v>
      </c>
      <c r="D935" s="24" t="s">
        <v>211</v>
      </c>
      <c r="E935" s="24" t="s">
        <v>35</v>
      </c>
      <c r="F935" s="1" t="s">
        <v>260</v>
      </c>
      <c r="G935" s="1" t="s">
        <v>259</v>
      </c>
      <c r="H935" s="1" t="s">
        <v>130</v>
      </c>
      <c r="I935" s="1" t="s">
        <v>1284</v>
      </c>
      <c r="J935" s="1" t="s">
        <v>316</v>
      </c>
      <c r="K935" s="1" t="s">
        <v>1283</v>
      </c>
      <c r="P935" s="1" t="s">
        <v>902</v>
      </c>
      <c r="Q935" s="1" t="s">
        <v>27</v>
      </c>
      <c r="R935" s="1" t="s">
        <v>26</v>
      </c>
      <c r="S935" s="1" t="s">
        <v>810</v>
      </c>
      <c r="T935" s="1" t="s">
        <v>809</v>
      </c>
      <c r="U935" s="1">
        <v>1</v>
      </c>
      <c r="V935" s="1" t="s">
        <v>767</v>
      </c>
      <c r="W935" s="1" t="s">
        <v>1283</v>
      </c>
      <c r="X935" s="1" t="s">
        <v>430</v>
      </c>
      <c r="Y935" s="3">
        <v>45132</v>
      </c>
      <c r="Z935" s="1">
        <v>2023</v>
      </c>
      <c r="AA935" s="2">
        <v>229415.87</v>
      </c>
      <c r="AB935" s="2"/>
      <c r="AC935" s="2">
        <v>82824.759999999995</v>
      </c>
      <c r="AD935" s="1">
        <v>2</v>
      </c>
      <c r="AE935" s="1">
        <v>1</v>
      </c>
      <c r="AG935" s="1" t="s">
        <v>106</v>
      </c>
      <c r="AH935" s="1" t="s">
        <v>310</v>
      </c>
      <c r="AI935" s="2">
        <v>0</v>
      </c>
      <c r="AK935" s="1"/>
      <c r="AV935" s="2"/>
      <c r="AW935" s="2"/>
      <c r="AX935" s="2"/>
      <c r="BA935" s="2"/>
    </row>
    <row r="936" spans="1:53" ht="15" customHeight="1" x14ac:dyDescent="0.2">
      <c r="A936" s="1" t="s">
        <v>19</v>
      </c>
      <c r="B936" s="5" t="s">
        <v>109</v>
      </c>
      <c r="C936" s="1" t="s">
        <v>37</v>
      </c>
      <c r="D936" s="24" t="s">
        <v>211</v>
      </c>
      <c r="E936" s="24" t="s">
        <v>35</v>
      </c>
      <c r="F936" s="1" t="s">
        <v>260</v>
      </c>
      <c r="G936" s="1" t="s">
        <v>259</v>
      </c>
      <c r="H936" s="1" t="s">
        <v>130</v>
      </c>
      <c r="I936" s="1" t="s">
        <v>1282</v>
      </c>
      <c r="J936" s="1" t="s">
        <v>316</v>
      </c>
      <c r="K936" s="1" t="s">
        <v>1280</v>
      </c>
      <c r="P936" s="1" t="s">
        <v>1281</v>
      </c>
      <c r="Q936" s="1" t="s">
        <v>27</v>
      </c>
      <c r="R936" s="1" t="s">
        <v>26</v>
      </c>
      <c r="S936" s="1" t="s">
        <v>810</v>
      </c>
      <c r="T936" s="1" t="s">
        <v>809</v>
      </c>
      <c r="U936" s="1">
        <v>1</v>
      </c>
      <c r="V936" s="1" t="s">
        <v>767</v>
      </c>
      <c r="W936" s="1" t="s">
        <v>1280</v>
      </c>
      <c r="X936" s="1" t="s">
        <v>319</v>
      </c>
      <c r="Y936" s="3">
        <v>44813</v>
      </c>
      <c r="Z936" s="1">
        <v>2022</v>
      </c>
      <c r="AA936" s="2">
        <v>213631.38</v>
      </c>
      <c r="AB936" s="2"/>
      <c r="AC936" s="2">
        <v>74589.41</v>
      </c>
      <c r="AD936" s="1">
        <v>1.5</v>
      </c>
      <c r="AE936" s="1">
        <v>1</v>
      </c>
      <c r="AG936" s="1" t="s">
        <v>106</v>
      </c>
      <c r="AH936" s="1" t="s">
        <v>1018</v>
      </c>
      <c r="AI936" s="2">
        <v>0</v>
      </c>
      <c r="AK936" s="1"/>
      <c r="AV936" s="2"/>
      <c r="AW936" s="2"/>
      <c r="AX936" s="2"/>
      <c r="BA936" s="2"/>
    </row>
    <row r="937" spans="1:53" ht="15" customHeight="1" x14ac:dyDescent="0.2">
      <c r="A937" s="1" t="s">
        <v>19</v>
      </c>
      <c r="B937" s="5" t="s">
        <v>109</v>
      </c>
      <c r="C937" s="1" t="s">
        <v>37</v>
      </c>
      <c r="D937" s="24" t="s">
        <v>211</v>
      </c>
      <c r="E937" s="24" t="s">
        <v>35</v>
      </c>
      <c r="F937" s="1" t="s">
        <v>260</v>
      </c>
      <c r="G937" s="1" t="s">
        <v>259</v>
      </c>
      <c r="H937" s="1" t="s">
        <v>130</v>
      </c>
      <c r="I937" s="1" t="s">
        <v>1279</v>
      </c>
      <c r="J937" s="1" t="s">
        <v>316</v>
      </c>
      <c r="K937" s="1" t="s">
        <v>1278</v>
      </c>
      <c r="L937" s="1" t="s">
        <v>1276</v>
      </c>
      <c r="P937" s="1" t="s">
        <v>1277</v>
      </c>
      <c r="Q937" s="1" t="s">
        <v>27</v>
      </c>
      <c r="R937" s="1" t="s">
        <v>26</v>
      </c>
      <c r="S937" s="1" t="s">
        <v>856</v>
      </c>
      <c r="T937" s="1" t="s">
        <v>855</v>
      </c>
      <c r="U937" s="1">
        <v>2</v>
      </c>
      <c r="V937" s="1" t="s">
        <v>767</v>
      </c>
      <c r="W937" s="1" t="s">
        <v>1276</v>
      </c>
      <c r="X937" s="1" t="s">
        <v>319</v>
      </c>
      <c r="Y937" s="3">
        <v>43825</v>
      </c>
      <c r="Z937" s="1">
        <v>2019</v>
      </c>
      <c r="AA937" s="2">
        <v>337404</v>
      </c>
      <c r="AB937" s="2"/>
      <c r="AC937" s="2">
        <v>33740.400000000001</v>
      </c>
      <c r="AD937" s="1">
        <v>0</v>
      </c>
      <c r="AG937" s="1" t="s">
        <v>21</v>
      </c>
      <c r="AI937" s="2">
        <v>33740.400000000001</v>
      </c>
      <c r="AK937" s="1"/>
      <c r="AV937" s="2"/>
      <c r="AW937" s="2"/>
      <c r="AX937" s="2"/>
      <c r="BA937" s="2"/>
    </row>
    <row r="938" spans="1:53" ht="15" customHeight="1" x14ac:dyDescent="0.2">
      <c r="A938" s="1" t="s">
        <v>19</v>
      </c>
      <c r="B938" s="5" t="s">
        <v>109</v>
      </c>
      <c r="C938" s="1" t="s">
        <v>37</v>
      </c>
      <c r="D938" s="24" t="s">
        <v>211</v>
      </c>
      <c r="E938" s="24" t="s">
        <v>35</v>
      </c>
      <c r="F938" s="1" t="s">
        <v>260</v>
      </c>
      <c r="G938" s="1" t="s">
        <v>259</v>
      </c>
      <c r="H938" s="1" t="s">
        <v>130</v>
      </c>
      <c r="I938" s="1" t="s">
        <v>1275</v>
      </c>
      <c r="J938" s="1" t="s">
        <v>316</v>
      </c>
      <c r="K938" s="1" t="s">
        <v>1274</v>
      </c>
      <c r="L938" s="1" t="s">
        <v>1272</v>
      </c>
      <c r="P938" s="1" t="s">
        <v>1273</v>
      </c>
      <c r="Q938" s="1" t="s">
        <v>27</v>
      </c>
      <c r="R938" s="1" t="s">
        <v>26</v>
      </c>
      <c r="S938" s="1" t="s">
        <v>805</v>
      </c>
      <c r="T938" s="1" t="s">
        <v>804</v>
      </c>
      <c r="U938" s="1">
        <v>1</v>
      </c>
      <c r="V938" s="1" t="s">
        <v>767</v>
      </c>
      <c r="W938" s="1" t="s">
        <v>1272</v>
      </c>
      <c r="X938" s="1" t="s">
        <v>319</v>
      </c>
      <c r="Y938" s="3">
        <v>43825</v>
      </c>
      <c r="Z938" s="1">
        <v>2019</v>
      </c>
      <c r="AA938" s="2">
        <v>159832.07999999999</v>
      </c>
      <c r="AB938" s="2"/>
      <c r="AC938" s="2">
        <v>47949.62</v>
      </c>
      <c r="AD938" s="1">
        <v>1</v>
      </c>
      <c r="AG938" s="1" t="s">
        <v>21</v>
      </c>
      <c r="AI938" s="2">
        <v>47949.62</v>
      </c>
      <c r="AK938" s="1"/>
      <c r="AV938" s="2"/>
      <c r="AW938" s="2"/>
      <c r="AX938" s="2"/>
      <c r="BA938" s="2"/>
    </row>
    <row r="939" spans="1:53" ht="15" customHeight="1" x14ac:dyDescent="0.2">
      <c r="A939" s="1" t="s">
        <v>19</v>
      </c>
      <c r="B939" s="5" t="s">
        <v>109</v>
      </c>
      <c r="C939" s="1" t="s">
        <v>37</v>
      </c>
      <c r="D939" s="24" t="s">
        <v>211</v>
      </c>
      <c r="E939" s="24" t="s">
        <v>35</v>
      </c>
      <c r="F939" s="1" t="s">
        <v>260</v>
      </c>
      <c r="G939" s="1" t="s">
        <v>259</v>
      </c>
      <c r="H939" s="1" t="s">
        <v>130</v>
      </c>
      <c r="I939" s="1" t="s">
        <v>1271</v>
      </c>
      <c r="J939" s="1" t="s">
        <v>316</v>
      </c>
      <c r="K939" s="1" t="s">
        <v>1269</v>
      </c>
      <c r="P939" s="1" t="s">
        <v>1270</v>
      </c>
      <c r="Q939" s="1" t="s">
        <v>27</v>
      </c>
      <c r="R939" s="1" t="s">
        <v>26</v>
      </c>
      <c r="S939" s="1" t="s">
        <v>1253</v>
      </c>
      <c r="T939" s="1" t="s">
        <v>1252</v>
      </c>
      <c r="U939" s="1">
        <v>2</v>
      </c>
      <c r="V939" s="1" t="s">
        <v>767</v>
      </c>
      <c r="W939" s="1" t="s">
        <v>1269</v>
      </c>
      <c r="X939" s="1" t="s">
        <v>319</v>
      </c>
      <c r="Y939" s="3">
        <v>44804</v>
      </c>
      <c r="Z939" s="1">
        <v>2022</v>
      </c>
      <c r="AA939" s="2">
        <v>100000</v>
      </c>
      <c r="AB939" s="2"/>
      <c r="AC939" s="2">
        <v>15000</v>
      </c>
      <c r="AD939" s="1">
        <v>0</v>
      </c>
      <c r="AG939" s="1" t="s">
        <v>106</v>
      </c>
      <c r="AH939" s="1" t="s">
        <v>310</v>
      </c>
      <c r="AI939" s="2">
        <v>0</v>
      </c>
      <c r="AK939" s="1"/>
      <c r="AV939" s="2"/>
      <c r="AW939" s="2"/>
      <c r="AX939" s="2"/>
      <c r="BA939" s="2"/>
    </row>
    <row r="940" spans="1:53" ht="15" customHeight="1" x14ac:dyDescent="0.2">
      <c r="A940" s="1" t="s">
        <v>19</v>
      </c>
      <c r="B940" s="5" t="s">
        <v>109</v>
      </c>
      <c r="C940" s="1" t="s">
        <v>37</v>
      </c>
      <c r="D940" s="24" t="s">
        <v>211</v>
      </c>
      <c r="E940" s="24" t="s">
        <v>35</v>
      </c>
      <c r="F940" s="1" t="s">
        <v>260</v>
      </c>
      <c r="G940" s="1" t="s">
        <v>259</v>
      </c>
      <c r="H940" s="1" t="s">
        <v>130</v>
      </c>
      <c r="I940" s="1" t="s">
        <v>1268</v>
      </c>
      <c r="J940" s="1" t="s">
        <v>316</v>
      </c>
      <c r="K940" s="1" t="s">
        <v>1266</v>
      </c>
      <c r="P940" s="1" t="s">
        <v>1267</v>
      </c>
      <c r="Q940" s="1" t="s">
        <v>27</v>
      </c>
      <c r="R940" s="1" t="s">
        <v>26</v>
      </c>
      <c r="S940" s="1" t="s">
        <v>805</v>
      </c>
      <c r="T940" s="1" t="s">
        <v>804</v>
      </c>
      <c r="U940" s="1">
        <v>2</v>
      </c>
      <c r="V940" s="1" t="s">
        <v>767</v>
      </c>
      <c r="W940" s="1" t="s">
        <v>1266</v>
      </c>
      <c r="X940" s="1" t="s">
        <v>529</v>
      </c>
      <c r="Y940" s="3">
        <v>44993</v>
      </c>
      <c r="Z940" s="1">
        <v>2023</v>
      </c>
      <c r="AA940" s="2">
        <v>351746.1</v>
      </c>
      <c r="AB940" s="2"/>
      <c r="AC940" s="2">
        <v>80761.919999999998</v>
      </c>
      <c r="AD940" s="1">
        <v>7</v>
      </c>
      <c r="AE940" s="1">
        <v>3</v>
      </c>
      <c r="AG940" s="1" t="s">
        <v>106</v>
      </c>
      <c r="AH940" s="1" t="s">
        <v>310</v>
      </c>
      <c r="AI940" s="2">
        <v>0</v>
      </c>
      <c r="AK940" s="1"/>
      <c r="AV940" s="2"/>
      <c r="AW940" s="2"/>
      <c r="AX940" s="2"/>
      <c r="BA940" s="2"/>
    </row>
    <row r="941" spans="1:53" ht="15" customHeight="1" x14ac:dyDescent="0.2">
      <c r="A941" s="1" t="s">
        <v>19</v>
      </c>
      <c r="B941" s="5" t="s">
        <v>109</v>
      </c>
      <c r="C941" s="1" t="s">
        <v>37</v>
      </c>
      <c r="D941" s="24" t="s">
        <v>211</v>
      </c>
      <c r="E941" s="24" t="s">
        <v>35</v>
      </c>
      <c r="F941" s="1" t="s">
        <v>260</v>
      </c>
      <c r="G941" s="1" t="s">
        <v>259</v>
      </c>
      <c r="H941" s="1" t="s">
        <v>130</v>
      </c>
      <c r="I941" s="1" t="s">
        <v>1265</v>
      </c>
      <c r="J941" s="1" t="s">
        <v>316</v>
      </c>
      <c r="K941" s="1" t="s">
        <v>1263</v>
      </c>
      <c r="L941" s="1" t="s">
        <v>1263</v>
      </c>
      <c r="P941" s="1" t="s">
        <v>1264</v>
      </c>
      <c r="Q941" s="1" t="s">
        <v>27</v>
      </c>
      <c r="R941" s="1" t="s">
        <v>26</v>
      </c>
      <c r="S941" s="1" t="s">
        <v>805</v>
      </c>
      <c r="T941" s="1" t="s">
        <v>804</v>
      </c>
      <c r="U941" s="1">
        <v>2</v>
      </c>
      <c r="V941" s="1" t="s">
        <v>767</v>
      </c>
      <c r="W941" s="1" t="s">
        <v>1263</v>
      </c>
      <c r="X941" s="1" t="s">
        <v>529</v>
      </c>
      <c r="Y941" s="3">
        <v>43825</v>
      </c>
      <c r="Z941" s="1">
        <v>2019</v>
      </c>
      <c r="AA941" s="2">
        <v>38865.53</v>
      </c>
      <c r="AB941" s="2"/>
      <c r="AC941" s="2">
        <v>12829.83</v>
      </c>
      <c r="AD941" s="1">
        <v>1</v>
      </c>
      <c r="AE941" s="1">
        <v>1</v>
      </c>
      <c r="AG941" s="1" t="s">
        <v>21</v>
      </c>
      <c r="AI941" s="2">
        <v>12829.83</v>
      </c>
      <c r="AK941" s="1"/>
      <c r="AV941" s="2"/>
      <c r="AW941" s="2"/>
      <c r="AX941" s="2"/>
      <c r="BA941" s="2"/>
    </row>
    <row r="942" spans="1:53" ht="15" customHeight="1" x14ac:dyDescent="0.2">
      <c r="A942" s="1" t="s">
        <v>19</v>
      </c>
      <c r="B942" s="5" t="s">
        <v>109</v>
      </c>
      <c r="C942" s="1" t="s">
        <v>37</v>
      </c>
      <c r="D942" s="24" t="s">
        <v>211</v>
      </c>
      <c r="E942" s="24" t="s">
        <v>35</v>
      </c>
      <c r="F942" s="1" t="s">
        <v>260</v>
      </c>
      <c r="G942" s="1" t="s">
        <v>259</v>
      </c>
      <c r="H942" s="1" t="s">
        <v>130</v>
      </c>
      <c r="I942" s="1" t="s">
        <v>1262</v>
      </c>
      <c r="J942" s="1" t="s">
        <v>316</v>
      </c>
      <c r="K942" s="1" t="s">
        <v>1260</v>
      </c>
      <c r="P942" s="1" t="s">
        <v>1261</v>
      </c>
      <c r="Q942" s="1" t="s">
        <v>27</v>
      </c>
      <c r="R942" s="1" t="s">
        <v>26</v>
      </c>
      <c r="S942" s="1" t="s">
        <v>810</v>
      </c>
      <c r="T942" s="1" t="s">
        <v>809</v>
      </c>
      <c r="U942" s="1">
        <v>1</v>
      </c>
      <c r="V942" s="1" t="s">
        <v>767</v>
      </c>
      <c r="W942" s="1" t="s">
        <v>1260</v>
      </c>
      <c r="X942" s="1" t="s">
        <v>319</v>
      </c>
      <c r="Y942" s="3">
        <v>44993</v>
      </c>
      <c r="Z942" s="1">
        <v>2023</v>
      </c>
      <c r="AA942" s="2">
        <v>36677.11</v>
      </c>
      <c r="AB942" s="2"/>
      <c r="AC942" s="2">
        <v>11003.13</v>
      </c>
      <c r="AD942" s="1">
        <v>0</v>
      </c>
      <c r="AG942" s="1" t="s">
        <v>106</v>
      </c>
      <c r="AH942" s="1" t="s">
        <v>310</v>
      </c>
      <c r="AI942" s="2">
        <v>0</v>
      </c>
      <c r="AK942" s="1"/>
      <c r="AV942" s="2"/>
      <c r="AW942" s="2"/>
      <c r="AX942" s="2"/>
      <c r="BA942" s="2"/>
    </row>
    <row r="943" spans="1:53" ht="15" customHeight="1" x14ac:dyDescent="0.2">
      <c r="A943" s="1" t="s">
        <v>19</v>
      </c>
      <c r="B943" s="5" t="s">
        <v>109</v>
      </c>
      <c r="C943" s="1" t="s">
        <v>37</v>
      </c>
      <c r="D943" s="24" t="s">
        <v>211</v>
      </c>
      <c r="E943" s="24" t="s">
        <v>35</v>
      </c>
      <c r="F943" s="1" t="s">
        <v>260</v>
      </c>
      <c r="G943" s="1" t="s">
        <v>259</v>
      </c>
      <c r="H943" s="1" t="s">
        <v>130</v>
      </c>
      <c r="I943" s="1" t="s">
        <v>1259</v>
      </c>
      <c r="J943" s="1" t="s">
        <v>316</v>
      </c>
      <c r="K943" s="1" t="s">
        <v>1258</v>
      </c>
      <c r="L943" s="1" t="s">
        <v>1256</v>
      </c>
      <c r="P943" s="1" t="s">
        <v>1257</v>
      </c>
      <c r="Q943" s="1" t="s">
        <v>27</v>
      </c>
      <c r="R943" s="1" t="s">
        <v>26</v>
      </c>
      <c r="S943" s="1" t="s">
        <v>805</v>
      </c>
      <c r="T943" s="1" t="s">
        <v>804</v>
      </c>
      <c r="U943" s="1">
        <v>2</v>
      </c>
      <c r="V943" s="1" t="s">
        <v>767</v>
      </c>
      <c r="W943" s="1" t="s">
        <v>1256</v>
      </c>
      <c r="X943" s="1" t="s">
        <v>319</v>
      </c>
      <c r="Y943" s="3">
        <v>43825</v>
      </c>
      <c r="Z943" s="1">
        <v>2019</v>
      </c>
      <c r="AA943" s="2">
        <v>108773.63</v>
      </c>
      <c r="AB943" s="2"/>
      <c r="AC943" s="2">
        <v>30316.04</v>
      </c>
      <c r="AD943" s="1">
        <v>2</v>
      </c>
      <c r="AE943" s="1">
        <v>1.86</v>
      </c>
      <c r="AG943" s="1" t="s">
        <v>21</v>
      </c>
      <c r="AI943" s="2">
        <v>15167.58</v>
      </c>
      <c r="AK943" s="1"/>
      <c r="AV943" s="2"/>
      <c r="AW943" s="2"/>
      <c r="AX943" s="2"/>
      <c r="BA943" s="2"/>
    </row>
    <row r="944" spans="1:53" ht="15" customHeight="1" x14ac:dyDescent="0.2">
      <c r="A944" s="1" t="s">
        <v>19</v>
      </c>
      <c r="B944" s="5" t="s">
        <v>109</v>
      </c>
      <c r="C944" s="1" t="s">
        <v>37</v>
      </c>
      <c r="D944" s="24" t="s">
        <v>211</v>
      </c>
      <c r="E944" s="24" t="s">
        <v>35</v>
      </c>
      <c r="F944" s="1" t="s">
        <v>260</v>
      </c>
      <c r="G944" s="1" t="s">
        <v>259</v>
      </c>
      <c r="H944" s="1" t="s">
        <v>130</v>
      </c>
      <c r="I944" s="1" t="s">
        <v>1255</v>
      </c>
      <c r="J944" s="1" t="s">
        <v>316</v>
      </c>
      <c r="K944" s="1" t="s">
        <v>1251</v>
      </c>
      <c r="P944" s="1" t="s">
        <v>1254</v>
      </c>
      <c r="Q944" s="1" t="s">
        <v>27</v>
      </c>
      <c r="R944" s="1" t="s">
        <v>26</v>
      </c>
      <c r="S944" s="1" t="s">
        <v>1253</v>
      </c>
      <c r="T944" s="1" t="s">
        <v>1252</v>
      </c>
      <c r="U944" s="1">
        <v>2</v>
      </c>
      <c r="V944" s="1" t="s">
        <v>767</v>
      </c>
      <c r="W944" s="1" t="s">
        <v>1251</v>
      </c>
      <c r="X944" s="1" t="s">
        <v>327</v>
      </c>
      <c r="Y944" s="3">
        <v>43825</v>
      </c>
      <c r="Z944" s="1">
        <v>2019</v>
      </c>
      <c r="AA944" s="2">
        <v>318243.78999999998</v>
      </c>
      <c r="AB944" s="2"/>
      <c r="AC944" s="2">
        <v>30000</v>
      </c>
      <c r="AD944" s="1">
        <v>1</v>
      </c>
      <c r="AG944" s="1" t="s">
        <v>106</v>
      </c>
      <c r="AH944" s="1" t="s">
        <v>1250</v>
      </c>
      <c r="AI944" s="2">
        <v>0</v>
      </c>
      <c r="AK944" s="1"/>
      <c r="AL944" s="1" t="s">
        <v>1249</v>
      </c>
      <c r="AV944" s="2"/>
      <c r="AW944" s="2"/>
      <c r="AX944" s="2"/>
      <c r="BA944" s="2"/>
    </row>
    <row r="945" spans="1:53" ht="15" customHeight="1" x14ac:dyDescent="0.2">
      <c r="A945" s="1" t="s">
        <v>19</v>
      </c>
      <c r="B945" s="5" t="s">
        <v>109</v>
      </c>
      <c r="C945" s="1" t="s">
        <v>37</v>
      </c>
      <c r="D945" s="24" t="s">
        <v>211</v>
      </c>
      <c r="E945" s="24" t="s">
        <v>35</v>
      </c>
      <c r="F945" s="1" t="s">
        <v>260</v>
      </c>
      <c r="G945" s="1" t="s">
        <v>259</v>
      </c>
      <c r="H945" s="1" t="s">
        <v>130</v>
      </c>
      <c r="I945" s="1" t="s">
        <v>1248</v>
      </c>
      <c r="J945" s="1" t="s">
        <v>316</v>
      </c>
      <c r="K945" s="1" t="s">
        <v>1246</v>
      </c>
      <c r="P945" s="1" t="s">
        <v>1247</v>
      </c>
      <c r="Q945" s="1" t="s">
        <v>27</v>
      </c>
      <c r="R945" s="1" t="s">
        <v>26</v>
      </c>
      <c r="S945" s="1" t="s">
        <v>805</v>
      </c>
      <c r="T945" s="1" t="s">
        <v>804</v>
      </c>
      <c r="U945" s="1">
        <v>1</v>
      </c>
      <c r="V945" s="1" t="s">
        <v>767</v>
      </c>
      <c r="W945" s="1" t="s">
        <v>1246</v>
      </c>
      <c r="X945" s="1" t="s">
        <v>319</v>
      </c>
      <c r="Y945" s="3">
        <v>44181</v>
      </c>
      <c r="Z945" s="1">
        <v>2020</v>
      </c>
      <c r="AA945" s="2">
        <v>152000</v>
      </c>
      <c r="AB945" s="2"/>
      <c r="AC945" s="2">
        <v>60600</v>
      </c>
      <c r="AD945" s="1">
        <v>1</v>
      </c>
      <c r="AG945" s="1" t="s">
        <v>106</v>
      </c>
      <c r="AH945" s="1" t="s">
        <v>310</v>
      </c>
      <c r="AI945" s="2">
        <v>0</v>
      </c>
      <c r="AK945" s="1"/>
      <c r="AV945" s="2"/>
      <c r="AW945" s="2"/>
      <c r="AX945" s="2"/>
      <c r="BA945" s="2"/>
    </row>
    <row r="946" spans="1:53" ht="15" customHeight="1" x14ac:dyDescent="0.2">
      <c r="A946" s="1" t="s">
        <v>19</v>
      </c>
      <c r="B946" s="5" t="s">
        <v>109</v>
      </c>
      <c r="C946" s="1" t="s">
        <v>37</v>
      </c>
      <c r="D946" s="24" t="s">
        <v>211</v>
      </c>
      <c r="E946" s="24" t="s">
        <v>35</v>
      </c>
      <c r="F946" s="1" t="s">
        <v>637</v>
      </c>
      <c r="G946" s="1" t="s">
        <v>636</v>
      </c>
      <c r="H946" s="1" t="s">
        <v>130</v>
      </c>
      <c r="I946" s="1" t="s">
        <v>1245</v>
      </c>
      <c r="J946" s="1">
        <v>2021</v>
      </c>
      <c r="K946" s="1" t="s">
        <v>1244</v>
      </c>
      <c r="L946" s="1" t="s">
        <v>1243</v>
      </c>
      <c r="P946" s="1" t="s">
        <v>1242</v>
      </c>
      <c r="Q946" s="1" t="s">
        <v>788</v>
      </c>
      <c r="R946" s="1" t="s">
        <v>787</v>
      </c>
      <c r="S946" s="1" t="s">
        <v>786</v>
      </c>
      <c r="T946" s="1" t="s">
        <v>785</v>
      </c>
      <c r="U946" s="1">
        <v>1</v>
      </c>
      <c r="V946" s="1" t="s">
        <v>767</v>
      </c>
      <c r="W946" s="1" t="s">
        <v>1241</v>
      </c>
      <c r="X946" s="1" t="s">
        <v>298</v>
      </c>
      <c r="Y946" s="3">
        <v>44557</v>
      </c>
      <c r="Z946" s="1">
        <v>2021</v>
      </c>
      <c r="AA946" s="2">
        <v>4821773.76</v>
      </c>
      <c r="AB946" s="2"/>
      <c r="AC946" s="2">
        <v>950000</v>
      </c>
      <c r="AD946" s="1">
        <v>20</v>
      </c>
      <c r="AE946" s="1">
        <v>4</v>
      </c>
      <c r="AG946" s="1" t="s">
        <v>21</v>
      </c>
      <c r="AI946" s="2">
        <v>950000</v>
      </c>
      <c r="AK946" s="1"/>
      <c r="AV946" s="2"/>
      <c r="AW946" s="2"/>
      <c r="AX946" s="2"/>
      <c r="BA946" s="2"/>
    </row>
    <row r="947" spans="1:53" ht="15" customHeight="1" x14ac:dyDescent="0.2">
      <c r="A947" s="1" t="s">
        <v>19</v>
      </c>
      <c r="B947" s="5" t="s">
        <v>109</v>
      </c>
      <c r="C947" s="1" t="s">
        <v>37</v>
      </c>
      <c r="D947" s="24" t="s">
        <v>211</v>
      </c>
      <c r="E947" s="24" t="s">
        <v>35</v>
      </c>
      <c r="F947" s="1" t="s">
        <v>637</v>
      </c>
      <c r="G947" s="1" t="s">
        <v>636</v>
      </c>
      <c r="H947" s="1" t="s">
        <v>130</v>
      </c>
      <c r="I947" s="1" t="s">
        <v>1240</v>
      </c>
      <c r="J947" s="1">
        <v>2021</v>
      </c>
      <c r="K947" s="1" t="s">
        <v>1239</v>
      </c>
      <c r="L947" s="1" t="s">
        <v>1237</v>
      </c>
      <c r="P947" s="1" t="s">
        <v>1238</v>
      </c>
      <c r="Q947" s="1" t="s">
        <v>771</v>
      </c>
      <c r="R947" s="1" t="s">
        <v>897</v>
      </c>
      <c r="S947" s="1" t="s">
        <v>922</v>
      </c>
      <c r="T947" s="1" t="s">
        <v>921</v>
      </c>
      <c r="U947" s="1">
        <v>2</v>
      </c>
      <c r="V947" s="1" t="s">
        <v>767</v>
      </c>
      <c r="W947" s="1" t="s">
        <v>1237</v>
      </c>
      <c r="X947" s="1" t="s">
        <v>693</v>
      </c>
      <c r="Y947" s="3">
        <v>44557</v>
      </c>
      <c r="Z947" s="1">
        <v>2021</v>
      </c>
      <c r="AA947" s="2">
        <v>2221225.66</v>
      </c>
      <c r="AB947" s="2"/>
      <c r="AC947" s="2">
        <v>115000</v>
      </c>
      <c r="AD947" s="1">
        <v>5</v>
      </c>
      <c r="AE947" s="1">
        <v>4</v>
      </c>
      <c r="AG947" s="1" t="s">
        <v>21</v>
      </c>
      <c r="AH947" s="1" t="s">
        <v>1236</v>
      </c>
      <c r="AI947" s="2">
        <v>92000</v>
      </c>
      <c r="AK947" s="1"/>
      <c r="AV947" s="2"/>
      <c r="AW947" s="2"/>
      <c r="AX947" s="2"/>
      <c r="BA947" s="2"/>
    </row>
    <row r="948" spans="1:53" ht="15" customHeight="1" x14ac:dyDescent="0.2">
      <c r="A948" s="1" t="s">
        <v>19</v>
      </c>
      <c r="B948" s="5" t="s">
        <v>109</v>
      </c>
      <c r="C948" s="1" t="s">
        <v>37</v>
      </c>
      <c r="D948" s="24" t="s">
        <v>211</v>
      </c>
      <c r="E948" s="24" t="s">
        <v>35</v>
      </c>
      <c r="F948" s="1" t="s">
        <v>637</v>
      </c>
      <c r="G948" s="1" t="s">
        <v>636</v>
      </c>
      <c r="H948" s="1" t="s">
        <v>130</v>
      </c>
      <c r="I948" s="1" t="s">
        <v>1235</v>
      </c>
      <c r="J948" s="1">
        <v>2021</v>
      </c>
      <c r="K948" s="1" t="s">
        <v>1234</v>
      </c>
      <c r="P948" s="1" t="s">
        <v>1233</v>
      </c>
      <c r="Q948" s="1" t="s">
        <v>771</v>
      </c>
      <c r="R948" s="1" t="s">
        <v>897</v>
      </c>
      <c r="S948" s="1" t="s">
        <v>922</v>
      </c>
      <c r="T948" s="1" t="s">
        <v>921</v>
      </c>
      <c r="U948" s="1">
        <v>2</v>
      </c>
      <c r="V948" s="1" t="s">
        <v>767</v>
      </c>
      <c r="W948" s="1" t="s">
        <v>1232</v>
      </c>
      <c r="X948" s="1" t="s">
        <v>667</v>
      </c>
      <c r="Y948" s="3">
        <v>45104</v>
      </c>
      <c r="Z948" s="1">
        <v>2023</v>
      </c>
      <c r="AA948" s="2">
        <v>6466494.8799999999</v>
      </c>
      <c r="AB948" s="2"/>
      <c r="AC948" s="2">
        <v>969974.23200000008</v>
      </c>
      <c r="AD948" s="1">
        <v>73</v>
      </c>
      <c r="AE948" s="1">
        <v>73</v>
      </c>
      <c r="AG948" s="1" t="s">
        <v>106</v>
      </c>
      <c r="AH948" s="1" t="s">
        <v>1088</v>
      </c>
      <c r="AI948" s="2">
        <v>0</v>
      </c>
      <c r="AK948" s="1"/>
      <c r="AV948" s="2"/>
      <c r="AW948" s="2"/>
      <c r="AX948" s="2"/>
      <c r="BA948" s="2"/>
    </row>
    <row r="949" spans="1:53" ht="15" customHeight="1" x14ac:dyDescent="0.2">
      <c r="A949" s="1" t="s">
        <v>19</v>
      </c>
      <c r="B949" s="5" t="s">
        <v>109</v>
      </c>
      <c r="C949" s="1" t="s">
        <v>37</v>
      </c>
      <c r="D949" s="24" t="s">
        <v>211</v>
      </c>
      <c r="E949" s="24" t="s">
        <v>35</v>
      </c>
      <c r="F949" s="1" t="s">
        <v>637</v>
      </c>
      <c r="G949" s="1" t="s">
        <v>636</v>
      </c>
      <c r="H949" s="1" t="s">
        <v>130</v>
      </c>
      <c r="I949" s="1" t="s">
        <v>1231</v>
      </c>
      <c r="J949" s="1">
        <v>2021</v>
      </c>
      <c r="K949" s="1" t="s">
        <v>1225</v>
      </c>
      <c r="L949" s="1" t="s">
        <v>1230</v>
      </c>
      <c r="M949" s="1" t="s">
        <v>1229</v>
      </c>
      <c r="P949" s="1" t="s">
        <v>1228</v>
      </c>
      <c r="Q949" s="1" t="s">
        <v>780</v>
      </c>
      <c r="R949" s="1" t="s">
        <v>941</v>
      </c>
      <c r="S949" s="1" t="s">
        <v>1227</v>
      </c>
      <c r="T949" s="1" t="s">
        <v>1226</v>
      </c>
      <c r="U949" s="1">
        <v>2</v>
      </c>
      <c r="V949" s="1" t="s">
        <v>767</v>
      </c>
      <c r="W949" s="1" t="s">
        <v>1225</v>
      </c>
      <c r="X949" s="1" t="s">
        <v>667</v>
      </c>
      <c r="Y949" s="3">
        <v>44557</v>
      </c>
      <c r="Z949" s="1">
        <v>2021</v>
      </c>
      <c r="AA949" s="2">
        <v>4183830.98</v>
      </c>
      <c r="AB949" s="2"/>
      <c r="AC949" s="2">
        <v>625000</v>
      </c>
      <c r="AD949" s="1">
        <v>25</v>
      </c>
      <c r="AE949" s="1">
        <v>25</v>
      </c>
      <c r="AG949" s="1" t="s">
        <v>21</v>
      </c>
      <c r="AI949" s="2">
        <v>625000</v>
      </c>
      <c r="AK949" s="1"/>
      <c r="AV949" s="2"/>
      <c r="AW949" s="2"/>
      <c r="AX949" s="2"/>
      <c r="BA949" s="2"/>
    </row>
    <row r="950" spans="1:53" ht="15" customHeight="1" x14ac:dyDescent="0.2">
      <c r="A950" s="1" t="s">
        <v>19</v>
      </c>
      <c r="B950" s="5" t="s">
        <v>109</v>
      </c>
      <c r="C950" s="1" t="s">
        <v>37</v>
      </c>
      <c r="D950" s="24" t="s">
        <v>211</v>
      </c>
      <c r="E950" s="24" t="s">
        <v>35</v>
      </c>
      <c r="F950" s="1" t="s">
        <v>637</v>
      </c>
      <c r="G950" s="1" t="s">
        <v>636</v>
      </c>
      <c r="H950" s="1" t="s">
        <v>130</v>
      </c>
      <c r="I950" s="1" t="s">
        <v>1224</v>
      </c>
      <c r="J950" s="1">
        <v>2021</v>
      </c>
      <c r="K950" s="1" t="s">
        <v>1222</v>
      </c>
      <c r="P950" s="1" t="s">
        <v>1223</v>
      </c>
      <c r="Q950" s="1" t="s">
        <v>27</v>
      </c>
      <c r="R950" s="1" t="s">
        <v>26</v>
      </c>
      <c r="S950" s="1" t="s">
        <v>1146</v>
      </c>
      <c r="T950" s="1" t="s">
        <v>1145</v>
      </c>
      <c r="U950" s="1">
        <v>2</v>
      </c>
      <c r="V950" s="1" t="s">
        <v>767</v>
      </c>
      <c r="W950" s="1" t="s">
        <v>1222</v>
      </c>
      <c r="X950" s="1" t="s">
        <v>304</v>
      </c>
      <c r="Y950" s="3">
        <v>44741</v>
      </c>
      <c r="Z950" s="1">
        <v>2022</v>
      </c>
      <c r="AA950" s="2">
        <v>1915491.64</v>
      </c>
      <c r="AB950" s="2"/>
      <c r="AC950" s="2">
        <v>287323.74600000004</v>
      </c>
      <c r="AD950" s="1">
        <v>15</v>
      </c>
      <c r="AE950" s="1">
        <v>11</v>
      </c>
      <c r="AG950" s="1" t="s">
        <v>106</v>
      </c>
      <c r="AH950" s="1" t="s">
        <v>105</v>
      </c>
      <c r="AI950" s="2">
        <v>0</v>
      </c>
      <c r="AK950" s="1"/>
      <c r="AV950" s="2"/>
      <c r="AW950" s="2"/>
      <c r="AX950" s="2"/>
      <c r="BA950" s="2"/>
    </row>
    <row r="951" spans="1:53" ht="15" customHeight="1" x14ac:dyDescent="0.2">
      <c r="A951" s="1" t="s">
        <v>19</v>
      </c>
      <c r="B951" s="5" t="s">
        <v>109</v>
      </c>
      <c r="C951" s="1" t="s">
        <v>37</v>
      </c>
      <c r="D951" s="24" t="s">
        <v>211</v>
      </c>
      <c r="E951" s="24" t="s">
        <v>35</v>
      </c>
      <c r="F951" s="1" t="s">
        <v>637</v>
      </c>
      <c r="G951" s="1" t="s">
        <v>636</v>
      </c>
      <c r="H951" s="1" t="s">
        <v>130</v>
      </c>
      <c r="I951" s="1" t="s">
        <v>1221</v>
      </c>
      <c r="J951" s="1">
        <v>2021</v>
      </c>
      <c r="K951" s="1" t="s">
        <v>1219</v>
      </c>
      <c r="L951" s="1" t="s">
        <v>1219</v>
      </c>
      <c r="P951" s="1" t="s">
        <v>1220</v>
      </c>
      <c r="Q951" s="1" t="s">
        <v>27</v>
      </c>
      <c r="R951" s="1" t="s">
        <v>26</v>
      </c>
      <c r="S951" s="1" t="s">
        <v>805</v>
      </c>
      <c r="T951" s="1" t="s">
        <v>804</v>
      </c>
      <c r="U951" s="1">
        <v>2</v>
      </c>
      <c r="V951" s="1" t="s">
        <v>767</v>
      </c>
      <c r="W951" s="1" t="s">
        <v>1219</v>
      </c>
      <c r="X951" s="1" t="s">
        <v>304</v>
      </c>
      <c r="Y951" s="3">
        <v>44557</v>
      </c>
      <c r="Z951" s="1">
        <v>2021</v>
      </c>
      <c r="AA951" s="2">
        <v>3528444.35</v>
      </c>
      <c r="AB951" s="2"/>
      <c r="AC951" s="2">
        <v>375000</v>
      </c>
      <c r="AD951" s="1">
        <v>15</v>
      </c>
      <c r="AE951" s="1">
        <v>9</v>
      </c>
      <c r="AG951" s="1" t="s">
        <v>21</v>
      </c>
      <c r="AI951" s="2">
        <v>375000</v>
      </c>
      <c r="AK951" s="1"/>
      <c r="AV951" s="2"/>
      <c r="AW951" s="2"/>
      <c r="AX951" s="2"/>
      <c r="BA951" s="2"/>
    </row>
    <row r="952" spans="1:53" ht="15" customHeight="1" x14ac:dyDescent="0.2">
      <c r="A952" s="1" t="s">
        <v>19</v>
      </c>
      <c r="B952" s="5" t="s">
        <v>109</v>
      </c>
      <c r="C952" s="1" t="s">
        <v>37</v>
      </c>
      <c r="D952" s="24" t="s">
        <v>211</v>
      </c>
      <c r="E952" s="24" t="s">
        <v>35</v>
      </c>
      <c r="F952" s="1" t="s">
        <v>637</v>
      </c>
      <c r="G952" s="1" t="s">
        <v>636</v>
      </c>
      <c r="H952" s="1" t="s">
        <v>130</v>
      </c>
      <c r="I952" s="1" t="s">
        <v>1218</v>
      </c>
      <c r="J952" s="1">
        <v>2021</v>
      </c>
      <c r="K952" s="1" t="s">
        <v>1217</v>
      </c>
      <c r="P952" s="1" t="s">
        <v>1216</v>
      </c>
      <c r="Q952" s="1" t="s">
        <v>771</v>
      </c>
      <c r="R952" s="1" t="s">
        <v>897</v>
      </c>
      <c r="S952" s="1" t="s">
        <v>922</v>
      </c>
      <c r="T952" s="1" t="s">
        <v>921</v>
      </c>
      <c r="U952" s="1">
        <v>2</v>
      </c>
      <c r="V952" s="1" t="s">
        <v>767</v>
      </c>
      <c r="W952" s="1" t="s">
        <v>1215</v>
      </c>
      <c r="X952" s="1" t="s">
        <v>298</v>
      </c>
      <c r="Y952" s="3">
        <v>45104</v>
      </c>
      <c r="Z952" s="1">
        <v>2023</v>
      </c>
      <c r="AA952" s="2">
        <v>3331757.85</v>
      </c>
      <c r="AB952" s="2"/>
      <c r="AC952" s="2">
        <v>105000</v>
      </c>
      <c r="AD952" s="1">
        <v>5</v>
      </c>
      <c r="AE952" s="1">
        <v>2</v>
      </c>
      <c r="AG952" s="1" t="s">
        <v>106</v>
      </c>
      <c r="AH952" s="1" t="s">
        <v>1088</v>
      </c>
      <c r="AI952" s="2">
        <v>0</v>
      </c>
      <c r="AK952" s="1"/>
      <c r="AV952" s="2"/>
      <c r="AW952" s="2"/>
      <c r="AX952" s="2"/>
      <c r="BA952" s="2"/>
    </row>
    <row r="953" spans="1:53" ht="15" customHeight="1" x14ac:dyDescent="0.2">
      <c r="A953" s="1" t="s">
        <v>19</v>
      </c>
      <c r="B953" s="5" t="s">
        <v>109</v>
      </c>
      <c r="C953" s="1" t="s">
        <v>37</v>
      </c>
      <c r="D953" s="24" t="s">
        <v>211</v>
      </c>
      <c r="E953" s="24" t="s">
        <v>35</v>
      </c>
      <c r="F953" s="1" t="s">
        <v>637</v>
      </c>
      <c r="G953" s="1" t="s">
        <v>636</v>
      </c>
      <c r="H953" s="1" t="s">
        <v>130</v>
      </c>
      <c r="I953" s="1" t="s">
        <v>1214</v>
      </c>
      <c r="J953" s="1">
        <v>2021</v>
      </c>
      <c r="K953" s="1" t="s">
        <v>1213</v>
      </c>
      <c r="P953" s="1" t="s">
        <v>970</v>
      </c>
      <c r="Q953" s="1" t="s">
        <v>27</v>
      </c>
      <c r="R953" s="1" t="s">
        <v>26</v>
      </c>
      <c r="S953" s="1" t="s">
        <v>810</v>
      </c>
      <c r="T953" s="1" t="s">
        <v>809</v>
      </c>
      <c r="U953" s="1">
        <v>1</v>
      </c>
      <c r="V953" s="1" t="s">
        <v>767</v>
      </c>
      <c r="W953" s="1" t="s">
        <v>1212</v>
      </c>
      <c r="X953" s="1" t="s">
        <v>667</v>
      </c>
      <c r="Y953" s="3">
        <v>45098</v>
      </c>
      <c r="Z953" s="1">
        <v>2023</v>
      </c>
      <c r="AA953" s="2">
        <v>760208.25</v>
      </c>
      <c r="AB953" s="2"/>
      <c r="AC953" s="2">
        <v>150000</v>
      </c>
      <c r="AD953" s="1">
        <v>3</v>
      </c>
      <c r="AE953" s="1">
        <v>3</v>
      </c>
      <c r="AG953" s="1" t="s">
        <v>106</v>
      </c>
      <c r="AH953" s="1" t="s">
        <v>310</v>
      </c>
      <c r="AI953" s="2">
        <v>0</v>
      </c>
      <c r="AK953" s="1"/>
      <c r="AV953" s="2"/>
      <c r="AW953" s="2"/>
      <c r="AX953" s="2"/>
      <c r="BA953" s="2"/>
    </row>
    <row r="954" spans="1:53" ht="15" customHeight="1" x14ac:dyDescent="0.25">
      <c r="A954" s="1" t="s">
        <v>19</v>
      </c>
      <c r="B954" s="5" t="s">
        <v>109</v>
      </c>
      <c r="C954" s="1" t="s">
        <v>37</v>
      </c>
      <c r="D954" s="24" t="s">
        <v>211</v>
      </c>
      <c r="E954" s="24" t="s">
        <v>35</v>
      </c>
      <c r="F954" s="1" t="s">
        <v>637</v>
      </c>
      <c r="G954" s="1" t="s">
        <v>636</v>
      </c>
      <c r="H954" s="1" t="s">
        <v>130</v>
      </c>
      <c r="I954" s="1" t="s">
        <v>1211</v>
      </c>
      <c r="J954" s="1">
        <v>2021</v>
      </c>
      <c r="K954" s="1" t="s">
        <v>1210</v>
      </c>
      <c r="L954" s="1" t="s">
        <v>1208</v>
      </c>
      <c r="P954" s="1" t="s">
        <v>1209</v>
      </c>
      <c r="Q954" s="1" t="s">
        <v>771</v>
      </c>
      <c r="R954" s="1" t="s">
        <v>897</v>
      </c>
      <c r="S954" s="10" t="s">
        <v>896</v>
      </c>
      <c r="T954" s="1" t="s">
        <v>895</v>
      </c>
      <c r="U954" s="1">
        <v>2</v>
      </c>
      <c r="V954" s="1" t="s">
        <v>767</v>
      </c>
      <c r="W954" s="1" t="s">
        <v>1208</v>
      </c>
      <c r="X954" s="1" t="s">
        <v>319</v>
      </c>
      <c r="Y954" s="3">
        <v>44557</v>
      </c>
      <c r="Z954" s="1">
        <v>2021</v>
      </c>
      <c r="AA954" s="2">
        <v>1984396.32</v>
      </c>
      <c r="AB954" s="2"/>
      <c r="AC954" s="2">
        <v>90000</v>
      </c>
      <c r="AD954" s="1">
        <v>4</v>
      </c>
      <c r="AE954" s="1">
        <v>3</v>
      </c>
      <c r="AG954" s="1" t="s">
        <v>21</v>
      </c>
      <c r="AH954" s="1" t="s">
        <v>1115</v>
      </c>
      <c r="AI954" s="2">
        <v>90000</v>
      </c>
      <c r="AK954" s="1"/>
      <c r="AV954" s="2"/>
      <c r="AW954" s="2"/>
      <c r="AX954" s="2"/>
      <c r="BA954" s="2"/>
    </row>
    <row r="955" spans="1:53" ht="15" customHeight="1" x14ac:dyDescent="0.2">
      <c r="A955" s="1" t="s">
        <v>19</v>
      </c>
      <c r="B955" s="5" t="s">
        <v>109</v>
      </c>
      <c r="C955" s="1" t="s">
        <v>37</v>
      </c>
      <c r="D955" s="24" t="s">
        <v>211</v>
      </c>
      <c r="E955" s="24" t="s">
        <v>35</v>
      </c>
      <c r="F955" s="1" t="s">
        <v>637</v>
      </c>
      <c r="G955" s="1" t="s">
        <v>636</v>
      </c>
      <c r="H955" s="1" t="s">
        <v>130</v>
      </c>
      <c r="I955" s="1" t="s">
        <v>1207</v>
      </c>
      <c r="J955" s="1">
        <v>2021</v>
      </c>
      <c r="K955" s="1" t="s">
        <v>1206</v>
      </c>
      <c r="P955" s="1" t="s">
        <v>1205</v>
      </c>
      <c r="Q955" s="1" t="s">
        <v>771</v>
      </c>
      <c r="R955" s="1" t="s">
        <v>897</v>
      </c>
      <c r="S955" s="1" t="s">
        <v>922</v>
      </c>
      <c r="T955" s="1" t="s">
        <v>921</v>
      </c>
      <c r="U955" s="1">
        <v>2</v>
      </c>
      <c r="V955" s="1" t="s">
        <v>767</v>
      </c>
      <c r="W955" s="1" t="s">
        <v>1204</v>
      </c>
      <c r="X955" s="1" t="s">
        <v>693</v>
      </c>
      <c r="Y955" s="3">
        <v>44557</v>
      </c>
      <c r="Z955" s="1">
        <v>2021</v>
      </c>
      <c r="AA955" s="2">
        <v>717933.88</v>
      </c>
      <c r="AB955" s="2"/>
      <c r="AC955" s="2">
        <v>75000</v>
      </c>
      <c r="AD955" s="1">
        <v>3</v>
      </c>
      <c r="AE955" s="1">
        <v>3</v>
      </c>
      <c r="AG955" s="1" t="s">
        <v>106</v>
      </c>
      <c r="AH955" s="1" t="s">
        <v>105</v>
      </c>
      <c r="AI955" s="2">
        <v>0</v>
      </c>
      <c r="AK955" s="1"/>
      <c r="AV955" s="2"/>
      <c r="AW955" s="2"/>
      <c r="AX955" s="2"/>
      <c r="BA955" s="2"/>
    </row>
    <row r="956" spans="1:53" ht="15" customHeight="1" x14ac:dyDescent="0.2">
      <c r="A956" s="1" t="s">
        <v>19</v>
      </c>
      <c r="B956" s="5" t="s">
        <v>109</v>
      </c>
      <c r="C956" s="1" t="s">
        <v>37</v>
      </c>
      <c r="D956" s="24" t="s">
        <v>211</v>
      </c>
      <c r="E956" s="24" t="s">
        <v>35</v>
      </c>
      <c r="F956" s="1" t="s">
        <v>637</v>
      </c>
      <c r="G956" s="1" t="s">
        <v>636</v>
      </c>
      <c r="H956" s="1" t="s">
        <v>130</v>
      </c>
      <c r="I956" s="1" t="s">
        <v>1203</v>
      </c>
      <c r="J956" s="1">
        <v>2021</v>
      </c>
      <c r="K956" s="1" t="s">
        <v>1202</v>
      </c>
      <c r="P956" s="1" t="s">
        <v>1201</v>
      </c>
      <c r="Q956" s="1" t="s">
        <v>27</v>
      </c>
      <c r="R956" s="1" t="s">
        <v>26</v>
      </c>
      <c r="S956" s="1" t="s">
        <v>810</v>
      </c>
      <c r="T956" s="1" t="s">
        <v>809</v>
      </c>
      <c r="U956" s="1">
        <v>1</v>
      </c>
      <c r="V956" s="1" t="s">
        <v>767</v>
      </c>
      <c r="W956" s="1" t="s">
        <v>1200</v>
      </c>
      <c r="X956" s="1" t="s">
        <v>667</v>
      </c>
      <c r="Y956" s="3">
        <v>44832</v>
      </c>
      <c r="Z956" s="1">
        <v>2022</v>
      </c>
      <c r="AA956" s="2">
        <v>4279130</v>
      </c>
      <c r="AB956" s="2"/>
      <c r="AC956" s="2">
        <v>1283739.0000000002</v>
      </c>
      <c r="AD956" s="1">
        <v>34</v>
      </c>
      <c r="AE956" s="1">
        <v>30</v>
      </c>
      <c r="AG956" s="1" t="s">
        <v>106</v>
      </c>
      <c r="AH956" s="1" t="s">
        <v>105</v>
      </c>
      <c r="AI956" s="2">
        <v>0</v>
      </c>
      <c r="AK956" s="1"/>
      <c r="AV956" s="2"/>
      <c r="AW956" s="2"/>
      <c r="AX956" s="2"/>
      <c r="BA956" s="2"/>
    </row>
    <row r="957" spans="1:53" ht="15" customHeight="1" x14ac:dyDescent="0.25">
      <c r="A957" s="1" t="s">
        <v>19</v>
      </c>
      <c r="B957" s="5" t="s">
        <v>109</v>
      </c>
      <c r="C957" s="1" t="s">
        <v>37</v>
      </c>
      <c r="D957" s="24" t="s">
        <v>211</v>
      </c>
      <c r="E957" s="24" t="s">
        <v>35</v>
      </c>
      <c r="F957" s="1" t="s">
        <v>637</v>
      </c>
      <c r="G957" s="1" t="s">
        <v>636</v>
      </c>
      <c r="H957" s="1" t="s">
        <v>130</v>
      </c>
      <c r="I957" s="1" t="s">
        <v>1199</v>
      </c>
      <c r="J957" s="1">
        <v>2021</v>
      </c>
      <c r="K957" s="1" t="s">
        <v>1198</v>
      </c>
      <c r="L957" s="1" t="s">
        <v>1196</v>
      </c>
      <c r="P957" s="1" t="s">
        <v>1197</v>
      </c>
      <c r="Q957" s="1" t="s">
        <v>771</v>
      </c>
      <c r="R957" s="1" t="s">
        <v>897</v>
      </c>
      <c r="S957" s="10" t="s">
        <v>896</v>
      </c>
      <c r="T957" s="1" t="s">
        <v>895</v>
      </c>
      <c r="U957" s="1">
        <v>2</v>
      </c>
      <c r="V957" s="1" t="s">
        <v>767</v>
      </c>
      <c r="W957" s="1" t="s">
        <v>1196</v>
      </c>
      <c r="X957" s="1" t="s">
        <v>693</v>
      </c>
      <c r="Y957" s="3">
        <v>44557</v>
      </c>
      <c r="Z957" s="1">
        <v>2021</v>
      </c>
      <c r="AA957" s="2">
        <v>6991147.0700000003</v>
      </c>
      <c r="AB957" s="2"/>
      <c r="AC957" s="2">
        <v>225000</v>
      </c>
      <c r="AD957" s="1">
        <v>11</v>
      </c>
      <c r="AE957" s="1">
        <v>1</v>
      </c>
      <c r="AG957" s="1" t="s">
        <v>21</v>
      </c>
      <c r="AH957" s="1" t="s">
        <v>1079</v>
      </c>
      <c r="AI957" s="2">
        <v>87521.22</v>
      </c>
      <c r="AK957" s="1"/>
      <c r="AL957" s="29" t="s">
        <v>1195</v>
      </c>
      <c r="AV957" s="2"/>
      <c r="AW957" s="2"/>
      <c r="AX957" s="2"/>
      <c r="BA957" s="2"/>
    </row>
    <row r="958" spans="1:53" ht="15" customHeight="1" x14ac:dyDescent="0.2">
      <c r="A958" s="1" t="s">
        <v>19</v>
      </c>
      <c r="B958" s="5" t="s">
        <v>109</v>
      </c>
      <c r="C958" s="1" t="s">
        <v>37</v>
      </c>
      <c r="D958" s="24" t="s">
        <v>211</v>
      </c>
      <c r="E958" s="24" t="s">
        <v>35</v>
      </c>
      <c r="F958" s="1" t="s">
        <v>637</v>
      </c>
      <c r="G958" s="1" t="s">
        <v>636</v>
      </c>
      <c r="H958" s="1" t="s">
        <v>130</v>
      </c>
      <c r="I958" s="1" t="s">
        <v>1194</v>
      </c>
      <c r="J958" s="1">
        <v>2021</v>
      </c>
      <c r="K958" s="1" t="s">
        <v>1193</v>
      </c>
      <c r="P958" s="1" t="s">
        <v>1192</v>
      </c>
      <c r="Q958" s="1" t="s">
        <v>27</v>
      </c>
      <c r="R958" s="1" t="s">
        <v>26</v>
      </c>
      <c r="S958" s="1" t="s">
        <v>862</v>
      </c>
      <c r="T958" s="1" t="s">
        <v>861</v>
      </c>
      <c r="U958" s="1">
        <v>2</v>
      </c>
      <c r="V958" s="1" t="s">
        <v>767</v>
      </c>
      <c r="W958" s="1" t="s">
        <v>1191</v>
      </c>
      <c r="X958" s="1" t="s">
        <v>298</v>
      </c>
      <c r="Y958" s="3">
        <v>44817</v>
      </c>
      <c r="Z958" s="1">
        <v>2022</v>
      </c>
      <c r="AA958" s="2">
        <v>3482043</v>
      </c>
      <c r="AB958" s="2"/>
      <c r="AC958" s="2">
        <v>45000</v>
      </c>
      <c r="AD958" s="1">
        <v>3</v>
      </c>
      <c r="AG958" s="1" t="s">
        <v>106</v>
      </c>
      <c r="AH958" s="1" t="s">
        <v>105</v>
      </c>
      <c r="AI958" s="2">
        <v>0</v>
      </c>
      <c r="AK958" s="1"/>
      <c r="AV958" s="2"/>
      <c r="AW958" s="2"/>
      <c r="AX958" s="2"/>
      <c r="BA958" s="2"/>
    </row>
    <row r="959" spans="1:53" ht="15" customHeight="1" x14ac:dyDescent="0.2">
      <c r="A959" s="1" t="s">
        <v>19</v>
      </c>
      <c r="B959" s="5" t="s">
        <v>109</v>
      </c>
      <c r="C959" s="1" t="s">
        <v>37</v>
      </c>
      <c r="D959" s="24" t="s">
        <v>211</v>
      </c>
      <c r="E959" s="24" t="s">
        <v>35</v>
      </c>
      <c r="F959" s="1" t="s">
        <v>637</v>
      </c>
      <c r="G959" s="1" t="s">
        <v>636</v>
      </c>
      <c r="H959" s="1" t="s">
        <v>130</v>
      </c>
      <c r="I959" s="1" t="s">
        <v>1190</v>
      </c>
      <c r="J959" s="1">
        <v>2021</v>
      </c>
      <c r="K959" s="1" t="s">
        <v>1188</v>
      </c>
      <c r="P959" s="1" t="s">
        <v>1189</v>
      </c>
      <c r="Q959" s="1" t="s">
        <v>780</v>
      </c>
      <c r="R959" s="1" t="s">
        <v>779</v>
      </c>
      <c r="S959" s="1" t="s">
        <v>778</v>
      </c>
      <c r="T959" s="1" t="s">
        <v>777</v>
      </c>
      <c r="U959" s="1">
        <v>2</v>
      </c>
      <c r="V959" s="1" t="s">
        <v>767</v>
      </c>
      <c r="W959" s="1" t="s">
        <v>1188</v>
      </c>
      <c r="X959" s="1" t="s">
        <v>667</v>
      </c>
      <c r="Y959" s="3">
        <v>44610</v>
      </c>
      <c r="Z959" s="1">
        <v>2022</v>
      </c>
      <c r="AA959" s="2">
        <v>157307.97</v>
      </c>
      <c r="AB959" s="2"/>
      <c r="AC959" s="2">
        <v>23596.195500000005</v>
      </c>
      <c r="AD959" s="1">
        <v>3</v>
      </c>
      <c r="AE959" s="1">
        <v>3</v>
      </c>
      <c r="AG959" s="1" t="s">
        <v>106</v>
      </c>
      <c r="AH959" s="1" t="s">
        <v>105</v>
      </c>
      <c r="AI959" s="2">
        <v>0</v>
      </c>
      <c r="AK959" s="1"/>
      <c r="AL959" s="7" t="s">
        <v>1187</v>
      </c>
      <c r="AV959" s="2"/>
      <c r="AW959" s="2"/>
      <c r="AX959" s="2"/>
      <c r="BA959" s="2"/>
    </row>
    <row r="960" spans="1:53" ht="15" customHeight="1" x14ac:dyDescent="0.2">
      <c r="A960" s="1" t="s">
        <v>19</v>
      </c>
      <c r="B960" s="5" t="s">
        <v>109</v>
      </c>
      <c r="C960" s="1" t="s">
        <v>37</v>
      </c>
      <c r="D960" s="24" t="s">
        <v>211</v>
      </c>
      <c r="E960" s="24" t="s">
        <v>35</v>
      </c>
      <c r="F960" s="1" t="s">
        <v>637</v>
      </c>
      <c r="G960" s="1" t="s">
        <v>636</v>
      </c>
      <c r="H960" s="1" t="s">
        <v>130</v>
      </c>
      <c r="I960" s="1" t="s">
        <v>1186</v>
      </c>
      <c r="J960" s="1">
        <v>2021</v>
      </c>
      <c r="K960" s="1" t="s">
        <v>1185</v>
      </c>
      <c r="L960" s="1" t="s">
        <v>1184</v>
      </c>
      <c r="P960" s="1" t="s">
        <v>1183</v>
      </c>
      <c r="Q960" s="1" t="s">
        <v>788</v>
      </c>
      <c r="R960" s="1" t="s">
        <v>787</v>
      </c>
      <c r="S960" s="1" t="s">
        <v>786</v>
      </c>
      <c r="T960" s="1" t="s">
        <v>785</v>
      </c>
      <c r="U960" s="1">
        <v>1</v>
      </c>
      <c r="V960" s="1" t="s">
        <v>767</v>
      </c>
      <c r="W960" s="1" t="s">
        <v>1182</v>
      </c>
      <c r="X960" s="1" t="s">
        <v>52</v>
      </c>
      <c r="Y960" s="3">
        <v>44557</v>
      </c>
      <c r="Z960" s="1">
        <v>2021</v>
      </c>
      <c r="AA960" s="2">
        <v>1482420</v>
      </c>
      <c r="AB960" s="2"/>
      <c r="AC960" s="2">
        <v>667089</v>
      </c>
      <c r="AD960" s="1">
        <v>20</v>
      </c>
      <c r="AE960" s="1">
        <v>1</v>
      </c>
      <c r="AG960" s="1" t="s">
        <v>21</v>
      </c>
      <c r="AI960" s="2">
        <v>667089</v>
      </c>
      <c r="AK960" s="1"/>
      <c r="AV960" s="2"/>
      <c r="AW960" s="2"/>
      <c r="AX960" s="2"/>
      <c r="BA960" s="2"/>
    </row>
    <row r="961" spans="1:53" ht="15" customHeight="1" x14ac:dyDescent="0.2">
      <c r="A961" s="1" t="s">
        <v>19</v>
      </c>
      <c r="B961" s="5" t="s">
        <v>109</v>
      </c>
      <c r="C961" s="1" t="s">
        <v>37</v>
      </c>
      <c r="D961" s="24" t="s">
        <v>211</v>
      </c>
      <c r="E961" s="24" t="s">
        <v>35</v>
      </c>
      <c r="F961" s="1" t="s">
        <v>637</v>
      </c>
      <c r="G961" s="1" t="s">
        <v>636</v>
      </c>
      <c r="H961" s="1" t="s">
        <v>130</v>
      </c>
      <c r="I961" s="1" t="s">
        <v>1181</v>
      </c>
      <c r="J961" s="1">
        <v>2021</v>
      </c>
      <c r="K961" s="1" t="s">
        <v>1179</v>
      </c>
      <c r="P961" s="1" t="s">
        <v>1180</v>
      </c>
      <c r="Q961" s="1" t="s">
        <v>27</v>
      </c>
      <c r="R961" s="1" t="s">
        <v>26</v>
      </c>
      <c r="S961" s="1" t="s">
        <v>810</v>
      </c>
      <c r="T961" s="1" t="s">
        <v>809</v>
      </c>
      <c r="U961" s="1">
        <v>1</v>
      </c>
      <c r="V961" s="1" t="s">
        <v>767</v>
      </c>
      <c r="W961" s="1" t="s">
        <v>1179</v>
      </c>
      <c r="X961" s="1" t="s">
        <v>667</v>
      </c>
      <c r="Y961" s="3">
        <v>44557</v>
      </c>
      <c r="Z961" s="1">
        <v>2021</v>
      </c>
      <c r="AA961" s="2">
        <v>2179987.96</v>
      </c>
      <c r="AB961" s="2"/>
      <c r="AC961" s="2">
        <v>217998.796</v>
      </c>
      <c r="AD961" s="1">
        <v>26</v>
      </c>
      <c r="AE961" s="1">
        <v>22</v>
      </c>
      <c r="AG961" s="1" t="s">
        <v>106</v>
      </c>
      <c r="AH961" s="1" t="s">
        <v>310</v>
      </c>
      <c r="AI961" s="2">
        <v>0</v>
      </c>
      <c r="AK961" s="1"/>
      <c r="AV961" s="2"/>
      <c r="AW961" s="2"/>
      <c r="AX961" s="2"/>
      <c r="BA961" s="2"/>
    </row>
    <row r="962" spans="1:53" ht="15" customHeight="1" x14ac:dyDescent="0.2">
      <c r="A962" s="1" t="s">
        <v>19</v>
      </c>
      <c r="B962" s="5" t="s">
        <v>109</v>
      </c>
      <c r="C962" s="1" t="s">
        <v>37</v>
      </c>
      <c r="D962" s="24" t="s">
        <v>211</v>
      </c>
      <c r="E962" s="24" t="s">
        <v>35</v>
      </c>
      <c r="F962" s="1" t="s">
        <v>637</v>
      </c>
      <c r="G962" s="1" t="s">
        <v>636</v>
      </c>
      <c r="H962" s="1" t="s">
        <v>130</v>
      </c>
      <c r="I962" s="1" t="s">
        <v>1178</v>
      </c>
      <c r="J962" s="1">
        <v>2021</v>
      </c>
      <c r="K962" s="1" t="s">
        <v>1174</v>
      </c>
      <c r="P962" s="1" t="s">
        <v>1177</v>
      </c>
      <c r="Q962" s="1" t="s">
        <v>771</v>
      </c>
      <c r="R962" s="1" t="s">
        <v>1060</v>
      </c>
      <c r="S962" s="1" t="s">
        <v>1176</v>
      </c>
      <c r="T962" s="1" t="s">
        <v>1175</v>
      </c>
      <c r="U962" s="1">
        <v>2</v>
      </c>
      <c r="V962" s="1" t="s">
        <v>767</v>
      </c>
      <c r="W962" s="1" t="s">
        <v>1174</v>
      </c>
      <c r="X962" s="1" t="s">
        <v>298</v>
      </c>
      <c r="Y962" s="3">
        <v>45098</v>
      </c>
      <c r="Z962" s="1">
        <v>2023</v>
      </c>
      <c r="AA962" s="2">
        <v>1964443.68</v>
      </c>
      <c r="AB962" s="2"/>
      <c r="AC962" s="2">
        <v>220000</v>
      </c>
      <c r="AD962" s="1">
        <v>12</v>
      </c>
      <c r="AG962" s="1" t="s">
        <v>106</v>
      </c>
      <c r="AH962" s="1" t="s">
        <v>1088</v>
      </c>
      <c r="AI962" s="2">
        <v>0</v>
      </c>
      <c r="AK962" s="1"/>
      <c r="AV962" s="2"/>
      <c r="AW962" s="2"/>
      <c r="AX962" s="2"/>
      <c r="BA962" s="2"/>
    </row>
    <row r="963" spans="1:53" ht="15" customHeight="1" x14ac:dyDescent="0.2">
      <c r="A963" s="1" t="s">
        <v>19</v>
      </c>
      <c r="B963" s="5" t="s">
        <v>109</v>
      </c>
      <c r="C963" s="1" t="s">
        <v>37</v>
      </c>
      <c r="D963" s="24" t="s">
        <v>211</v>
      </c>
      <c r="E963" s="24" t="s">
        <v>35</v>
      </c>
      <c r="F963" s="1" t="s">
        <v>260</v>
      </c>
      <c r="G963" s="1" t="s">
        <v>259</v>
      </c>
      <c r="H963" s="1" t="s">
        <v>130</v>
      </c>
      <c r="I963" s="1" t="s">
        <v>1173</v>
      </c>
      <c r="J963" s="1">
        <v>2021</v>
      </c>
      <c r="K963" s="1" t="s">
        <v>997</v>
      </c>
      <c r="L963" s="1" t="s">
        <v>1171</v>
      </c>
      <c r="P963" s="1" t="s">
        <v>1172</v>
      </c>
      <c r="Q963" s="1" t="s">
        <v>771</v>
      </c>
      <c r="R963" s="1" t="s">
        <v>897</v>
      </c>
      <c r="S963" s="1" t="s">
        <v>922</v>
      </c>
      <c r="T963" s="1" t="s">
        <v>921</v>
      </c>
      <c r="U963" s="1">
        <v>2</v>
      </c>
      <c r="V963" s="1" t="s">
        <v>767</v>
      </c>
      <c r="W963" s="1" t="s">
        <v>1171</v>
      </c>
      <c r="X963" s="1" t="s">
        <v>693</v>
      </c>
      <c r="Y963" s="3">
        <v>44557</v>
      </c>
      <c r="Z963" s="1">
        <v>2021</v>
      </c>
      <c r="AA963" s="2">
        <v>499800</v>
      </c>
      <c r="AB963" s="2"/>
      <c r="AC963" s="2">
        <v>49980</v>
      </c>
      <c r="AD963" s="1">
        <v>2</v>
      </c>
      <c r="AE963" s="1">
        <v>2</v>
      </c>
      <c r="AG963" s="1" t="s">
        <v>21</v>
      </c>
      <c r="AH963" s="1" t="s">
        <v>1115</v>
      </c>
      <c r="AI963" s="2">
        <v>49980</v>
      </c>
      <c r="AK963" s="1"/>
      <c r="AV963" s="2"/>
      <c r="AW963" s="2"/>
      <c r="AX963" s="2"/>
      <c r="BA963" s="2"/>
    </row>
    <row r="964" spans="1:53" ht="15" customHeight="1" x14ac:dyDescent="0.2">
      <c r="A964" s="1" t="s">
        <v>19</v>
      </c>
      <c r="B964" s="5" t="s">
        <v>109</v>
      </c>
      <c r="C964" s="1" t="s">
        <v>37</v>
      </c>
      <c r="D964" s="24" t="s">
        <v>211</v>
      </c>
      <c r="E964" s="24" t="s">
        <v>35</v>
      </c>
      <c r="F964" s="1" t="s">
        <v>260</v>
      </c>
      <c r="G964" s="1" t="s">
        <v>259</v>
      </c>
      <c r="H964" s="1" t="s">
        <v>130</v>
      </c>
      <c r="I964" s="1" t="s">
        <v>1170</v>
      </c>
      <c r="J964" s="1">
        <v>2021</v>
      </c>
      <c r="K964" s="1" t="s">
        <v>1168</v>
      </c>
      <c r="P964" s="1" t="s">
        <v>1169</v>
      </c>
      <c r="Q964" s="1" t="s">
        <v>27</v>
      </c>
      <c r="R964" s="1" t="s">
        <v>26</v>
      </c>
      <c r="S964" s="1" t="s">
        <v>862</v>
      </c>
      <c r="T964" s="1" t="s">
        <v>861</v>
      </c>
      <c r="U964" s="1">
        <v>2</v>
      </c>
      <c r="V964" s="1" t="s">
        <v>767</v>
      </c>
      <c r="W964" s="1" t="s">
        <v>1168</v>
      </c>
      <c r="X964" s="1" t="s">
        <v>304</v>
      </c>
      <c r="Y964" s="3">
        <v>44557</v>
      </c>
      <c r="Z964" s="1">
        <v>2021</v>
      </c>
      <c r="AA964" s="2">
        <v>39017.35</v>
      </c>
      <c r="AB964" s="2"/>
      <c r="AC964" s="2">
        <v>5852.6</v>
      </c>
      <c r="AD964" s="1">
        <v>0</v>
      </c>
      <c r="AG964" s="1" t="s">
        <v>106</v>
      </c>
      <c r="AH964" s="1" t="s">
        <v>310</v>
      </c>
      <c r="AI964" s="2">
        <v>0</v>
      </c>
      <c r="AK964" s="1"/>
      <c r="AV964" s="2"/>
      <c r="AW964" s="2"/>
      <c r="AX964" s="2"/>
      <c r="BA964" s="2"/>
    </row>
    <row r="965" spans="1:53" ht="15" customHeight="1" x14ac:dyDescent="0.2">
      <c r="A965" s="1" t="s">
        <v>19</v>
      </c>
      <c r="B965" s="5" t="s">
        <v>109</v>
      </c>
      <c r="C965" s="1" t="s">
        <v>37</v>
      </c>
      <c r="D965" s="24" t="s">
        <v>211</v>
      </c>
      <c r="E965" s="24" t="s">
        <v>35</v>
      </c>
      <c r="F965" s="1" t="s">
        <v>260</v>
      </c>
      <c r="G965" s="1" t="s">
        <v>259</v>
      </c>
      <c r="H965" s="1" t="s">
        <v>130</v>
      </c>
      <c r="I965" s="1" t="s">
        <v>1167</v>
      </c>
      <c r="J965" s="1">
        <v>2021</v>
      </c>
      <c r="K965" s="1" t="s">
        <v>1162</v>
      </c>
      <c r="L965" s="1" t="s">
        <v>1166</v>
      </c>
      <c r="P965" s="1" t="s">
        <v>1165</v>
      </c>
      <c r="Q965" s="1" t="s">
        <v>780</v>
      </c>
      <c r="R965" s="1" t="s">
        <v>941</v>
      </c>
      <c r="S965" s="1" t="s">
        <v>1164</v>
      </c>
      <c r="T965" s="1" t="s">
        <v>1163</v>
      </c>
      <c r="U965" s="1">
        <v>2</v>
      </c>
      <c r="V965" s="1" t="s">
        <v>767</v>
      </c>
      <c r="W965" s="1" t="s">
        <v>1162</v>
      </c>
      <c r="X965" s="1" t="s">
        <v>304</v>
      </c>
      <c r="Y965" s="3">
        <v>44557</v>
      </c>
      <c r="Z965" s="1">
        <v>2021</v>
      </c>
      <c r="AA965" s="2">
        <v>191082.08</v>
      </c>
      <c r="AB965" s="2"/>
      <c r="AC965" s="2">
        <v>50000</v>
      </c>
      <c r="AD965" s="1">
        <v>1</v>
      </c>
      <c r="AE965" s="1">
        <v>1</v>
      </c>
      <c r="AG965" s="1" t="s">
        <v>21</v>
      </c>
      <c r="AI965" s="2">
        <v>50000</v>
      </c>
      <c r="AK965" s="1"/>
      <c r="AV965" s="2"/>
      <c r="AW965" s="2"/>
      <c r="AX965" s="2"/>
      <c r="BA965" s="2"/>
    </row>
    <row r="966" spans="1:53" ht="15" customHeight="1" x14ac:dyDescent="0.2">
      <c r="A966" s="1" t="s">
        <v>19</v>
      </c>
      <c r="B966" s="5" t="s">
        <v>109</v>
      </c>
      <c r="C966" s="1" t="s">
        <v>37</v>
      </c>
      <c r="D966" s="24" t="s">
        <v>211</v>
      </c>
      <c r="E966" s="24" t="s">
        <v>35</v>
      </c>
      <c r="F966" s="1" t="s">
        <v>260</v>
      </c>
      <c r="G966" s="1" t="s">
        <v>259</v>
      </c>
      <c r="H966" s="1" t="s">
        <v>130</v>
      </c>
      <c r="I966" s="1" t="s">
        <v>1161</v>
      </c>
      <c r="J966" s="1">
        <v>2021</v>
      </c>
      <c r="K966" s="1" t="s">
        <v>976</v>
      </c>
      <c r="L966" s="1" t="s">
        <v>976</v>
      </c>
      <c r="P966" s="1" t="s">
        <v>975</v>
      </c>
      <c r="Q966" s="1" t="s">
        <v>771</v>
      </c>
      <c r="R966" s="1" t="s">
        <v>897</v>
      </c>
      <c r="S966" s="1" t="s">
        <v>922</v>
      </c>
      <c r="T966" s="1" t="s">
        <v>921</v>
      </c>
      <c r="U966" s="1">
        <v>2</v>
      </c>
      <c r="V966" s="1" t="s">
        <v>767</v>
      </c>
      <c r="W966" s="1" t="s">
        <v>1160</v>
      </c>
      <c r="X966" s="1" t="s">
        <v>693</v>
      </c>
      <c r="Y966" s="3">
        <v>44557</v>
      </c>
      <c r="Z966" s="1">
        <v>2021</v>
      </c>
      <c r="AA966" s="2">
        <v>466070.88</v>
      </c>
      <c r="AB966" s="2"/>
      <c r="AC966" s="2">
        <v>46607.09</v>
      </c>
      <c r="AD966" s="1">
        <v>2</v>
      </c>
      <c r="AE966" s="1">
        <v>2</v>
      </c>
      <c r="AG966" s="1" t="s">
        <v>106</v>
      </c>
      <c r="AH966" s="1" t="s">
        <v>105</v>
      </c>
      <c r="AI966" s="2">
        <v>0</v>
      </c>
      <c r="AK966" s="1"/>
      <c r="AV966" s="2"/>
      <c r="AW966" s="2"/>
      <c r="AX966" s="2"/>
      <c r="BA966" s="2"/>
    </row>
    <row r="967" spans="1:53" ht="15" customHeight="1" x14ac:dyDescent="0.2">
      <c r="A967" s="1" t="s">
        <v>19</v>
      </c>
      <c r="B967" s="5" t="s">
        <v>109</v>
      </c>
      <c r="C967" s="1" t="s">
        <v>37</v>
      </c>
      <c r="D967" s="24" t="s">
        <v>211</v>
      </c>
      <c r="E967" s="24" t="s">
        <v>35</v>
      </c>
      <c r="F967" s="1" t="s">
        <v>260</v>
      </c>
      <c r="G967" s="1" t="s">
        <v>259</v>
      </c>
      <c r="H967" s="1" t="s">
        <v>130</v>
      </c>
      <c r="I967" s="1" t="s">
        <v>1159</v>
      </c>
      <c r="J967" s="1">
        <v>2021</v>
      </c>
      <c r="K967" s="1" t="s">
        <v>1157</v>
      </c>
      <c r="P967" s="1" t="s">
        <v>1158</v>
      </c>
      <c r="Q967" s="1" t="s">
        <v>27</v>
      </c>
      <c r="R967" s="1" t="s">
        <v>26</v>
      </c>
      <c r="S967" s="1" t="s">
        <v>805</v>
      </c>
      <c r="T967" s="1" t="s">
        <v>804</v>
      </c>
      <c r="U967" s="1">
        <v>2</v>
      </c>
      <c r="V967" s="1" t="s">
        <v>767</v>
      </c>
      <c r="W967" s="1" t="s">
        <v>1157</v>
      </c>
      <c r="X967" s="1" t="s">
        <v>667</v>
      </c>
      <c r="Y967" s="3">
        <v>45064</v>
      </c>
      <c r="Z967" s="1">
        <v>2023</v>
      </c>
      <c r="AA967" s="2">
        <v>116662.67</v>
      </c>
      <c r="AB967" s="2"/>
      <c r="AC967" s="2">
        <v>17499.400000000001</v>
      </c>
      <c r="AD967" s="1">
        <v>1</v>
      </c>
      <c r="AE967" s="1">
        <v>1</v>
      </c>
      <c r="AG967" s="1" t="s">
        <v>106</v>
      </c>
      <c r="AH967" s="1" t="s">
        <v>105</v>
      </c>
      <c r="AI967" s="2">
        <v>0</v>
      </c>
      <c r="AK967" s="1"/>
      <c r="AV967" s="2"/>
      <c r="AW967" s="2"/>
      <c r="AX967" s="2"/>
      <c r="BA967" s="2"/>
    </row>
    <row r="968" spans="1:53" ht="15" customHeight="1" x14ac:dyDescent="0.2">
      <c r="A968" s="1" t="s">
        <v>19</v>
      </c>
      <c r="B968" s="5" t="s">
        <v>109</v>
      </c>
      <c r="C968" s="1" t="s">
        <v>37</v>
      </c>
      <c r="D968" s="24" t="s">
        <v>211</v>
      </c>
      <c r="E968" s="24" t="s">
        <v>35</v>
      </c>
      <c r="F968" s="1" t="s">
        <v>260</v>
      </c>
      <c r="G968" s="1" t="s">
        <v>259</v>
      </c>
      <c r="H968" s="1" t="s">
        <v>130</v>
      </c>
      <c r="I968" s="1" t="s">
        <v>1156</v>
      </c>
      <c r="J968" s="1">
        <v>2021</v>
      </c>
      <c r="K968" s="1" t="s">
        <v>1155</v>
      </c>
      <c r="L968" s="1" t="s">
        <v>1153</v>
      </c>
      <c r="P968" s="1" t="s">
        <v>1154</v>
      </c>
      <c r="Q968" s="1" t="s">
        <v>27</v>
      </c>
      <c r="R968" s="1" t="s">
        <v>26</v>
      </c>
      <c r="S968" s="1" t="s">
        <v>810</v>
      </c>
      <c r="T968" s="1" t="s">
        <v>809</v>
      </c>
      <c r="U968" s="1">
        <v>1</v>
      </c>
      <c r="V968" s="1" t="s">
        <v>767</v>
      </c>
      <c r="W968" s="1" t="s">
        <v>1153</v>
      </c>
      <c r="X968" s="1" t="s">
        <v>298</v>
      </c>
      <c r="Y968" s="3">
        <v>44557</v>
      </c>
      <c r="Z968" s="1">
        <v>2021</v>
      </c>
      <c r="AA968" s="2">
        <v>172445.3</v>
      </c>
      <c r="AB968" s="2"/>
      <c r="AC968" s="2">
        <v>51733.59</v>
      </c>
      <c r="AD968" s="1">
        <v>0</v>
      </c>
      <c r="AG968" s="1" t="s">
        <v>21</v>
      </c>
      <c r="AI968" s="2">
        <v>51733.59</v>
      </c>
      <c r="AK968" s="1"/>
      <c r="AV968" s="2"/>
      <c r="AW968" s="2"/>
      <c r="AX968" s="2"/>
      <c r="BA968" s="2"/>
    </row>
    <row r="969" spans="1:53" ht="15" customHeight="1" x14ac:dyDescent="0.2">
      <c r="A969" s="1" t="s">
        <v>19</v>
      </c>
      <c r="B969" s="5" t="s">
        <v>109</v>
      </c>
      <c r="C969" s="1" t="s">
        <v>37</v>
      </c>
      <c r="D969" s="24" t="s">
        <v>211</v>
      </c>
      <c r="E969" s="24" t="s">
        <v>35</v>
      </c>
      <c r="F969" s="1" t="s">
        <v>260</v>
      </c>
      <c r="G969" s="1" t="s">
        <v>259</v>
      </c>
      <c r="H969" s="1" t="s">
        <v>130</v>
      </c>
      <c r="I969" s="1" t="s">
        <v>1152</v>
      </c>
      <c r="J969" s="1">
        <v>2021</v>
      </c>
      <c r="K969" s="1" t="s">
        <v>1150</v>
      </c>
      <c r="P969" s="1" t="s">
        <v>1151</v>
      </c>
      <c r="Q969" s="1" t="s">
        <v>27</v>
      </c>
      <c r="R969" s="1" t="s">
        <v>26</v>
      </c>
      <c r="S969" s="1" t="s">
        <v>810</v>
      </c>
      <c r="T969" s="1" t="s">
        <v>809</v>
      </c>
      <c r="U969" s="1">
        <v>1</v>
      </c>
      <c r="V969" s="1" t="s">
        <v>767</v>
      </c>
      <c r="W969" s="1" t="s">
        <v>1150</v>
      </c>
      <c r="X969" s="1" t="s">
        <v>298</v>
      </c>
      <c r="Y969" s="3">
        <v>44557</v>
      </c>
      <c r="Z969" s="1">
        <v>2021</v>
      </c>
      <c r="AA969" s="2">
        <v>60273.22</v>
      </c>
      <c r="AB969" s="2"/>
      <c r="AC969" s="2">
        <v>18081.97</v>
      </c>
      <c r="AD969" s="1">
        <v>0</v>
      </c>
      <c r="AG969" s="1" t="s">
        <v>106</v>
      </c>
      <c r="AH969" s="1" t="s">
        <v>310</v>
      </c>
      <c r="AI969" s="2">
        <v>0</v>
      </c>
      <c r="AK969" s="1"/>
      <c r="AV969" s="2"/>
      <c r="AW969" s="2"/>
      <c r="AX969" s="2"/>
      <c r="BA969" s="2"/>
    </row>
    <row r="970" spans="1:53" ht="15" customHeight="1" x14ac:dyDescent="0.2">
      <c r="A970" s="1" t="s">
        <v>19</v>
      </c>
      <c r="B970" s="5" t="s">
        <v>109</v>
      </c>
      <c r="C970" s="1" t="s">
        <v>37</v>
      </c>
      <c r="D970" s="24" t="s">
        <v>211</v>
      </c>
      <c r="E970" s="24" t="s">
        <v>35</v>
      </c>
      <c r="F970" s="1" t="s">
        <v>260</v>
      </c>
      <c r="G970" s="1" t="s">
        <v>259</v>
      </c>
      <c r="H970" s="1" t="s">
        <v>130</v>
      </c>
      <c r="I970" s="1" t="s">
        <v>1149</v>
      </c>
      <c r="J970" s="1">
        <v>2021</v>
      </c>
      <c r="K970" s="1" t="s">
        <v>1148</v>
      </c>
      <c r="L970" s="1" t="s">
        <v>1144</v>
      </c>
      <c r="P970" s="1" t="s">
        <v>1147</v>
      </c>
      <c r="Q970" s="1" t="s">
        <v>27</v>
      </c>
      <c r="R970" s="1" t="s">
        <v>26</v>
      </c>
      <c r="S970" s="1" t="s">
        <v>1146</v>
      </c>
      <c r="T970" s="1" t="s">
        <v>1145</v>
      </c>
      <c r="U970" s="1">
        <v>2</v>
      </c>
      <c r="V970" s="1" t="s">
        <v>767</v>
      </c>
      <c r="W970" s="1" t="s">
        <v>1144</v>
      </c>
      <c r="X970" s="1" t="s">
        <v>529</v>
      </c>
      <c r="Y970" s="3">
        <v>44557</v>
      </c>
      <c r="Z970" s="1">
        <v>2021</v>
      </c>
      <c r="AA970" s="2">
        <v>140935.26</v>
      </c>
      <c r="AB970" s="2"/>
      <c r="AC970" s="2">
        <v>21140.29</v>
      </c>
      <c r="AD970" s="1">
        <v>1.03</v>
      </c>
      <c r="AE970" s="1">
        <v>0.7</v>
      </c>
      <c r="AG970" s="1" t="s">
        <v>21</v>
      </c>
      <c r="AI970" s="2">
        <v>21140.29</v>
      </c>
      <c r="AK970" s="1"/>
      <c r="AV970" s="2"/>
      <c r="AW970" s="2"/>
      <c r="AX970" s="2"/>
      <c r="BA970" s="2"/>
    </row>
    <row r="971" spans="1:53" ht="15" customHeight="1" x14ac:dyDescent="0.2">
      <c r="A971" s="1" t="s">
        <v>19</v>
      </c>
      <c r="B971" s="5" t="s">
        <v>109</v>
      </c>
      <c r="C971" s="1" t="s">
        <v>37</v>
      </c>
      <c r="D971" s="24" t="s">
        <v>211</v>
      </c>
      <c r="E971" s="24" t="s">
        <v>35</v>
      </c>
      <c r="F971" s="1" t="s">
        <v>260</v>
      </c>
      <c r="G971" s="1" t="s">
        <v>259</v>
      </c>
      <c r="H971" s="1" t="s">
        <v>130</v>
      </c>
      <c r="I971" s="1" t="s">
        <v>1143</v>
      </c>
      <c r="J971" s="1">
        <v>2021</v>
      </c>
      <c r="K971" s="1" t="s">
        <v>1142</v>
      </c>
      <c r="L971" s="1" t="s">
        <v>1140</v>
      </c>
      <c r="P971" s="1" t="s">
        <v>1141</v>
      </c>
      <c r="Q971" s="1" t="s">
        <v>27</v>
      </c>
      <c r="R971" s="1" t="s">
        <v>26</v>
      </c>
      <c r="S971" s="1" t="s">
        <v>862</v>
      </c>
      <c r="T971" s="1" t="s">
        <v>861</v>
      </c>
      <c r="U971" s="1">
        <v>2</v>
      </c>
      <c r="V971" s="1" t="s">
        <v>767</v>
      </c>
      <c r="W971" s="1" t="s">
        <v>1140</v>
      </c>
      <c r="X971" s="1" t="s">
        <v>667</v>
      </c>
      <c r="Y971" s="3">
        <v>44557</v>
      </c>
      <c r="Z971" s="1">
        <v>2021</v>
      </c>
      <c r="AA971" s="2">
        <v>37598.239999999998</v>
      </c>
      <c r="AB971" s="2"/>
      <c r="AC971" s="2">
        <v>5639.74</v>
      </c>
      <c r="AD971" s="1">
        <v>1</v>
      </c>
      <c r="AG971" s="1" t="s">
        <v>21</v>
      </c>
      <c r="AI971" s="2">
        <v>5639.74</v>
      </c>
      <c r="AK971" s="1"/>
      <c r="AV971" s="2"/>
      <c r="AW971" s="2"/>
      <c r="AX971" s="2"/>
      <c r="BA971" s="2"/>
    </row>
    <row r="972" spans="1:53" ht="15" customHeight="1" x14ac:dyDescent="0.2">
      <c r="A972" s="1" t="s">
        <v>19</v>
      </c>
      <c r="B972" s="5" t="s">
        <v>109</v>
      </c>
      <c r="C972" s="1" t="s">
        <v>37</v>
      </c>
      <c r="D972" s="24" t="s">
        <v>211</v>
      </c>
      <c r="E972" s="24" t="s">
        <v>35</v>
      </c>
      <c r="F972" s="1" t="s">
        <v>260</v>
      </c>
      <c r="G972" s="1" t="s">
        <v>259</v>
      </c>
      <c r="H972" s="1" t="s">
        <v>130</v>
      </c>
      <c r="I972" s="1" t="s">
        <v>1139</v>
      </c>
      <c r="J972" s="1">
        <v>2021</v>
      </c>
      <c r="K972" s="1" t="s">
        <v>1138</v>
      </c>
      <c r="L972" s="1" t="s">
        <v>1136</v>
      </c>
      <c r="P972" s="1" t="s">
        <v>1137</v>
      </c>
      <c r="Q972" s="1" t="s">
        <v>27</v>
      </c>
      <c r="R972" s="1" t="s">
        <v>26</v>
      </c>
      <c r="S972" s="1" t="s">
        <v>805</v>
      </c>
      <c r="T972" s="1" t="s">
        <v>804</v>
      </c>
      <c r="U972" s="1">
        <v>2</v>
      </c>
      <c r="V972" s="1" t="s">
        <v>767</v>
      </c>
      <c r="W972" s="1" t="s">
        <v>1136</v>
      </c>
      <c r="X972" s="1" t="s">
        <v>667</v>
      </c>
      <c r="Y972" s="3">
        <v>44557</v>
      </c>
      <c r="Z972" s="1">
        <v>2021</v>
      </c>
      <c r="AA972" s="2">
        <v>59900</v>
      </c>
      <c r="AB972" s="2"/>
      <c r="AC972" s="2">
        <v>8985</v>
      </c>
      <c r="AD972" s="1">
        <v>1</v>
      </c>
      <c r="AE972" s="1">
        <v>1</v>
      </c>
      <c r="AG972" s="1" t="s">
        <v>21</v>
      </c>
      <c r="AI972" s="2">
        <v>8985</v>
      </c>
      <c r="AK972" s="1"/>
      <c r="AV972" s="2"/>
      <c r="AW972" s="2"/>
      <c r="AX972" s="2"/>
      <c r="BA972" s="2"/>
    </row>
    <row r="973" spans="1:53" ht="15" customHeight="1" x14ac:dyDescent="0.2">
      <c r="A973" s="1" t="s">
        <v>19</v>
      </c>
      <c r="B973" s="5" t="s">
        <v>109</v>
      </c>
      <c r="C973" s="1" t="s">
        <v>37</v>
      </c>
      <c r="D973" s="24" t="s">
        <v>211</v>
      </c>
      <c r="E973" s="24" t="s">
        <v>35</v>
      </c>
      <c r="F973" s="1" t="s">
        <v>260</v>
      </c>
      <c r="G973" s="1" t="s">
        <v>259</v>
      </c>
      <c r="H973" s="1" t="s">
        <v>130</v>
      </c>
      <c r="I973" s="1" t="s">
        <v>1135</v>
      </c>
      <c r="J973" s="1">
        <v>2021</v>
      </c>
      <c r="K973" s="1" t="s">
        <v>1134</v>
      </c>
      <c r="L973" s="1" t="s">
        <v>1132</v>
      </c>
      <c r="P973" s="1" t="s">
        <v>1133</v>
      </c>
      <c r="Q973" s="1" t="s">
        <v>27</v>
      </c>
      <c r="R973" s="1" t="s">
        <v>26</v>
      </c>
      <c r="S973" s="1" t="s">
        <v>810</v>
      </c>
      <c r="T973" s="1" t="s">
        <v>809</v>
      </c>
      <c r="U973" s="1">
        <v>1</v>
      </c>
      <c r="V973" s="1" t="s">
        <v>767</v>
      </c>
      <c r="W973" s="1" t="s">
        <v>1132</v>
      </c>
      <c r="X973" s="1" t="s">
        <v>298</v>
      </c>
      <c r="Y973" s="3">
        <v>44557</v>
      </c>
      <c r="Z973" s="1">
        <v>2021</v>
      </c>
      <c r="AA973" s="2">
        <v>128384</v>
      </c>
      <c r="AB973" s="2"/>
      <c r="AC973" s="2">
        <v>38515.199999999997</v>
      </c>
      <c r="AD973" s="1">
        <v>2</v>
      </c>
      <c r="AG973" s="1" t="s">
        <v>21</v>
      </c>
      <c r="AI973" s="2">
        <v>38515.199999999997</v>
      </c>
      <c r="AK973" s="1"/>
      <c r="AL973" s="19" t="s">
        <v>1131</v>
      </c>
      <c r="AV973" s="2"/>
      <c r="AW973" s="2"/>
      <c r="AX973" s="2"/>
      <c r="BA973" s="2"/>
    </row>
    <row r="974" spans="1:53" ht="15" customHeight="1" x14ac:dyDescent="0.2">
      <c r="A974" s="1" t="s">
        <v>19</v>
      </c>
      <c r="B974" s="5" t="s">
        <v>109</v>
      </c>
      <c r="C974" s="1" t="s">
        <v>37</v>
      </c>
      <c r="D974" s="24" t="s">
        <v>211</v>
      </c>
      <c r="E974" s="24" t="s">
        <v>35</v>
      </c>
      <c r="F974" s="1" t="s">
        <v>260</v>
      </c>
      <c r="G974" s="1" t="s">
        <v>259</v>
      </c>
      <c r="H974" s="1" t="s">
        <v>130</v>
      </c>
      <c r="I974" s="1" t="s">
        <v>1130</v>
      </c>
      <c r="J974" s="1">
        <v>2021</v>
      </c>
      <c r="K974" s="1" t="s">
        <v>1129</v>
      </c>
      <c r="P974" s="1" t="s">
        <v>1128</v>
      </c>
      <c r="Q974" s="1" t="s">
        <v>27</v>
      </c>
      <c r="R974" s="1" t="s">
        <v>26</v>
      </c>
      <c r="S974" s="1" t="s">
        <v>805</v>
      </c>
      <c r="T974" s="1" t="s">
        <v>804</v>
      </c>
      <c r="U974" s="1">
        <v>2</v>
      </c>
      <c r="V974" s="1" t="s">
        <v>767</v>
      </c>
      <c r="W974" s="1" t="s">
        <v>1127</v>
      </c>
      <c r="X974" s="1" t="s">
        <v>304</v>
      </c>
      <c r="Y974" s="3">
        <v>44557</v>
      </c>
      <c r="Z974" s="1">
        <v>2021</v>
      </c>
      <c r="AA974" s="2">
        <v>197576.25</v>
      </c>
      <c r="AB974" s="2"/>
      <c r="AC974" s="2">
        <v>29636.44</v>
      </c>
      <c r="AD974" s="1">
        <v>2</v>
      </c>
      <c r="AE974" s="1">
        <v>2</v>
      </c>
      <c r="AG974" s="1" t="s">
        <v>106</v>
      </c>
      <c r="AH974" s="1" t="s">
        <v>310</v>
      </c>
      <c r="AI974" s="2">
        <v>0</v>
      </c>
      <c r="AK974" s="1"/>
      <c r="AV974" s="2"/>
      <c r="AW974" s="2"/>
      <c r="AX974" s="2"/>
      <c r="BA974" s="2"/>
    </row>
    <row r="975" spans="1:53" ht="15" customHeight="1" x14ac:dyDescent="0.2">
      <c r="A975" s="1" t="s">
        <v>19</v>
      </c>
      <c r="B975" s="5" t="s">
        <v>109</v>
      </c>
      <c r="C975" s="1" t="s">
        <v>37</v>
      </c>
      <c r="D975" s="24" t="s">
        <v>211</v>
      </c>
      <c r="E975" s="24" t="s">
        <v>35</v>
      </c>
      <c r="F975" s="1" t="s">
        <v>260</v>
      </c>
      <c r="G975" s="1" t="s">
        <v>259</v>
      </c>
      <c r="H975" s="1" t="s">
        <v>130</v>
      </c>
      <c r="I975" s="1" t="s">
        <v>1126</v>
      </c>
      <c r="J975" s="1">
        <v>2021</v>
      </c>
      <c r="K975" s="1" t="s">
        <v>1125</v>
      </c>
      <c r="L975" s="1" t="s">
        <v>1123</v>
      </c>
      <c r="P975" s="1" t="s">
        <v>1124</v>
      </c>
      <c r="Q975" s="1" t="s">
        <v>771</v>
      </c>
      <c r="R975" s="1" t="s">
        <v>770</v>
      </c>
      <c r="S975" s="1" t="s">
        <v>769</v>
      </c>
      <c r="T975" s="1" t="s">
        <v>768</v>
      </c>
      <c r="U975" s="1">
        <v>1</v>
      </c>
      <c r="V975" s="1" t="s">
        <v>767</v>
      </c>
      <c r="W975" s="1" t="s">
        <v>1123</v>
      </c>
      <c r="X975" s="1" t="s">
        <v>693</v>
      </c>
      <c r="Y975" s="3">
        <v>44557</v>
      </c>
      <c r="Z975" s="1">
        <v>2021</v>
      </c>
      <c r="AA975" s="2">
        <v>499647.61</v>
      </c>
      <c r="AB975" s="2"/>
      <c r="AC975" s="2">
        <v>50000</v>
      </c>
      <c r="AD975" s="1">
        <v>1</v>
      </c>
      <c r="AE975" s="1">
        <v>1</v>
      </c>
      <c r="AG975" s="1" t="s">
        <v>21</v>
      </c>
      <c r="AH975" s="1" t="s">
        <v>1079</v>
      </c>
      <c r="AI975" s="2">
        <v>33090.480000000003</v>
      </c>
      <c r="AK975" s="1"/>
      <c r="AV975" s="2"/>
      <c r="AW975" s="2"/>
      <c r="AX975" s="2"/>
      <c r="BA975" s="2"/>
    </row>
    <row r="976" spans="1:53" ht="15" customHeight="1" x14ac:dyDescent="0.2">
      <c r="A976" s="1" t="s">
        <v>19</v>
      </c>
      <c r="B976" s="5" t="s">
        <v>109</v>
      </c>
      <c r="C976" s="1" t="s">
        <v>37</v>
      </c>
      <c r="D976" s="24" t="s">
        <v>211</v>
      </c>
      <c r="E976" s="24" t="s">
        <v>35</v>
      </c>
      <c r="F976" s="1" t="s">
        <v>260</v>
      </c>
      <c r="G976" s="1" t="s">
        <v>259</v>
      </c>
      <c r="H976" s="1" t="s">
        <v>130</v>
      </c>
      <c r="I976" s="1" t="s">
        <v>1122</v>
      </c>
      <c r="J976" s="1">
        <v>2021</v>
      </c>
      <c r="K976" s="1" t="s">
        <v>1121</v>
      </c>
      <c r="L976" s="1" t="s">
        <v>1119</v>
      </c>
      <c r="P976" s="1" t="s">
        <v>1120</v>
      </c>
      <c r="Q976" s="1" t="s">
        <v>771</v>
      </c>
      <c r="R976" s="1" t="s">
        <v>897</v>
      </c>
      <c r="S976" s="1" t="s">
        <v>922</v>
      </c>
      <c r="T976" s="1" t="s">
        <v>921</v>
      </c>
      <c r="U976" s="1">
        <v>2</v>
      </c>
      <c r="V976" s="1" t="s">
        <v>767</v>
      </c>
      <c r="W976" s="1" t="s">
        <v>1119</v>
      </c>
      <c r="X976" s="1" t="s">
        <v>298</v>
      </c>
      <c r="Y976" s="3">
        <v>44557</v>
      </c>
      <c r="Z976" s="1">
        <v>2021</v>
      </c>
      <c r="AA976" s="2">
        <v>366500</v>
      </c>
      <c r="AB976" s="2"/>
      <c r="AC976" s="2">
        <v>30000</v>
      </c>
      <c r="AD976" s="1">
        <v>2</v>
      </c>
      <c r="AG976" s="1" t="s">
        <v>21</v>
      </c>
      <c r="AH976" s="1" t="s">
        <v>1079</v>
      </c>
      <c r="AI976" s="2">
        <v>15712.15</v>
      </c>
      <c r="AK976" s="1"/>
      <c r="AV976" s="2"/>
      <c r="AW976" s="2"/>
      <c r="AX976" s="2"/>
      <c r="BA976" s="2"/>
    </row>
    <row r="977" spans="1:53" ht="15" customHeight="1" x14ac:dyDescent="0.2">
      <c r="A977" s="1" t="s">
        <v>19</v>
      </c>
      <c r="B977" s="5" t="s">
        <v>109</v>
      </c>
      <c r="C977" s="1" t="s">
        <v>37</v>
      </c>
      <c r="D977" s="24" t="s">
        <v>211</v>
      </c>
      <c r="E977" s="24" t="s">
        <v>35</v>
      </c>
      <c r="F977" s="1" t="s">
        <v>260</v>
      </c>
      <c r="G977" s="1" t="s">
        <v>259</v>
      </c>
      <c r="H977" s="1" t="s">
        <v>130</v>
      </c>
      <c r="I977" s="1" t="s">
        <v>1118</v>
      </c>
      <c r="J977" s="1">
        <v>2021</v>
      </c>
      <c r="K977" s="1" t="s">
        <v>997</v>
      </c>
      <c r="L977" s="1" t="s">
        <v>1116</v>
      </c>
      <c r="P977" s="1" t="s">
        <v>1117</v>
      </c>
      <c r="Q977" s="1" t="s">
        <v>771</v>
      </c>
      <c r="R977" s="1" t="s">
        <v>897</v>
      </c>
      <c r="S977" s="1" t="s">
        <v>922</v>
      </c>
      <c r="T977" s="1" t="s">
        <v>921</v>
      </c>
      <c r="U977" s="1">
        <v>2</v>
      </c>
      <c r="V977" s="1" t="s">
        <v>767</v>
      </c>
      <c r="W977" s="1" t="s">
        <v>1116</v>
      </c>
      <c r="X977" s="1" t="s">
        <v>693</v>
      </c>
      <c r="Y977" s="3">
        <v>44557</v>
      </c>
      <c r="Z977" s="1">
        <v>2021</v>
      </c>
      <c r="AA977" s="2">
        <v>191462</v>
      </c>
      <c r="AB977" s="2"/>
      <c r="AC977" s="2">
        <v>25000</v>
      </c>
      <c r="AD977" s="1">
        <v>1</v>
      </c>
      <c r="AE977" s="1">
        <v>1</v>
      </c>
      <c r="AG977" s="1" t="s">
        <v>21</v>
      </c>
      <c r="AH977" s="1" t="s">
        <v>1115</v>
      </c>
      <c r="AI977" s="2">
        <v>25000</v>
      </c>
      <c r="AK977" s="1"/>
      <c r="AV977" s="2"/>
      <c r="AW977" s="2"/>
      <c r="AX977" s="2"/>
      <c r="BA977" s="2"/>
    </row>
    <row r="978" spans="1:53" ht="15" customHeight="1" x14ac:dyDescent="0.2">
      <c r="A978" s="1" t="s">
        <v>19</v>
      </c>
      <c r="B978" s="5" t="s">
        <v>109</v>
      </c>
      <c r="C978" s="1" t="s">
        <v>37</v>
      </c>
      <c r="D978" s="24" t="s">
        <v>211</v>
      </c>
      <c r="E978" s="24" t="s">
        <v>35</v>
      </c>
      <c r="F978" s="1" t="s">
        <v>260</v>
      </c>
      <c r="G978" s="1" t="s">
        <v>259</v>
      </c>
      <c r="H978" s="1" t="s">
        <v>130</v>
      </c>
      <c r="I978" s="1" t="s">
        <v>1114</v>
      </c>
      <c r="J978" s="1">
        <v>2021</v>
      </c>
      <c r="K978" s="1" t="s">
        <v>1113</v>
      </c>
      <c r="L978" s="1" t="s">
        <v>1111</v>
      </c>
      <c r="P978" s="1" t="s">
        <v>1112</v>
      </c>
      <c r="Q978" s="1" t="s">
        <v>27</v>
      </c>
      <c r="R978" s="1" t="s">
        <v>26</v>
      </c>
      <c r="S978" s="1" t="s">
        <v>856</v>
      </c>
      <c r="T978" s="1" t="s">
        <v>855</v>
      </c>
      <c r="U978" s="1">
        <v>2</v>
      </c>
      <c r="V978" s="1" t="s">
        <v>767</v>
      </c>
      <c r="W978" s="1" t="s">
        <v>1111</v>
      </c>
      <c r="X978" s="1" t="s">
        <v>298</v>
      </c>
      <c r="Y978" s="3">
        <v>44557</v>
      </c>
      <c r="Z978" s="1">
        <v>2021</v>
      </c>
      <c r="AA978" s="2">
        <v>64910</v>
      </c>
      <c r="AB978" s="2"/>
      <c r="AC978" s="2">
        <v>9736.5</v>
      </c>
      <c r="AD978" s="1">
        <v>1</v>
      </c>
      <c r="AG978" s="1" t="s">
        <v>21</v>
      </c>
      <c r="AI978" s="2">
        <v>9736.5</v>
      </c>
      <c r="AK978" s="1"/>
      <c r="AV978" s="2"/>
      <c r="AW978" s="2"/>
      <c r="AX978" s="2"/>
      <c r="BA978" s="2"/>
    </row>
    <row r="979" spans="1:53" ht="15" customHeight="1" x14ac:dyDescent="0.2">
      <c r="A979" s="1" t="s">
        <v>19</v>
      </c>
      <c r="B979" s="5" t="s">
        <v>109</v>
      </c>
      <c r="C979" s="1" t="s">
        <v>37</v>
      </c>
      <c r="D979" s="24" t="s">
        <v>211</v>
      </c>
      <c r="E979" s="24" t="s">
        <v>35</v>
      </c>
      <c r="F979" s="1" t="s">
        <v>260</v>
      </c>
      <c r="G979" s="1" t="s">
        <v>259</v>
      </c>
      <c r="H979" s="1" t="s">
        <v>130</v>
      </c>
      <c r="I979" s="1" t="s">
        <v>1110</v>
      </c>
      <c r="J979" s="1">
        <v>2021</v>
      </c>
      <c r="K979" s="1" t="s">
        <v>1109</v>
      </c>
      <c r="L979" s="1" t="s">
        <v>1107</v>
      </c>
      <c r="P979" s="1" t="s">
        <v>1108</v>
      </c>
      <c r="Q979" s="1" t="s">
        <v>27</v>
      </c>
      <c r="R979" s="1" t="s">
        <v>26</v>
      </c>
      <c r="S979" s="1" t="s">
        <v>862</v>
      </c>
      <c r="T979" s="1" t="s">
        <v>861</v>
      </c>
      <c r="U979" s="1">
        <v>2</v>
      </c>
      <c r="V979" s="1" t="s">
        <v>767</v>
      </c>
      <c r="W979" s="1" t="s">
        <v>1107</v>
      </c>
      <c r="X979" s="1" t="s">
        <v>667</v>
      </c>
      <c r="Y979" s="3">
        <v>44557</v>
      </c>
      <c r="Z979" s="1">
        <v>2021</v>
      </c>
      <c r="AA979" s="2">
        <v>489875</v>
      </c>
      <c r="AB979" s="2"/>
      <c r="AC979" s="2">
        <v>73481.25</v>
      </c>
      <c r="AD979" s="1">
        <v>4</v>
      </c>
      <c r="AE979" s="1">
        <v>3</v>
      </c>
      <c r="AG979" s="1" t="s">
        <v>21</v>
      </c>
      <c r="AI979" s="2">
        <v>73481.25</v>
      </c>
      <c r="AK979" s="1"/>
      <c r="AV979" s="2"/>
      <c r="AW979" s="2"/>
      <c r="AX979" s="2"/>
      <c r="BA979" s="2"/>
    </row>
    <row r="980" spans="1:53" ht="15" customHeight="1" x14ac:dyDescent="0.2">
      <c r="A980" s="1" t="s">
        <v>19</v>
      </c>
      <c r="B980" s="5" t="s">
        <v>109</v>
      </c>
      <c r="C980" s="1" t="s">
        <v>37</v>
      </c>
      <c r="D980" s="24" t="s">
        <v>211</v>
      </c>
      <c r="E980" s="24" t="s">
        <v>35</v>
      </c>
      <c r="F980" s="1" t="s">
        <v>260</v>
      </c>
      <c r="G980" s="1" t="s">
        <v>259</v>
      </c>
      <c r="H980" s="1" t="s">
        <v>130</v>
      </c>
      <c r="I980" s="1" t="s">
        <v>1106</v>
      </c>
      <c r="J980" s="1">
        <v>2021</v>
      </c>
      <c r="K980" s="1" t="s">
        <v>1105</v>
      </c>
      <c r="L980" s="1" t="s">
        <v>1103</v>
      </c>
      <c r="P980" s="1" t="s">
        <v>1104</v>
      </c>
      <c r="Q980" s="1" t="s">
        <v>771</v>
      </c>
      <c r="R980" s="1" t="s">
        <v>770</v>
      </c>
      <c r="S980" s="1" t="s">
        <v>769</v>
      </c>
      <c r="T980" s="1" t="s">
        <v>768</v>
      </c>
      <c r="U980" s="1">
        <v>1</v>
      </c>
      <c r="V980" s="1" t="s">
        <v>767</v>
      </c>
      <c r="W980" s="1" t="s">
        <v>1103</v>
      </c>
      <c r="X980" s="1" t="s">
        <v>667</v>
      </c>
      <c r="Y980" s="3">
        <v>44557</v>
      </c>
      <c r="Z980" s="1">
        <v>2021</v>
      </c>
      <c r="AA980" s="2">
        <v>105443.89</v>
      </c>
      <c r="AB980" s="2"/>
      <c r="AC980" s="2">
        <v>31633.17</v>
      </c>
      <c r="AD980" s="1">
        <v>1</v>
      </c>
      <c r="AE980" s="1">
        <v>1</v>
      </c>
      <c r="AG980" s="1" t="s">
        <v>106</v>
      </c>
      <c r="AH980" s="1" t="s">
        <v>1088</v>
      </c>
      <c r="AI980" s="2">
        <v>0</v>
      </c>
      <c r="AK980" s="1"/>
      <c r="AV980" s="2"/>
      <c r="AW980" s="2"/>
      <c r="AX980" s="2"/>
      <c r="BA980" s="2"/>
    </row>
    <row r="981" spans="1:53" ht="15" customHeight="1" x14ac:dyDescent="0.2">
      <c r="A981" s="1" t="s">
        <v>19</v>
      </c>
      <c r="B981" s="5" t="s">
        <v>109</v>
      </c>
      <c r="C981" s="1" t="s">
        <v>37</v>
      </c>
      <c r="D981" s="24" t="s">
        <v>211</v>
      </c>
      <c r="E981" s="24" t="s">
        <v>35</v>
      </c>
      <c r="F981" s="1" t="s">
        <v>260</v>
      </c>
      <c r="G981" s="1" t="s">
        <v>259</v>
      </c>
      <c r="H981" s="1" t="s">
        <v>130</v>
      </c>
      <c r="I981" s="1" t="s">
        <v>1102</v>
      </c>
      <c r="J981" s="1">
        <v>2021</v>
      </c>
      <c r="K981" s="1" t="s">
        <v>1101</v>
      </c>
      <c r="L981" s="1" t="s">
        <v>1099</v>
      </c>
      <c r="P981" s="1" t="s">
        <v>1100</v>
      </c>
      <c r="Q981" s="1" t="s">
        <v>771</v>
      </c>
      <c r="R981" s="1" t="s">
        <v>897</v>
      </c>
      <c r="S981" s="1" t="s">
        <v>922</v>
      </c>
      <c r="T981" s="1" t="s">
        <v>921</v>
      </c>
      <c r="U981" s="1">
        <v>2</v>
      </c>
      <c r="V981" s="1" t="s">
        <v>767</v>
      </c>
      <c r="W981" s="1" t="s">
        <v>1099</v>
      </c>
      <c r="X981" s="1" t="s">
        <v>298</v>
      </c>
      <c r="Y981" s="3">
        <v>44557</v>
      </c>
      <c r="Z981" s="1">
        <v>2021</v>
      </c>
      <c r="AA981" s="2">
        <v>486498.3</v>
      </c>
      <c r="AB981" s="2"/>
      <c r="AC981" s="2">
        <v>25000</v>
      </c>
      <c r="AD981" s="1">
        <v>1</v>
      </c>
      <c r="AG981" s="1" t="s">
        <v>106</v>
      </c>
      <c r="AH981" s="1" t="s">
        <v>105</v>
      </c>
      <c r="AI981" s="2">
        <v>0</v>
      </c>
      <c r="AK981" s="1"/>
      <c r="AV981" s="2"/>
      <c r="AW981" s="2"/>
      <c r="AX981" s="2"/>
      <c r="BA981" s="2"/>
    </row>
    <row r="982" spans="1:53" ht="15" customHeight="1" x14ac:dyDescent="0.2">
      <c r="A982" s="1" t="s">
        <v>19</v>
      </c>
      <c r="B982" s="5" t="s">
        <v>109</v>
      </c>
      <c r="C982" s="1" t="s">
        <v>37</v>
      </c>
      <c r="D982" s="24" t="s">
        <v>211</v>
      </c>
      <c r="E982" s="24" t="s">
        <v>35</v>
      </c>
      <c r="F982" s="1" t="s">
        <v>260</v>
      </c>
      <c r="G982" s="1" t="s">
        <v>259</v>
      </c>
      <c r="H982" s="1" t="s">
        <v>130</v>
      </c>
      <c r="I982" s="1" t="s">
        <v>1098</v>
      </c>
      <c r="J982" s="1">
        <v>2021</v>
      </c>
      <c r="K982" s="1" t="s">
        <v>1096</v>
      </c>
      <c r="P982" s="1" t="s">
        <v>1097</v>
      </c>
      <c r="Q982" s="1" t="s">
        <v>27</v>
      </c>
      <c r="R982" s="1" t="s">
        <v>26</v>
      </c>
      <c r="S982" s="1" t="s">
        <v>862</v>
      </c>
      <c r="T982" s="1" t="s">
        <v>861</v>
      </c>
      <c r="U982" s="1">
        <v>2</v>
      </c>
      <c r="V982" s="1" t="s">
        <v>767</v>
      </c>
      <c r="W982" s="1" t="s">
        <v>1096</v>
      </c>
      <c r="X982" s="1" t="s">
        <v>304</v>
      </c>
      <c r="Y982" s="3">
        <v>44557</v>
      </c>
      <c r="Z982" s="1">
        <v>2021</v>
      </c>
      <c r="AA982" s="2">
        <v>362445</v>
      </c>
      <c r="AB982" s="2"/>
      <c r="AC982" s="2">
        <v>54366.75</v>
      </c>
      <c r="AD982" s="1">
        <v>3</v>
      </c>
      <c r="AE982" s="1">
        <v>1</v>
      </c>
      <c r="AG982" s="1" t="s">
        <v>106</v>
      </c>
      <c r="AH982" s="1" t="s">
        <v>105</v>
      </c>
      <c r="AI982" s="2">
        <v>0</v>
      </c>
      <c r="AK982" s="1"/>
      <c r="AV982" s="2"/>
      <c r="AW982" s="2"/>
      <c r="AX982" s="2"/>
      <c r="BA982" s="2"/>
    </row>
    <row r="983" spans="1:53" ht="15" customHeight="1" x14ac:dyDescent="0.2">
      <c r="A983" s="1" t="s">
        <v>19</v>
      </c>
      <c r="B983" s="5" t="s">
        <v>109</v>
      </c>
      <c r="C983" s="1" t="s">
        <v>37</v>
      </c>
      <c r="D983" s="24" t="s">
        <v>211</v>
      </c>
      <c r="E983" s="24" t="s">
        <v>35</v>
      </c>
      <c r="F983" s="1" t="s">
        <v>260</v>
      </c>
      <c r="G983" s="1" t="s">
        <v>259</v>
      </c>
      <c r="H983" s="1" t="s">
        <v>130</v>
      </c>
      <c r="I983" s="1" t="s">
        <v>1095</v>
      </c>
      <c r="J983" s="1">
        <v>2021</v>
      </c>
      <c r="K983" s="1" t="s">
        <v>1093</v>
      </c>
      <c r="L983" s="1" t="s">
        <v>1093</v>
      </c>
      <c r="P983" s="1" t="s">
        <v>1094</v>
      </c>
      <c r="Q983" s="1" t="s">
        <v>27</v>
      </c>
      <c r="R983" s="1" t="s">
        <v>26</v>
      </c>
      <c r="S983" s="1" t="s">
        <v>862</v>
      </c>
      <c r="T983" s="1" t="s">
        <v>861</v>
      </c>
      <c r="U983" s="1">
        <v>2</v>
      </c>
      <c r="V983" s="1" t="s">
        <v>767</v>
      </c>
      <c r="W983" s="1" t="s">
        <v>1093</v>
      </c>
      <c r="X983" s="1" t="s">
        <v>667</v>
      </c>
      <c r="Y983" s="3">
        <v>44557</v>
      </c>
      <c r="Z983" s="1">
        <v>2021</v>
      </c>
      <c r="AA983" s="2">
        <v>97637.49</v>
      </c>
      <c r="AB983" s="2"/>
      <c r="AC983" s="2">
        <v>14645.62</v>
      </c>
      <c r="AD983" s="1">
        <v>1</v>
      </c>
      <c r="AE983" s="1">
        <v>1</v>
      </c>
      <c r="AG983" s="1" t="s">
        <v>21</v>
      </c>
      <c r="AI983" s="2">
        <v>14645.62</v>
      </c>
      <c r="AK983" s="1"/>
      <c r="AV983" s="2"/>
      <c r="AW983" s="2"/>
      <c r="AX983" s="2"/>
      <c r="BA983" s="2"/>
    </row>
    <row r="984" spans="1:53" ht="15" customHeight="1" x14ac:dyDescent="0.2">
      <c r="A984" s="1" t="s">
        <v>19</v>
      </c>
      <c r="B984" s="5" t="s">
        <v>109</v>
      </c>
      <c r="C984" s="1" t="s">
        <v>37</v>
      </c>
      <c r="D984" s="24" t="s">
        <v>211</v>
      </c>
      <c r="E984" s="24" t="s">
        <v>35</v>
      </c>
      <c r="F984" s="1" t="s">
        <v>260</v>
      </c>
      <c r="G984" s="1" t="s">
        <v>259</v>
      </c>
      <c r="H984" s="1" t="s">
        <v>130</v>
      </c>
      <c r="I984" s="1" t="s">
        <v>1092</v>
      </c>
      <c r="J984" s="1">
        <v>2021</v>
      </c>
      <c r="K984" s="1" t="s">
        <v>1091</v>
      </c>
      <c r="P984" s="1" t="s">
        <v>1090</v>
      </c>
      <c r="Q984" s="1" t="s">
        <v>771</v>
      </c>
      <c r="R984" s="1" t="s">
        <v>770</v>
      </c>
      <c r="S984" s="1" t="s">
        <v>769</v>
      </c>
      <c r="T984" s="1" t="s">
        <v>768</v>
      </c>
      <c r="U984" s="1">
        <v>1</v>
      </c>
      <c r="V984" s="1" t="s">
        <v>767</v>
      </c>
      <c r="W984" s="1" t="s">
        <v>1089</v>
      </c>
      <c r="X984" s="1" t="s">
        <v>464</v>
      </c>
      <c r="Y984" s="3">
        <v>44557</v>
      </c>
      <c r="Z984" s="1">
        <v>2021</v>
      </c>
      <c r="AA984" s="2">
        <v>39541.79</v>
      </c>
      <c r="AB984" s="2"/>
      <c r="AC984" s="2">
        <v>11862.54</v>
      </c>
      <c r="AD984" s="1">
        <v>0</v>
      </c>
      <c r="AG984" s="1" t="s">
        <v>106</v>
      </c>
      <c r="AH984" s="1" t="s">
        <v>1088</v>
      </c>
      <c r="AI984" s="2">
        <v>0</v>
      </c>
      <c r="AK984" s="1"/>
      <c r="AV984" s="2"/>
      <c r="AW984" s="2"/>
      <c r="AX984" s="2"/>
      <c r="BA984" s="2"/>
    </row>
    <row r="985" spans="1:53" ht="15" customHeight="1" x14ac:dyDescent="0.2">
      <c r="A985" s="1" t="s">
        <v>19</v>
      </c>
      <c r="B985" s="5" t="s">
        <v>109</v>
      </c>
      <c r="C985" s="1" t="s">
        <v>37</v>
      </c>
      <c r="D985" s="24" t="s">
        <v>211</v>
      </c>
      <c r="E985" s="24" t="s">
        <v>35</v>
      </c>
      <c r="F985" s="1" t="s">
        <v>260</v>
      </c>
      <c r="G985" s="1" t="s">
        <v>259</v>
      </c>
      <c r="H985" s="1" t="s">
        <v>130</v>
      </c>
      <c r="I985" s="1" t="s">
        <v>1087</v>
      </c>
      <c r="J985" s="1">
        <v>2021</v>
      </c>
      <c r="K985" s="1" t="s">
        <v>1086</v>
      </c>
      <c r="L985" s="1" t="s">
        <v>1084</v>
      </c>
      <c r="P985" s="1" t="s">
        <v>1085</v>
      </c>
      <c r="Q985" s="1" t="s">
        <v>771</v>
      </c>
      <c r="R985" s="1" t="s">
        <v>897</v>
      </c>
      <c r="S985" s="1" t="s">
        <v>922</v>
      </c>
      <c r="T985" s="1" t="s">
        <v>921</v>
      </c>
      <c r="U985" s="1">
        <v>2</v>
      </c>
      <c r="V985" s="1" t="s">
        <v>767</v>
      </c>
      <c r="W985" s="1" t="s">
        <v>1084</v>
      </c>
      <c r="X985" s="1" t="s">
        <v>319</v>
      </c>
      <c r="Y985" s="3">
        <v>44557</v>
      </c>
      <c r="Z985" s="1">
        <v>2021</v>
      </c>
      <c r="AA985" s="2">
        <v>499379</v>
      </c>
      <c r="AB985" s="2"/>
      <c r="AC985" s="2">
        <v>24968.95</v>
      </c>
      <c r="AD985" s="1">
        <v>2</v>
      </c>
      <c r="AE985" s="1">
        <v>1</v>
      </c>
      <c r="AG985" s="1" t="s">
        <v>21</v>
      </c>
      <c r="AH985" s="1" t="s">
        <v>1079</v>
      </c>
      <c r="AI985" s="2">
        <v>24959.48</v>
      </c>
      <c r="AK985" s="1"/>
      <c r="AV985" s="2"/>
      <c r="AW985" s="2"/>
      <c r="AX985" s="2"/>
      <c r="BA985" s="2"/>
    </row>
    <row r="986" spans="1:53" ht="15" customHeight="1" x14ac:dyDescent="0.2">
      <c r="A986" s="1" t="s">
        <v>19</v>
      </c>
      <c r="B986" s="5" t="s">
        <v>109</v>
      </c>
      <c r="C986" s="1" t="s">
        <v>37</v>
      </c>
      <c r="D986" s="24" t="s">
        <v>211</v>
      </c>
      <c r="E986" s="24" t="s">
        <v>35</v>
      </c>
      <c r="F986" s="1" t="s">
        <v>260</v>
      </c>
      <c r="G986" s="1" t="s">
        <v>259</v>
      </c>
      <c r="H986" s="1" t="s">
        <v>130</v>
      </c>
      <c r="I986" s="1" t="s">
        <v>1083</v>
      </c>
      <c r="J986" s="1">
        <v>2021</v>
      </c>
      <c r="K986" s="1" t="s">
        <v>1082</v>
      </c>
      <c r="L986" s="1" t="s">
        <v>1080</v>
      </c>
      <c r="P986" s="1" t="s">
        <v>1081</v>
      </c>
      <c r="Q986" s="1" t="s">
        <v>771</v>
      </c>
      <c r="R986" s="1" t="s">
        <v>770</v>
      </c>
      <c r="S986" s="1" t="s">
        <v>769</v>
      </c>
      <c r="T986" s="1" t="s">
        <v>768</v>
      </c>
      <c r="U986" s="1">
        <v>1</v>
      </c>
      <c r="V986" s="1" t="s">
        <v>767</v>
      </c>
      <c r="W986" s="1" t="s">
        <v>1080</v>
      </c>
      <c r="X986" s="1" t="s">
        <v>319</v>
      </c>
      <c r="Y986" s="3">
        <v>44557</v>
      </c>
      <c r="Z986" s="1">
        <v>2021</v>
      </c>
      <c r="AA986" s="2">
        <v>351118.93</v>
      </c>
      <c r="AB986" s="2"/>
      <c r="AC986" s="2">
        <v>105335.67999999999</v>
      </c>
      <c r="AD986" s="1">
        <v>4</v>
      </c>
      <c r="AE986" s="1">
        <v>3</v>
      </c>
      <c r="AG986" s="1" t="s">
        <v>21</v>
      </c>
      <c r="AH986" s="1" t="s">
        <v>1079</v>
      </c>
      <c r="AI986" s="2">
        <v>95547.69</v>
      </c>
      <c r="AK986" s="1"/>
      <c r="AV986" s="2"/>
      <c r="AW986" s="2"/>
      <c r="AX986" s="2"/>
      <c r="BA986" s="2"/>
    </row>
    <row r="987" spans="1:53" ht="15" customHeight="1" x14ac:dyDescent="0.2">
      <c r="A987" s="1" t="s">
        <v>19</v>
      </c>
      <c r="B987" s="5" t="s">
        <v>109</v>
      </c>
      <c r="C987" s="1" t="s">
        <v>37</v>
      </c>
      <c r="D987" s="24" t="s">
        <v>211</v>
      </c>
      <c r="E987" s="24" t="s">
        <v>35</v>
      </c>
      <c r="F987" s="1" t="s">
        <v>260</v>
      </c>
      <c r="G987" s="1" t="s">
        <v>259</v>
      </c>
      <c r="H987" s="1" t="s">
        <v>130</v>
      </c>
      <c r="I987" s="1" t="s">
        <v>1078</v>
      </c>
      <c r="J987" s="1">
        <v>2021</v>
      </c>
      <c r="K987" s="1" t="s">
        <v>1077</v>
      </c>
      <c r="L987" s="1" t="s">
        <v>1073</v>
      </c>
      <c r="P987" s="1" t="s">
        <v>1076</v>
      </c>
      <c r="Q987" s="1" t="s">
        <v>771</v>
      </c>
      <c r="R987" s="1" t="s">
        <v>1060</v>
      </c>
      <c r="S987" s="1" t="s">
        <v>1075</v>
      </c>
      <c r="T987" s="1" t="s">
        <v>1074</v>
      </c>
      <c r="U987" s="1">
        <v>2</v>
      </c>
      <c r="V987" s="1" t="s">
        <v>767</v>
      </c>
      <c r="W987" s="1" t="s">
        <v>1073</v>
      </c>
      <c r="X987" s="1" t="s">
        <v>319</v>
      </c>
      <c r="Y987" s="3">
        <v>44557</v>
      </c>
      <c r="Z987" s="1">
        <v>2021</v>
      </c>
      <c r="AA987" s="2">
        <v>135317.95000000001</v>
      </c>
      <c r="AB987" s="2"/>
      <c r="AC987" s="2">
        <v>23680.639999999999</v>
      </c>
      <c r="AD987" s="1">
        <v>2</v>
      </c>
      <c r="AE987" s="1">
        <v>2</v>
      </c>
      <c r="AG987" s="1" t="s">
        <v>106</v>
      </c>
      <c r="AH987" s="1" t="s">
        <v>105</v>
      </c>
      <c r="AI987" s="2">
        <v>0</v>
      </c>
      <c r="AK987" s="1"/>
      <c r="AV987" s="2"/>
      <c r="AW987" s="2"/>
      <c r="AX987" s="2"/>
      <c r="BA987" s="2"/>
    </row>
    <row r="988" spans="1:53" ht="15" customHeight="1" x14ac:dyDescent="0.2">
      <c r="A988" s="1" t="s">
        <v>19</v>
      </c>
      <c r="B988" s="5" t="s">
        <v>109</v>
      </c>
      <c r="C988" s="1" t="s">
        <v>37</v>
      </c>
      <c r="D988" s="24" t="s">
        <v>211</v>
      </c>
      <c r="E988" s="24" t="s">
        <v>35</v>
      </c>
      <c r="F988" s="1" t="s">
        <v>260</v>
      </c>
      <c r="G988" s="1" t="s">
        <v>259</v>
      </c>
      <c r="H988" s="1" t="s">
        <v>130</v>
      </c>
      <c r="I988" s="1" t="s">
        <v>1072</v>
      </c>
      <c r="J988" s="1">
        <v>2021</v>
      </c>
      <c r="K988" s="1" t="s">
        <v>1071</v>
      </c>
      <c r="L988" s="1" t="s">
        <v>1069</v>
      </c>
      <c r="P988" s="1" t="s">
        <v>1070</v>
      </c>
      <c r="Q988" s="1" t="s">
        <v>27</v>
      </c>
      <c r="R988" s="1" t="s">
        <v>26</v>
      </c>
      <c r="S988" s="1" t="s">
        <v>810</v>
      </c>
      <c r="T988" s="1" t="s">
        <v>809</v>
      </c>
      <c r="U988" s="1">
        <v>1</v>
      </c>
      <c r="V988" s="1" t="s">
        <v>767</v>
      </c>
      <c r="W988" s="1" t="s">
        <v>1069</v>
      </c>
      <c r="X988" s="1" t="s">
        <v>304</v>
      </c>
      <c r="Y988" s="3">
        <v>44557</v>
      </c>
      <c r="Z988" s="1">
        <v>2021</v>
      </c>
      <c r="AA988" s="2">
        <v>483334</v>
      </c>
      <c r="AB988" s="2"/>
      <c r="AC988" s="2">
        <v>145000.20000000001</v>
      </c>
      <c r="AD988" s="1">
        <v>6</v>
      </c>
      <c r="AE988" s="1">
        <v>6</v>
      </c>
      <c r="AG988" s="1" t="s">
        <v>21</v>
      </c>
      <c r="AI988" s="2">
        <v>145000.20000000001</v>
      </c>
      <c r="AK988" s="1"/>
      <c r="AV988" s="2"/>
      <c r="AW988" s="2"/>
      <c r="AX988" s="2"/>
      <c r="BA988" s="2"/>
    </row>
    <row r="989" spans="1:53" ht="15" customHeight="1" x14ac:dyDescent="0.2">
      <c r="A989" s="1" t="s">
        <v>19</v>
      </c>
      <c r="B989" s="5" t="s">
        <v>109</v>
      </c>
      <c r="C989" s="1" t="s">
        <v>37</v>
      </c>
      <c r="D989" s="24" t="s">
        <v>211</v>
      </c>
      <c r="E989" s="24" t="s">
        <v>35</v>
      </c>
      <c r="F989" s="1" t="s">
        <v>260</v>
      </c>
      <c r="G989" s="1" t="s">
        <v>259</v>
      </c>
      <c r="H989" s="1" t="s">
        <v>130</v>
      </c>
      <c r="I989" s="1" t="s">
        <v>1068</v>
      </c>
      <c r="J989" s="1">
        <v>2021</v>
      </c>
      <c r="K989" s="1" t="s">
        <v>1066</v>
      </c>
      <c r="P989" s="1" t="s">
        <v>1067</v>
      </c>
      <c r="Q989" s="1" t="s">
        <v>27</v>
      </c>
      <c r="R989" s="1" t="s">
        <v>26</v>
      </c>
      <c r="S989" s="1" t="s">
        <v>810</v>
      </c>
      <c r="T989" s="1" t="s">
        <v>809</v>
      </c>
      <c r="U989" s="1">
        <v>1</v>
      </c>
      <c r="V989" s="1" t="s">
        <v>767</v>
      </c>
      <c r="W989" s="1" t="s">
        <v>1066</v>
      </c>
      <c r="X989" s="1" t="s">
        <v>529</v>
      </c>
      <c r="Y989" s="3">
        <v>44557</v>
      </c>
      <c r="Z989" s="1">
        <v>2021</v>
      </c>
      <c r="AA989" s="2">
        <v>285651.06</v>
      </c>
      <c r="AB989" s="2"/>
      <c r="AC989" s="2">
        <v>60000</v>
      </c>
      <c r="AD989" s="1">
        <v>0</v>
      </c>
      <c r="AG989" s="1" t="s">
        <v>106</v>
      </c>
      <c r="AH989" s="1" t="s">
        <v>310</v>
      </c>
      <c r="AI989" s="2">
        <v>0</v>
      </c>
      <c r="AK989" s="1"/>
      <c r="AV989" s="2"/>
      <c r="AW989" s="2"/>
      <c r="AX989" s="2"/>
      <c r="BA989" s="2"/>
    </row>
    <row r="990" spans="1:53" ht="15" customHeight="1" x14ac:dyDescent="0.2">
      <c r="A990" s="1" t="s">
        <v>19</v>
      </c>
      <c r="B990" s="5" t="s">
        <v>109</v>
      </c>
      <c r="C990" s="1" t="s">
        <v>37</v>
      </c>
      <c r="D990" s="24" t="s">
        <v>211</v>
      </c>
      <c r="E990" s="24" t="s">
        <v>35</v>
      </c>
      <c r="F990" s="1" t="s">
        <v>260</v>
      </c>
      <c r="G990" s="1" t="s">
        <v>259</v>
      </c>
      <c r="H990" s="1" t="s">
        <v>130</v>
      </c>
      <c r="I990" s="1" t="s">
        <v>1065</v>
      </c>
      <c r="J990" s="1">
        <v>2021</v>
      </c>
      <c r="K990" s="1" t="s">
        <v>1063</v>
      </c>
      <c r="P990" s="1" t="s">
        <v>1064</v>
      </c>
      <c r="Q990" s="1" t="s">
        <v>27</v>
      </c>
      <c r="R990" s="1" t="s">
        <v>26</v>
      </c>
      <c r="S990" s="1" t="s">
        <v>810</v>
      </c>
      <c r="T990" s="1" t="s">
        <v>809</v>
      </c>
      <c r="U990" s="1">
        <v>1</v>
      </c>
      <c r="V990" s="1" t="s">
        <v>767</v>
      </c>
      <c r="W990" s="1" t="s">
        <v>1063</v>
      </c>
      <c r="X990" s="1" t="s">
        <v>298</v>
      </c>
      <c r="Y990" s="3">
        <v>44684</v>
      </c>
      <c r="Z990" s="1">
        <v>2022</v>
      </c>
      <c r="AA990" s="2">
        <v>364944.35</v>
      </c>
      <c r="AB990" s="2"/>
      <c r="AC990" s="2">
        <v>90000</v>
      </c>
      <c r="AD990" s="1">
        <v>0</v>
      </c>
      <c r="AG990" s="1" t="s">
        <v>106</v>
      </c>
      <c r="AH990" s="1" t="s">
        <v>105</v>
      </c>
      <c r="AI990" s="2">
        <v>0</v>
      </c>
      <c r="AK990" s="1"/>
      <c r="AV990" s="2"/>
      <c r="AW990" s="2"/>
      <c r="AX990" s="2"/>
      <c r="BA990" s="2"/>
    </row>
    <row r="991" spans="1:53" ht="15" customHeight="1" x14ac:dyDescent="0.2">
      <c r="A991" s="1" t="s">
        <v>19</v>
      </c>
      <c r="B991" s="5" t="s">
        <v>109</v>
      </c>
      <c r="C991" s="1" t="s">
        <v>37</v>
      </c>
      <c r="D991" s="24" t="s">
        <v>211</v>
      </c>
      <c r="E991" s="24" t="s">
        <v>35</v>
      </c>
      <c r="F991" s="1" t="s">
        <v>260</v>
      </c>
      <c r="G991" s="1" t="s">
        <v>259</v>
      </c>
      <c r="H991" s="1" t="s">
        <v>130</v>
      </c>
      <c r="I991" s="1" t="s">
        <v>1062</v>
      </c>
      <c r="J991" s="1">
        <v>2021</v>
      </c>
      <c r="K991" s="1" t="s">
        <v>1057</v>
      </c>
      <c r="P991" s="1" t="s">
        <v>1061</v>
      </c>
      <c r="Q991" s="1" t="s">
        <v>771</v>
      </c>
      <c r="R991" s="1" t="s">
        <v>1060</v>
      </c>
      <c r="S991" s="1" t="s">
        <v>1059</v>
      </c>
      <c r="T991" s="1" t="s">
        <v>1058</v>
      </c>
      <c r="U991" s="1">
        <v>2</v>
      </c>
      <c r="V991" s="1" t="s">
        <v>767</v>
      </c>
      <c r="W991" s="1" t="s">
        <v>1057</v>
      </c>
      <c r="X991" s="1" t="s">
        <v>319</v>
      </c>
      <c r="Y991" s="3">
        <v>44727</v>
      </c>
      <c r="Z991" s="1">
        <v>2022</v>
      </c>
      <c r="AA991" s="2">
        <v>65100</v>
      </c>
      <c r="AB991" s="2"/>
      <c r="AC991" s="2">
        <v>11392.5</v>
      </c>
      <c r="AD991" s="1">
        <v>0</v>
      </c>
      <c r="AG991" s="1" t="s">
        <v>106</v>
      </c>
      <c r="AH991" s="1" t="s">
        <v>105</v>
      </c>
      <c r="AI991" s="2">
        <v>0</v>
      </c>
      <c r="AK991" s="1"/>
      <c r="AV991" s="2"/>
      <c r="AW991" s="2"/>
      <c r="AX991" s="2"/>
      <c r="BA991" s="2"/>
    </row>
    <row r="992" spans="1:53" ht="15" customHeight="1" x14ac:dyDescent="0.2">
      <c r="A992" s="1" t="s">
        <v>19</v>
      </c>
      <c r="B992" s="5" t="s">
        <v>109</v>
      </c>
      <c r="C992" s="1" t="s">
        <v>37</v>
      </c>
      <c r="D992" s="24" t="s">
        <v>211</v>
      </c>
      <c r="E992" s="24" t="s">
        <v>35</v>
      </c>
      <c r="F992" s="1" t="s">
        <v>260</v>
      </c>
      <c r="G992" s="1" t="s">
        <v>259</v>
      </c>
      <c r="H992" s="1" t="s">
        <v>130</v>
      </c>
      <c r="I992" s="1" t="s">
        <v>1056</v>
      </c>
      <c r="J992" s="1">
        <v>2021</v>
      </c>
      <c r="K992" s="1" t="s">
        <v>1055</v>
      </c>
      <c r="L992" s="1" t="s">
        <v>1053</v>
      </c>
      <c r="P992" s="1" t="s">
        <v>1054</v>
      </c>
      <c r="Q992" s="1" t="s">
        <v>27</v>
      </c>
      <c r="R992" s="1" t="s">
        <v>26</v>
      </c>
      <c r="S992" s="1" t="s">
        <v>805</v>
      </c>
      <c r="T992" s="1" t="s">
        <v>804</v>
      </c>
      <c r="U992" s="1">
        <v>2</v>
      </c>
      <c r="V992" s="1" t="s">
        <v>767</v>
      </c>
      <c r="W992" s="1" t="s">
        <v>1053</v>
      </c>
      <c r="X992" s="1" t="s">
        <v>667</v>
      </c>
      <c r="Y992" s="3">
        <v>44557</v>
      </c>
      <c r="Z992" s="1">
        <v>2021</v>
      </c>
      <c r="AA992" s="2">
        <v>172472.12</v>
      </c>
      <c r="AB992" s="2"/>
      <c r="AC992" s="2">
        <v>25870.82</v>
      </c>
      <c r="AD992" s="1">
        <v>2</v>
      </c>
      <c r="AE992" s="1">
        <v>2</v>
      </c>
      <c r="AG992" s="1" t="s">
        <v>21</v>
      </c>
      <c r="AI992" s="2">
        <v>25870.82</v>
      </c>
      <c r="AK992" s="1"/>
      <c r="AV992" s="2"/>
      <c r="AW992" s="2"/>
      <c r="AX992" s="2"/>
      <c r="BA992" s="2"/>
    </row>
    <row r="993" spans="1:53" ht="15" customHeight="1" x14ac:dyDescent="0.2">
      <c r="A993" s="1" t="s">
        <v>19</v>
      </c>
      <c r="B993" s="5" t="s">
        <v>109</v>
      </c>
      <c r="C993" s="1" t="s">
        <v>37</v>
      </c>
      <c r="D993" s="24" t="s">
        <v>211</v>
      </c>
      <c r="E993" s="1" t="s">
        <v>35</v>
      </c>
      <c r="F993" s="1" t="s">
        <v>260</v>
      </c>
      <c r="G993" s="1" t="s">
        <v>259</v>
      </c>
      <c r="H993" s="1" t="s">
        <v>130</v>
      </c>
      <c r="I993" s="1" t="s">
        <v>1052</v>
      </c>
      <c r="J993" s="1">
        <v>2021</v>
      </c>
      <c r="K993" s="1" t="s">
        <v>1050</v>
      </c>
      <c r="P993" s="1" t="s">
        <v>1051</v>
      </c>
      <c r="Q993" s="1" t="s">
        <v>27</v>
      </c>
      <c r="R993" s="1" t="s">
        <v>26</v>
      </c>
      <c r="S993" s="1" t="s">
        <v>805</v>
      </c>
      <c r="T993" s="1" t="s">
        <v>804</v>
      </c>
      <c r="U993" s="1">
        <v>2</v>
      </c>
      <c r="V993" s="1" t="s">
        <v>767</v>
      </c>
      <c r="W993" s="1" t="s">
        <v>1050</v>
      </c>
      <c r="X993" s="1" t="s">
        <v>304</v>
      </c>
      <c r="Y993" s="3">
        <v>44557</v>
      </c>
      <c r="Z993" s="1">
        <v>2021</v>
      </c>
      <c r="AA993" s="2">
        <v>463274.38</v>
      </c>
      <c r="AB993" s="2"/>
      <c r="AC993" s="2">
        <v>30000</v>
      </c>
      <c r="AD993" s="1">
        <v>0</v>
      </c>
      <c r="AG993" s="1" t="s">
        <v>106</v>
      </c>
      <c r="AH993" s="1" t="s">
        <v>310</v>
      </c>
      <c r="AI993" s="2">
        <v>0</v>
      </c>
      <c r="AK993" s="1"/>
      <c r="AV993" s="2"/>
      <c r="AW993" s="2"/>
      <c r="AX993" s="2"/>
      <c r="BA993" s="2"/>
    </row>
    <row r="994" spans="1:53" ht="15" customHeight="1" x14ac:dyDescent="0.2">
      <c r="A994" s="1" t="s">
        <v>19</v>
      </c>
      <c r="B994" s="27" t="s">
        <v>109</v>
      </c>
      <c r="C994" s="26" t="s">
        <v>37</v>
      </c>
      <c r="D994" s="1" t="s">
        <v>211</v>
      </c>
      <c r="E994" s="1" t="s">
        <v>35</v>
      </c>
      <c r="F994" s="26" t="s">
        <v>260</v>
      </c>
      <c r="G994" s="26" t="s">
        <v>259</v>
      </c>
      <c r="H994" s="24" t="s">
        <v>130</v>
      </c>
      <c r="I994" s="24" t="s">
        <v>1049</v>
      </c>
      <c r="J994" s="24">
        <v>2021</v>
      </c>
      <c r="K994" s="24" t="s">
        <v>997</v>
      </c>
      <c r="L994" s="24"/>
      <c r="M994" s="24"/>
      <c r="N994" s="24"/>
      <c r="O994" s="24"/>
      <c r="P994" s="24" t="s">
        <v>1048</v>
      </c>
      <c r="Q994" s="24" t="s">
        <v>771</v>
      </c>
      <c r="R994" s="24" t="s">
        <v>897</v>
      </c>
      <c r="S994" s="24" t="s">
        <v>922</v>
      </c>
      <c r="T994" s="24" t="s">
        <v>921</v>
      </c>
      <c r="U994" s="24">
        <v>2</v>
      </c>
      <c r="V994" s="24" t="s">
        <v>767</v>
      </c>
      <c r="W994" s="24" t="s">
        <v>1047</v>
      </c>
      <c r="X994" s="24" t="s">
        <v>319</v>
      </c>
      <c r="Y994" s="23">
        <v>44557</v>
      </c>
      <c r="Z994" s="1">
        <v>2021</v>
      </c>
      <c r="AA994" s="2">
        <v>126749.78</v>
      </c>
      <c r="AB994" s="2"/>
      <c r="AC994" s="2">
        <v>19012.47</v>
      </c>
      <c r="AD994" s="1">
        <v>0</v>
      </c>
      <c r="AG994" s="1" t="s">
        <v>106</v>
      </c>
      <c r="AH994" s="1" t="s">
        <v>105</v>
      </c>
      <c r="AI994" s="2">
        <v>0</v>
      </c>
      <c r="AK994" s="1"/>
    </row>
    <row r="995" spans="1:53" ht="15" customHeight="1" x14ac:dyDescent="0.2">
      <c r="A995" s="1" t="s">
        <v>19</v>
      </c>
      <c r="B995" s="27" t="s">
        <v>109</v>
      </c>
      <c r="C995" s="26" t="s">
        <v>37</v>
      </c>
      <c r="D995" s="1" t="s">
        <v>211</v>
      </c>
      <c r="E995" s="1" t="s">
        <v>35</v>
      </c>
      <c r="F995" s="26" t="s">
        <v>260</v>
      </c>
      <c r="G995" s="26" t="s">
        <v>259</v>
      </c>
      <c r="H995" s="24" t="s">
        <v>130</v>
      </c>
      <c r="I995" s="24" t="s">
        <v>1046</v>
      </c>
      <c r="J995" s="24">
        <v>2021</v>
      </c>
      <c r="K995" s="24" t="s">
        <v>1045</v>
      </c>
      <c r="L995" s="24" t="s">
        <v>1043</v>
      </c>
      <c r="M995" s="24"/>
      <c r="N995" s="24"/>
      <c r="O995" s="24"/>
      <c r="P995" s="24" t="s">
        <v>1044</v>
      </c>
      <c r="Q995" s="24" t="s">
        <v>27</v>
      </c>
      <c r="R995" s="24" t="s">
        <v>26</v>
      </c>
      <c r="S995" s="24" t="s">
        <v>805</v>
      </c>
      <c r="T995" s="24" t="s">
        <v>804</v>
      </c>
      <c r="U995" s="24">
        <v>2</v>
      </c>
      <c r="V995" s="24" t="s">
        <v>767</v>
      </c>
      <c r="W995" s="24" t="s">
        <v>1043</v>
      </c>
      <c r="X995" s="24" t="s">
        <v>667</v>
      </c>
      <c r="Y995" s="23">
        <v>44557</v>
      </c>
      <c r="Z995" s="1">
        <v>2021</v>
      </c>
      <c r="AA995" s="2">
        <v>203765.89</v>
      </c>
      <c r="AB995" s="2"/>
      <c r="AC995" s="2">
        <v>15000</v>
      </c>
      <c r="AD995" s="1">
        <v>0</v>
      </c>
      <c r="AG995" s="1" t="s">
        <v>21</v>
      </c>
      <c r="AI995" s="2">
        <v>15000</v>
      </c>
      <c r="AK995" s="1"/>
    </row>
    <row r="996" spans="1:53" ht="15" customHeight="1" x14ac:dyDescent="0.2">
      <c r="A996" s="1" t="s">
        <v>19</v>
      </c>
      <c r="B996" s="27" t="s">
        <v>109</v>
      </c>
      <c r="C996" s="26" t="s">
        <v>37</v>
      </c>
      <c r="D996" s="1" t="s">
        <v>211</v>
      </c>
      <c r="E996" s="1" t="s">
        <v>35</v>
      </c>
      <c r="F996" s="26" t="s">
        <v>260</v>
      </c>
      <c r="G996" s="26" t="s">
        <v>259</v>
      </c>
      <c r="H996" s="24" t="s">
        <v>130</v>
      </c>
      <c r="I996" s="24" t="s">
        <v>1042</v>
      </c>
      <c r="J996" s="24">
        <v>2021</v>
      </c>
      <c r="K996" s="24" t="s">
        <v>1040</v>
      </c>
      <c r="L996" s="24" t="s">
        <v>1040</v>
      </c>
      <c r="M996" s="24"/>
      <c r="N996" s="24"/>
      <c r="O996" s="24"/>
      <c r="P996" s="24" t="s">
        <v>1041</v>
      </c>
      <c r="Q996" s="24" t="s">
        <v>788</v>
      </c>
      <c r="R996" s="24" t="s">
        <v>787</v>
      </c>
      <c r="S996" s="24" t="s">
        <v>786</v>
      </c>
      <c r="T996" s="24" t="s">
        <v>785</v>
      </c>
      <c r="U996" s="24">
        <v>1</v>
      </c>
      <c r="V996" s="24" t="s">
        <v>767</v>
      </c>
      <c r="W996" s="24" t="s">
        <v>1040</v>
      </c>
      <c r="X996" s="24" t="s">
        <v>464</v>
      </c>
      <c r="Y996" s="23">
        <v>44557</v>
      </c>
      <c r="Z996" s="1">
        <v>2021</v>
      </c>
      <c r="AA996" s="2">
        <v>83262</v>
      </c>
      <c r="AB996" s="2"/>
      <c r="AC996" s="2">
        <v>37467.9</v>
      </c>
      <c r="AD996" s="1">
        <v>1</v>
      </c>
      <c r="AE996" s="1">
        <v>1</v>
      </c>
      <c r="AG996" s="1" t="s">
        <v>21</v>
      </c>
      <c r="AI996" s="2">
        <v>37467.9</v>
      </c>
      <c r="AK996" s="1"/>
    </row>
    <row r="997" spans="1:53" ht="15" customHeight="1" x14ac:dyDescent="0.2">
      <c r="A997" s="1" t="s">
        <v>19</v>
      </c>
      <c r="B997" s="27" t="s">
        <v>109</v>
      </c>
      <c r="C997" s="26" t="s">
        <v>37</v>
      </c>
      <c r="D997" s="1" t="s">
        <v>211</v>
      </c>
      <c r="E997" s="1" t="s">
        <v>35</v>
      </c>
      <c r="F997" s="26" t="s">
        <v>260</v>
      </c>
      <c r="G997" s="26" t="s">
        <v>259</v>
      </c>
      <c r="H997" s="24" t="s">
        <v>130</v>
      </c>
      <c r="I997" s="24" t="s">
        <v>1039</v>
      </c>
      <c r="J997" s="24">
        <v>2021</v>
      </c>
      <c r="K997" s="24" t="s">
        <v>1037</v>
      </c>
      <c r="L997" s="24"/>
      <c r="M997" s="24"/>
      <c r="N997" s="24"/>
      <c r="O997" s="24"/>
      <c r="P997" s="24" t="s">
        <v>1038</v>
      </c>
      <c r="Q997" s="24" t="s">
        <v>27</v>
      </c>
      <c r="R997" s="24" t="s">
        <v>26</v>
      </c>
      <c r="S997" s="24" t="s">
        <v>810</v>
      </c>
      <c r="T997" s="24" t="s">
        <v>809</v>
      </c>
      <c r="U997" s="24">
        <v>1</v>
      </c>
      <c r="V997" s="24" t="s">
        <v>767</v>
      </c>
      <c r="W997" s="24" t="s">
        <v>1037</v>
      </c>
      <c r="X997" s="24" t="s">
        <v>298</v>
      </c>
      <c r="Y997" s="23">
        <v>44557</v>
      </c>
      <c r="Z997" s="1">
        <v>2021</v>
      </c>
      <c r="AA997" s="2">
        <v>236406.56</v>
      </c>
      <c r="AB997" s="2"/>
      <c r="AC997" s="2">
        <v>70921.97</v>
      </c>
      <c r="AD997" s="1">
        <v>2</v>
      </c>
      <c r="AE997" s="1">
        <v>1</v>
      </c>
      <c r="AG997" s="1" t="s">
        <v>106</v>
      </c>
      <c r="AH997" s="1" t="s">
        <v>105</v>
      </c>
      <c r="AI997" s="2">
        <v>0</v>
      </c>
      <c r="AK997" s="1"/>
    </row>
    <row r="998" spans="1:53" ht="15" customHeight="1" x14ac:dyDescent="0.2">
      <c r="A998" s="1" t="s">
        <v>19</v>
      </c>
      <c r="B998" s="27" t="s">
        <v>109</v>
      </c>
      <c r="C998" s="26" t="s">
        <v>37</v>
      </c>
      <c r="D998" s="1" t="s">
        <v>211</v>
      </c>
      <c r="E998" s="1" t="s">
        <v>35</v>
      </c>
      <c r="F998" s="26" t="s">
        <v>260</v>
      </c>
      <c r="G998" s="26" t="s">
        <v>259</v>
      </c>
      <c r="H998" s="24" t="s">
        <v>130</v>
      </c>
      <c r="I998" s="24" t="s">
        <v>1036</v>
      </c>
      <c r="J998" s="24">
        <v>2021</v>
      </c>
      <c r="K998" s="24" t="s">
        <v>1033</v>
      </c>
      <c r="L998" s="24" t="s">
        <v>1035</v>
      </c>
      <c r="M998" s="24"/>
      <c r="N998" s="24"/>
      <c r="O998" s="24"/>
      <c r="P998" s="24" t="s">
        <v>1034</v>
      </c>
      <c r="Q998" s="24" t="s">
        <v>788</v>
      </c>
      <c r="R998" s="24" t="s">
        <v>787</v>
      </c>
      <c r="S998" s="24" t="s">
        <v>786</v>
      </c>
      <c r="T998" s="24" t="s">
        <v>785</v>
      </c>
      <c r="U998" s="24">
        <v>1</v>
      </c>
      <c r="V998" s="24" t="s">
        <v>767</v>
      </c>
      <c r="W998" s="24" t="s">
        <v>1033</v>
      </c>
      <c r="X998" s="24" t="s">
        <v>298</v>
      </c>
      <c r="Y998" s="23">
        <v>44557</v>
      </c>
      <c r="Z998" s="1">
        <v>2021</v>
      </c>
      <c r="AA998" s="2">
        <v>84346.48</v>
      </c>
      <c r="AB998" s="2"/>
      <c r="AC998" s="2">
        <v>37955.919999999998</v>
      </c>
      <c r="AD998" s="1">
        <v>1</v>
      </c>
      <c r="AE998" s="1">
        <v>1</v>
      </c>
      <c r="AG998" s="1" t="s">
        <v>21</v>
      </c>
      <c r="AI998" s="2">
        <v>37955.919999999998</v>
      </c>
      <c r="AK998" s="1"/>
    </row>
    <row r="999" spans="1:53" ht="15" customHeight="1" x14ac:dyDescent="0.2">
      <c r="A999" s="1" t="s">
        <v>19</v>
      </c>
      <c r="B999" s="27" t="s">
        <v>109</v>
      </c>
      <c r="C999" s="26" t="s">
        <v>37</v>
      </c>
      <c r="D999" s="1" t="s">
        <v>211</v>
      </c>
      <c r="E999" s="1" t="s">
        <v>35</v>
      </c>
      <c r="F999" s="26" t="s">
        <v>260</v>
      </c>
      <c r="G999" s="26" t="s">
        <v>259</v>
      </c>
      <c r="H999" s="24" t="s">
        <v>130</v>
      </c>
      <c r="I999" s="24" t="s">
        <v>1032</v>
      </c>
      <c r="J999" s="24">
        <v>2021</v>
      </c>
      <c r="K999" s="24" t="s">
        <v>1031</v>
      </c>
      <c r="L999" s="24" t="s">
        <v>1029</v>
      </c>
      <c r="M999" s="24"/>
      <c r="N999" s="24"/>
      <c r="O999" s="24"/>
      <c r="P999" s="24" t="s">
        <v>1030</v>
      </c>
      <c r="Q999" s="24" t="s">
        <v>27</v>
      </c>
      <c r="R999" s="24" t="s">
        <v>26</v>
      </c>
      <c r="S999" s="24" t="s">
        <v>805</v>
      </c>
      <c r="T999" s="24" t="s">
        <v>804</v>
      </c>
      <c r="U999" s="24">
        <v>2</v>
      </c>
      <c r="V999" s="24" t="s">
        <v>767</v>
      </c>
      <c r="W999" s="24" t="s">
        <v>1029</v>
      </c>
      <c r="X999" s="24" t="s">
        <v>667</v>
      </c>
      <c r="Y999" s="23">
        <v>44557</v>
      </c>
      <c r="Z999" s="1">
        <v>2021</v>
      </c>
      <c r="AA999" s="2">
        <v>101405.86</v>
      </c>
      <c r="AB999" s="2"/>
      <c r="AC999" s="2">
        <v>15000</v>
      </c>
      <c r="AD999" s="1">
        <v>1</v>
      </c>
      <c r="AG999" s="1" t="s">
        <v>21</v>
      </c>
      <c r="AI999" s="2">
        <v>15000</v>
      </c>
      <c r="AK999" s="1"/>
    </row>
    <row r="1000" spans="1:53" ht="15" customHeight="1" x14ac:dyDescent="0.2">
      <c r="A1000" s="1" t="s">
        <v>19</v>
      </c>
      <c r="B1000" s="27" t="s">
        <v>109</v>
      </c>
      <c r="C1000" s="26" t="s">
        <v>37</v>
      </c>
      <c r="D1000" s="1" t="s">
        <v>211</v>
      </c>
      <c r="E1000" s="1" t="s">
        <v>35</v>
      </c>
      <c r="F1000" s="26" t="s">
        <v>260</v>
      </c>
      <c r="G1000" s="26" t="s">
        <v>259</v>
      </c>
      <c r="H1000" s="24" t="s">
        <v>130</v>
      </c>
      <c r="I1000" s="24" t="s">
        <v>1028</v>
      </c>
      <c r="J1000" s="24">
        <v>2021</v>
      </c>
      <c r="K1000" s="24" t="s">
        <v>1027</v>
      </c>
      <c r="L1000" s="24" t="s">
        <v>1025</v>
      </c>
      <c r="M1000" s="24"/>
      <c r="N1000" s="24"/>
      <c r="O1000" s="24"/>
      <c r="P1000" s="24" t="s">
        <v>1026</v>
      </c>
      <c r="Q1000" s="24" t="s">
        <v>27</v>
      </c>
      <c r="R1000" s="24" t="s">
        <v>26</v>
      </c>
      <c r="S1000" s="1" t="s">
        <v>805</v>
      </c>
      <c r="T1000" s="1" t="s">
        <v>804</v>
      </c>
      <c r="U1000" s="24">
        <v>2</v>
      </c>
      <c r="V1000" s="24" t="s">
        <v>767</v>
      </c>
      <c r="W1000" s="24" t="s">
        <v>1025</v>
      </c>
      <c r="X1000" s="24" t="s">
        <v>667</v>
      </c>
      <c r="Y1000" s="23">
        <v>44557</v>
      </c>
      <c r="Z1000" s="1">
        <v>2021</v>
      </c>
      <c r="AA1000" s="2">
        <v>305234.38</v>
      </c>
      <c r="AB1000" s="2"/>
      <c r="AC1000" s="2">
        <v>30523.439999999999</v>
      </c>
      <c r="AD1000" s="1">
        <v>0</v>
      </c>
      <c r="AG1000" s="1" t="s">
        <v>21</v>
      </c>
      <c r="AI1000" s="2">
        <v>30523.439999999999</v>
      </c>
      <c r="AK1000" s="1"/>
    </row>
    <row r="1001" spans="1:53" ht="15" customHeight="1" x14ac:dyDescent="0.2">
      <c r="A1001" s="1" t="s">
        <v>19</v>
      </c>
      <c r="B1001" s="27" t="s">
        <v>109</v>
      </c>
      <c r="C1001" s="26" t="s">
        <v>37</v>
      </c>
      <c r="D1001" s="1" t="s">
        <v>211</v>
      </c>
      <c r="E1001" s="1" t="s">
        <v>35</v>
      </c>
      <c r="F1001" s="26" t="s">
        <v>260</v>
      </c>
      <c r="G1001" s="26" t="s">
        <v>259</v>
      </c>
      <c r="H1001" s="24" t="s">
        <v>130</v>
      </c>
      <c r="I1001" s="24" t="s">
        <v>1024</v>
      </c>
      <c r="J1001" s="24">
        <v>2021</v>
      </c>
      <c r="K1001" s="24" t="s">
        <v>1022</v>
      </c>
      <c r="L1001" s="24" t="s">
        <v>1022</v>
      </c>
      <c r="M1001" s="24"/>
      <c r="N1001" s="24"/>
      <c r="O1001" s="24"/>
      <c r="P1001" s="24" t="s">
        <v>1023</v>
      </c>
      <c r="Q1001" s="24" t="s">
        <v>27</v>
      </c>
      <c r="R1001" s="24" t="s">
        <v>26</v>
      </c>
      <c r="S1001" s="24" t="s">
        <v>810</v>
      </c>
      <c r="T1001" s="24" t="s">
        <v>809</v>
      </c>
      <c r="U1001" s="24">
        <v>1</v>
      </c>
      <c r="V1001" s="24" t="s">
        <v>767</v>
      </c>
      <c r="W1001" s="24" t="s">
        <v>1022</v>
      </c>
      <c r="X1001" s="24" t="s">
        <v>667</v>
      </c>
      <c r="Y1001" s="23">
        <v>44557</v>
      </c>
      <c r="Z1001" s="1">
        <v>2021</v>
      </c>
      <c r="AA1001" s="2">
        <v>84173.04</v>
      </c>
      <c r="AB1001" s="2"/>
      <c r="AC1001" s="2">
        <v>25251.91</v>
      </c>
      <c r="AD1001" s="1">
        <v>2.5</v>
      </c>
      <c r="AE1001" s="1">
        <v>1</v>
      </c>
      <c r="AG1001" s="1" t="s">
        <v>21</v>
      </c>
      <c r="AI1001" s="2">
        <v>25251.91</v>
      </c>
      <c r="AK1001" s="1"/>
    </row>
    <row r="1002" spans="1:53" ht="15" customHeight="1" x14ac:dyDescent="0.2">
      <c r="A1002" s="1" t="s">
        <v>19</v>
      </c>
      <c r="B1002" s="27" t="s">
        <v>109</v>
      </c>
      <c r="C1002" s="26" t="s">
        <v>37</v>
      </c>
      <c r="D1002" s="1" t="s">
        <v>211</v>
      </c>
      <c r="E1002" s="1" t="s">
        <v>35</v>
      </c>
      <c r="F1002" s="26" t="s">
        <v>260</v>
      </c>
      <c r="G1002" s="26" t="s">
        <v>259</v>
      </c>
      <c r="H1002" s="24" t="s">
        <v>130</v>
      </c>
      <c r="I1002" s="24" t="s">
        <v>1021</v>
      </c>
      <c r="J1002" s="24">
        <v>2021</v>
      </c>
      <c r="K1002" s="24" t="s">
        <v>1019</v>
      </c>
      <c r="L1002" s="24"/>
      <c r="M1002" s="24"/>
      <c r="N1002" s="24"/>
      <c r="O1002" s="24"/>
      <c r="P1002" s="24" t="s">
        <v>1020</v>
      </c>
      <c r="Q1002" s="24" t="s">
        <v>27</v>
      </c>
      <c r="R1002" s="24" t="s">
        <v>26</v>
      </c>
      <c r="S1002" s="24" t="s">
        <v>862</v>
      </c>
      <c r="T1002" s="24" t="s">
        <v>861</v>
      </c>
      <c r="U1002" s="24">
        <v>2</v>
      </c>
      <c r="V1002" s="24" t="s">
        <v>767</v>
      </c>
      <c r="W1002" s="24" t="s">
        <v>1019</v>
      </c>
      <c r="X1002" s="24" t="s">
        <v>298</v>
      </c>
      <c r="Y1002" s="23">
        <v>44557</v>
      </c>
      <c r="Z1002" s="1">
        <v>2021</v>
      </c>
      <c r="AA1002" s="2">
        <v>206299</v>
      </c>
      <c r="AB1002" s="2"/>
      <c r="AC1002" s="2">
        <v>25000</v>
      </c>
      <c r="AD1002" s="1">
        <v>1</v>
      </c>
      <c r="AG1002" s="1" t="s">
        <v>106</v>
      </c>
      <c r="AH1002" s="1" t="s">
        <v>1018</v>
      </c>
      <c r="AI1002" s="2">
        <v>0</v>
      </c>
      <c r="AK1002" s="1"/>
    </row>
    <row r="1003" spans="1:53" ht="15" customHeight="1" x14ac:dyDescent="0.2">
      <c r="A1003" s="1" t="s">
        <v>19</v>
      </c>
      <c r="B1003" s="27" t="s">
        <v>109</v>
      </c>
      <c r="C1003" s="26" t="s">
        <v>37</v>
      </c>
      <c r="D1003" s="1" t="s">
        <v>211</v>
      </c>
      <c r="E1003" s="1" t="s">
        <v>35</v>
      </c>
      <c r="F1003" s="26" t="s">
        <v>260</v>
      </c>
      <c r="G1003" s="26" t="s">
        <v>259</v>
      </c>
      <c r="H1003" s="24" t="s">
        <v>130</v>
      </c>
      <c r="I1003" s="24" t="s">
        <v>1017</v>
      </c>
      <c r="J1003" s="24">
        <v>2021</v>
      </c>
      <c r="K1003" s="24" t="s">
        <v>1016</v>
      </c>
      <c r="L1003" s="24" t="s">
        <v>1014</v>
      </c>
      <c r="M1003" s="24"/>
      <c r="N1003" s="24"/>
      <c r="O1003" s="24"/>
      <c r="P1003" s="24" t="s">
        <v>1015</v>
      </c>
      <c r="Q1003" s="24" t="s">
        <v>27</v>
      </c>
      <c r="R1003" s="24" t="s">
        <v>26</v>
      </c>
      <c r="S1003" s="24" t="s">
        <v>810</v>
      </c>
      <c r="T1003" s="24" t="s">
        <v>809</v>
      </c>
      <c r="U1003" s="24">
        <v>1</v>
      </c>
      <c r="V1003" s="24" t="s">
        <v>767</v>
      </c>
      <c r="W1003" s="24" t="s">
        <v>1014</v>
      </c>
      <c r="X1003" s="24" t="s">
        <v>464</v>
      </c>
      <c r="Y1003" s="23">
        <v>44557</v>
      </c>
      <c r="Z1003" s="1">
        <v>2021</v>
      </c>
      <c r="AA1003" s="2">
        <v>307340.23</v>
      </c>
      <c r="AB1003" s="2"/>
      <c r="AC1003" s="2">
        <v>60000</v>
      </c>
      <c r="AD1003" s="1">
        <v>0</v>
      </c>
      <c r="AG1003" s="1" t="s">
        <v>21</v>
      </c>
      <c r="AI1003" s="2">
        <v>60000</v>
      </c>
      <c r="AK1003" s="1"/>
    </row>
    <row r="1004" spans="1:53" ht="15" customHeight="1" x14ac:dyDescent="0.2">
      <c r="A1004" s="1" t="s">
        <v>19</v>
      </c>
      <c r="B1004" s="27" t="s">
        <v>109</v>
      </c>
      <c r="C1004" s="26" t="s">
        <v>37</v>
      </c>
      <c r="D1004" s="1" t="s">
        <v>211</v>
      </c>
      <c r="E1004" s="1" t="s">
        <v>35</v>
      </c>
      <c r="F1004" s="26" t="s">
        <v>260</v>
      </c>
      <c r="G1004" s="26" t="s">
        <v>259</v>
      </c>
      <c r="H1004" s="24" t="s">
        <v>130</v>
      </c>
      <c r="I1004" s="24" t="s">
        <v>1013</v>
      </c>
      <c r="J1004" s="24">
        <v>2021</v>
      </c>
      <c r="K1004" s="24" t="s">
        <v>1012</v>
      </c>
      <c r="L1004" s="24" t="s">
        <v>1010</v>
      </c>
      <c r="M1004" s="24"/>
      <c r="N1004" s="24"/>
      <c r="O1004" s="24"/>
      <c r="P1004" s="24" t="s">
        <v>1011</v>
      </c>
      <c r="Q1004" s="24" t="s">
        <v>27</v>
      </c>
      <c r="R1004" s="24" t="s">
        <v>26</v>
      </c>
      <c r="S1004" s="24" t="s">
        <v>862</v>
      </c>
      <c r="T1004" s="24" t="s">
        <v>861</v>
      </c>
      <c r="U1004" s="24">
        <v>2</v>
      </c>
      <c r="V1004" s="24" t="s">
        <v>767</v>
      </c>
      <c r="W1004" s="24" t="s">
        <v>1010</v>
      </c>
      <c r="X1004" s="24" t="s">
        <v>304</v>
      </c>
      <c r="Y1004" s="23">
        <v>44557</v>
      </c>
      <c r="Z1004" s="1">
        <v>2021</v>
      </c>
      <c r="AA1004" s="2">
        <v>127494.62</v>
      </c>
      <c r="AB1004" s="2"/>
      <c r="AC1004" s="2">
        <v>15000</v>
      </c>
      <c r="AD1004" s="1">
        <v>0</v>
      </c>
      <c r="AG1004" s="1" t="s">
        <v>21</v>
      </c>
      <c r="AI1004" s="2">
        <v>15000</v>
      </c>
      <c r="AK1004" s="1"/>
    </row>
    <row r="1005" spans="1:53" ht="15" customHeight="1" x14ac:dyDescent="0.2">
      <c r="A1005" s="1" t="s">
        <v>19</v>
      </c>
      <c r="B1005" s="27" t="s">
        <v>109</v>
      </c>
      <c r="C1005" s="26" t="s">
        <v>37</v>
      </c>
      <c r="D1005" s="1" t="s">
        <v>211</v>
      </c>
      <c r="E1005" s="1" t="s">
        <v>35</v>
      </c>
      <c r="F1005" s="26" t="s">
        <v>637</v>
      </c>
      <c r="G1005" s="26" t="s">
        <v>636</v>
      </c>
      <c r="H1005" s="24" t="s">
        <v>258</v>
      </c>
      <c r="I1005" s="24" t="s">
        <v>1009</v>
      </c>
      <c r="J1005" s="24">
        <v>2023</v>
      </c>
      <c r="K1005" s="24" t="s">
        <v>1008</v>
      </c>
      <c r="L1005" s="24" t="s">
        <v>1008</v>
      </c>
      <c r="M1005" s="24" t="s">
        <v>1007</v>
      </c>
      <c r="N1005" s="24"/>
      <c r="O1005" s="24"/>
      <c r="P1005" s="24" t="s">
        <v>1006</v>
      </c>
      <c r="Q1005" s="24" t="s">
        <v>27</v>
      </c>
      <c r="R1005" s="24" t="s">
        <v>26</v>
      </c>
      <c r="S1005" s="24" t="s">
        <v>805</v>
      </c>
      <c r="T1005" s="24" t="s">
        <v>804</v>
      </c>
      <c r="U1005" s="24">
        <v>2</v>
      </c>
      <c r="V1005" s="24" t="s">
        <v>767</v>
      </c>
      <c r="W1005" s="24" t="s">
        <v>1005</v>
      </c>
      <c r="X1005" s="24"/>
      <c r="Y1005" s="23">
        <v>45802</v>
      </c>
      <c r="Z1005" s="1">
        <v>2025</v>
      </c>
      <c r="AA1005" s="2">
        <v>5759779.3300000001</v>
      </c>
      <c r="AB1005" s="2"/>
      <c r="AC1005" s="2">
        <v>1439944.83</v>
      </c>
      <c r="AD1005" s="18">
        <v>25</v>
      </c>
      <c r="AE1005" s="1">
        <v>2</v>
      </c>
      <c r="AG1005" s="1" t="s">
        <v>21</v>
      </c>
      <c r="AI1005" s="2">
        <v>1439944.83</v>
      </c>
      <c r="AK1005" s="1"/>
    </row>
    <row r="1006" spans="1:53" ht="15" customHeight="1" x14ac:dyDescent="0.2">
      <c r="A1006" s="1" t="s">
        <v>19</v>
      </c>
      <c r="B1006" s="27" t="s">
        <v>109</v>
      </c>
      <c r="C1006" s="26" t="s">
        <v>37</v>
      </c>
      <c r="D1006" s="1" t="s">
        <v>211</v>
      </c>
      <c r="E1006" s="1" t="s">
        <v>35</v>
      </c>
      <c r="F1006" s="26" t="s">
        <v>637</v>
      </c>
      <c r="G1006" s="26" t="s">
        <v>636</v>
      </c>
      <c r="H1006" s="24" t="s">
        <v>258</v>
      </c>
      <c r="I1006" s="24" t="s">
        <v>1004</v>
      </c>
      <c r="J1006" s="24">
        <v>2023</v>
      </c>
      <c r="K1006" s="24" t="s">
        <v>1003</v>
      </c>
      <c r="L1006" s="28" t="s">
        <v>1002</v>
      </c>
      <c r="M1006" s="24" t="s">
        <v>1001</v>
      </c>
      <c r="N1006" s="24"/>
      <c r="O1006" s="24"/>
      <c r="P1006" s="24" t="s">
        <v>1000</v>
      </c>
      <c r="Q1006" s="24" t="s">
        <v>771</v>
      </c>
      <c r="R1006" s="24" t="s">
        <v>770</v>
      </c>
      <c r="S1006" s="24" t="s">
        <v>769</v>
      </c>
      <c r="T1006" s="24" t="s">
        <v>768</v>
      </c>
      <c r="U1006" s="24">
        <v>1</v>
      </c>
      <c r="V1006" s="24" t="s">
        <v>767</v>
      </c>
      <c r="W1006" s="24" t="s">
        <v>999</v>
      </c>
      <c r="X1006" s="24"/>
      <c r="Y1006" s="23">
        <v>45802</v>
      </c>
      <c r="Z1006" s="1">
        <v>2025</v>
      </c>
      <c r="AA1006" s="2">
        <v>4431490.49</v>
      </c>
      <c r="AB1006" s="2"/>
      <c r="AC1006" s="2">
        <v>915000</v>
      </c>
      <c r="AD1006" s="18">
        <v>9</v>
      </c>
      <c r="AE1006" s="1">
        <v>2</v>
      </c>
      <c r="AG1006" s="1" t="s">
        <v>21</v>
      </c>
      <c r="AH1006" s="1" t="s">
        <v>919</v>
      </c>
      <c r="AI1006" s="2">
        <v>915000</v>
      </c>
      <c r="AK1006" s="1"/>
    </row>
    <row r="1007" spans="1:53" ht="15" customHeight="1" x14ac:dyDescent="0.2">
      <c r="A1007" s="1" t="s">
        <v>19</v>
      </c>
      <c r="B1007" s="27" t="s">
        <v>109</v>
      </c>
      <c r="C1007" s="26" t="s">
        <v>37</v>
      </c>
      <c r="D1007" s="1" t="s">
        <v>211</v>
      </c>
      <c r="E1007" s="1" t="s">
        <v>35</v>
      </c>
      <c r="F1007" s="26" t="s">
        <v>637</v>
      </c>
      <c r="G1007" s="26" t="s">
        <v>636</v>
      </c>
      <c r="H1007" s="24" t="s">
        <v>258</v>
      </c>
      <c r="I1007" s="24" t="s">
        <v>998</v>
      </c>
      <c r="J1007" s="24">
        <v>2023</v>
      </c>
      <c r="K1007" s="24" t="s">
        <v>997</v>
      </c>
      <c r="L1007" s="28" t="s">
        <v>996</v>
      </c>
      <c r="M1007" s="24" t="s">
        <v>995</v>
      </c>
      <c r="N1007" s="24"/>
      <c r="O1007" s="24"/>
      <c r="P1007" s="24" t="s">
        <v>994</v>
      </c>
      <c r="Q1007" s="24" t="s">
        <v>771</v>
      </c>
      <c r="R1007" s="24" t="s">
        <v>897</v>
      </c>
      <c r="S1007" s="24" t="s">
        <v>896</v>
      </c>
      <c r="T1007" s="24" t="s">
        <v>895</v>
      </c>
      <c r="U1007" s="24">
        <v>2</v>
      </c>
      <c r="V1007" s="24" t="s">
        <v>767</v>
      </c>
      <c r="W1007" s="24" t="s">
        <v>993</v>
      </c>
      <c r="X1007" s="24"/>
      <c r="Y1007" s="23">
        <v>45802</v>
      </c>
      <c r="Z1007" s="1">
        <v>2025</v>
      </c>
      <c r="AA1007" s="2">
        <v>1582126.7</v>
      </c>
      <c r="AB1007" s="2"/>
      <c r="AC1007" s="2">
        <v>197765.84</v>
      </c>
      <c r="AD1007" s="18">
        <v>3</v>
      </c>
      <c r="AE1007" s="1">
        <v>3</v>
      </c>
      <c r="AG1007" s="1" t="s">
        <v>21</v>
      </c>
      <c r="AH1007" s="1" t="s">
        <v>919</v>
      </c>
      <c r="AI1007" s="2">
        <v>197765.84</v>
      </c>
      <c r="AK1007" s="1"/>
    </row>
    <row r="1008" spans="1:53" ht="15" customHeight="1" x14ac:dyDescent="0.2">
      <c r="A1008" s="1" t="s">
        <v>19</v>
      </c>
      <c r="B1008" s="27" t="s">
        <v>109</v>
      </c>
      <c r="C1008" s="26" t="s">
        <v>37</v>
      </c>
      <c r="D1008" s="1" t="s">
        <v>211</v>
      </c>
      <c r="E1008" s="1" t="s">
        <v>35</v>
      </c>
      <c r="F1008" s="26" t="s">
        <v>637</v>
      </c>
      <c r="G1008" s="26" t="s">
        <v>636</v>
      </c>
      <c r="H1008" s="24" t="s">
        <v>258</v>
      </c>
      <c r="I1008" s="24" t="s">
        <v>992</v>
      </c>
      <c r="J1008" s="24">
        <v>2023</v>
      </c>
      <c r="K1008" s="24" t="s">
        <v>991</v>
      </c>
      <c r="L1008" s="24" t="s">
        <v>991</v>
      </c>
      <c r="M1008" s="24" t="s">
        <v>990</v>
      </c>
      <c r="N1008" s="24"/>
      <c r="O1008" s="24"/>
      <c r="P1008" s="24" t="s">
        <v>989</v>
      </c>
      <c r="Q1008" s="24" t="s">
        <v>27</v>
      </c>
      <c r="R1008" s="24" t="s">
        <v>26</v>
      </c>
      <c r="S1008" s="24" t="s">
        <v>862</v>
      </c>
      <c r="T1008" s="24" t="s">
        <v>861</v>
      </c>
      <c r="U1008" s="24">
        <v>2</v>
      </c>
      <c r="V1008" s="24" t="s">
        <v>767</v>
      </c>
      <c r="W1008" s="24" t="s">
        <v>988</v>
      </c>
      <c r="X1008" s="24"/>
      <c r="Y1008" s="23">
        <v>45802</v>
      </c>
      <c r="Z1008" s="1">
        <v>2025</v>
      </c>
      <c r="AA1008" s="2">
        <v>1254460</v>
      </c>
      <c r="AB1008" s="2"/>
      <c r="AC1008" s="2">
        <v>219530.5</v>
      </c>
      <c r="AD1008" s="18">
        <v>3</v>
      </c>
      <c r="AE1008" s="1">
        <v>0</v>
      </c>
      <c r="AG1008" s="1" t="s">
        <v>21</v>
      </c>
      <c r="AI1008" s="2">
        <v>219530.5</v>
      </c>
      <c r="AK1008" s="1"/>
    </row>
    <row r="1009" spans="1:35" s="1" customFormat="1" ht="15" customHeight="1" x14ac:dyDescent="0.2">
      <c r="A1009" s="1" t="s">
        <v>19</v>
      </c>
      <c r="B1009" s="27" t="s">
        <v>109</v>
      </c>
      <c r="C1009" s="26" t="s">
        <v>37</v>
      </c>
      <c r="D1009" s="1" t="s">
        <v>211</v>
      </c>
      <c r="E1009" s="1" t="s">
        <v>35</v>
      </c>
      <c r="F1009" s="26" t="s">
        <v>637</v>
      </c>
      <c r="G1009" s="26" t="s">
        <v>636</v>
      </c>
      <c r="H1009" s="24" t="s">
        <v>258</v>
      </c>
      <c r="I1009" s="24" t="s">
        <v>987</v>
      </c>
      <c r="J1009" s="24">
        <v>2023</v>
      </c>
      <c r="K1009" s="24" t="s">
        <v>986</v>
      </c>
      <c r="L1009" s="24" t="s">
        <v>986</v>
      </c>
      <c r="M1009" s="24" t="s">
        <v>985</v>
      </c>
      <c r="N1009" s="24"/>
      <c r="O1009" s="24"/>
      <c r="P1009" s="24" t="s">
        <v>984</v>
      </c>
      <c r="Q1009" s="24" t="s">
        <v>27</v>
      </c>
      <c r="R1009" s="24" t="s">
        <v>26</v>
      </c>
      <c r="S1009" s="24" t="s">
        <v>862</v>
      </c>
      <c r="T1009" s="24" t="s">
        <v>861</v>
      </c>
      <c r="U1009" s="24">
        <v>2</v>
      </c>
      <c r="V1009" s="24" t="s">
        <v>767</v>
      </c>
      <c r="W1009" s="24" t="s">
        <v>983</v>
      </c>
      <c r="X1009" s="24"/>
      <c r="Y1009" s="23">
        <v>45802</v>
      </c>
      <c r="Z1009" s="1">
        <v>2025</v>
      </c>
      <c r="AA1009" s="2">
        <v>174450</v>
      </c>
      <c r="AB1009" s="2"/>
      <c r="AC1009" s="2">
        <v>30528.75</v>
      </c>
      <c r="AD1009" s="18">
        <v>3</v>
      </c>
      <c r="AE1009" s="1">
        <v>0</v>
      </c>
      <c r="AG1009" s="1" t="s">
        <v>21</v>
      </c>
      <c r="AI1009" s="2">
        <v>30528.75</v>
      </c>
    </row>
    <row r="1010" spans="1:35" s="1" customFormat="1" ht="15" customHeight="1" x14ac:dyDescent="0.2">
      <c r="A1010" s="1" t="s">
        <v>19</v>
      </c>
      <c r="B1010" s="27" t="s">
        <v>109</v>
      </c>
      <c r="C1010" s="26" t="s">
        <v>37</v>
      </c>
      <c r="D1010" s="1" t="s">
        <v>211</v>
      </c>
      <c r="E1010" s="1" t="s">
        <v>35</v>
      </c>
      <c r="F1010" s="26" t="s">
        <v>637</v>
      </c>
      <c r="G1010" s="26" t="s">
        <v>636</v>
      </c>
      <c r="H1010" s="24" t="s">
        <v>258</v>
      </c>
      <c r="I1010" s="24" t="s">
        <v>982</v>
      </c>
      <c r="J1010" s="24">
        <v>2023</v>
      </c>
      <c r="K1010" s="24" t="s">
        <v>981</v>
      </c>
      <c r="L1010" s="24" t="s">
        <v>981</v>
      </c>
      <c r="M1010" s="24" t="s">
        <v>980</v>
      </c>
      <c r="N1010" s="24"/>
      <c r="O1010" s="24"/>
      <c r="P1010" s="24" t="s">
        <v>979</v>
      </c>
      <c r="Q1010" s="24" t="s">
        <v>27</v>
      </c>
      <c r="R1010" s="24" t="s">
        <v>26</v>
      </c>
      <c r="S1010" s="24" t="s">
        <v>810</v>
      </c>
      <c r="T1010" s="24" t="s">
        <v>809</v>
      </c>
      <c r="U1010" s="24">
        <v>1</v>
      </c>
      <c r="V1010" s="24" t="s">
        <v>767</v>
      </c>
      <c r="W1010" s="24" t="s">
        <v>978</v>
      </c>
      <c r="X1010" s="24"/>
      <c r="Y1010" s="23">
        <v>45802</v>
      </c>
      <c r="Z1010" s="1">
        <v>2025</v>
      </c>
      <c r="AA1010" s="2">
        <v>1219190.4099999999</v>
      </c>
      <c r="AB1010" s="2"/>
      <c r="AC1010" s="2">
        <v>304797.59999999998</v>
      </c>
      <c r="AD1010" s="18">
        <v>5</v>
      </c>
      <c r="AE1010" s="1">
        <v>1</v>
      </c>
      <c r="AG1010" s="1" t="s">
        <v>21</v>
      </c>
      <c r="AI1010" s="2">
        <v>304797.59999999998</v>
      </c>
    </row>
    <row r="1011" spans="1:35" s="1" customFormat="1" ht="15" customHeight="1" x14ac:dyDescent="0.2">
      <c r="A1011" s="1" t="s">
        <v>19</v>
      </c>
      <c r="B1011" s="27" t="s">
        <v>109</v>
      </c>
      <c r="C1011" s="26" t="s">
        <v>37</v>
      </c>
      <c r="D1011" s="1" t="s">
        <v>211</v>
      </c>
      <c r="E1011" s="1" t="s">
        <v>35</v>
      </c>
      <c r="F1011" s="26" t="s">
        <v>637</v>
      </c>
      <c r="G1011" s="26" t="s">
        <v>636</v>
      </c>
      <c r="H1011" s="24" t="s">
        <v>258</v>
      </c>
      <c r="I1011" s="24" t="s">
        <v>977</v>
      </c>
      <c r="J1011" s="24">
        <v>2023</v>
      </c>
      <c r="K1011" s="24" t="s">
        <v>976</v>
      </c>
      <c r="L1011" s="24" t="s">
        <v>976</v>
      </c>
      <c r="M1011" s="24" t="s">
        <v>0</v>
      </c>
      <c r="N1011" s="24"/>
      <c r="O1011" s="24"/>
      <c r="P1011" s="24" t="s">
        <v>975</v>
      </c>
      <c r="Q1011" s="24" t="s">
        <v>771</v>
      </c>
      <c r="R1011" s="24" t="s">
        <v>897</v>
      </c>
      <c r="S1011" s="24" t="s">
        <v>922</v>
      </c>
      <c r="T1011" s="24" t="s">
        <v>921</v>
      </c>
      <c r="U1011" s="24">
        <v>2</v>
      </c>
      <c r="V1011" s="24" t="s">
        <v>767</v>
      </c>
      <c r="W1011" s="24" t="s">
        <v>974</v>
      </c>
      <c r="X1011" s="24"/>
      <c r="Y1011" s="23">
        <v>45802</v>
      </c>
      <c r="Z1011" s="1">
        <v>2025</v>
      </c>
      <c r="AA1011" s="2">
        <v>1970820</v>
      </c>
      <c r="AB1011" s="2"/>
      <c r="AC1011" s="2">
        <v>246352.5</v>
      </c>
      <c r="AD1011" s="18">
        <v>4</v>
      </c>
      <c r="AE1011" s="1">
        <v>4</v>
      </c>
      <c r="AG1011" s="1" t="s">
        <v>21</v>
      </c>
      <c r="AH1011" s="1" t="s">
        <v>919</v>
      </c>
      <c r="AI1011" s="2">
        <v>246352.5</v>
      </c>
    </row>
    <row r="1012" spans="1:35" s="1" customFormat="1" ht="15" customHeight="1" x14ac:dyDescent="0.2">
      <c r="A1012" s="1" t="s">
        <v>19</v>
      </c>
      <c r="B1012" s="27" t="s">
        <v>109</v>
      </c>
      <c r="C1012" s="26" t="s">
        <v>37</v>
      </c>
      <c r="D1012" s="1" t="s">
        <v>211</v>
      </c>
      <c r="E1012" s="1" t="s">
        <v>35</v>
      </c>
      <c r="F1012" s="26" t="s">
        <v>637</v>
      </c>
      <c r="G1012" s="26" t="s">
        <v>636</v>
      </c>
      <c r="H1012" s="24" t="s">
        <v>258</v>
      </c>
      <c r="I1012" s="24" t="s">
        <v>973</v>
      </c>
      <c r="J1012" s="24">
        <v>2023</v>
      </c>
      <c r="K1012" s="24" t="s">
        <v>972</v>
      </c>
      <c r="L1012" s="24" t="s">
        <v>972</v>
      </c>
      <c r="M1012" s="24" t="s">
        <v>971</v>
      </c>
      <c r="N1012" s="24"/>
      <c r="O1012" s="24"/>
      <c r="P1012" s="24" t="s">
        <v>970</v>
      </c>
      <c r="Q1012" s="24" t="s">
        <v>27</v>
      </c>
      <c r="R1012" s="24" t="s">
        <v>26</v>
      </c>
      <c r="S1012" s="1" t="s">
        <v>810</v>
      </c>
      <c r="T1012" s="1" t="s">
        <v>809</v>
      </c>
      <c r="U1012" s="24">
        <v>1</v>
      </c>
      <c r="V1012" s="1" t="s">
        <v>767</v>
      </c>
      <c r="W1012" s="24" t="s">
        <v>969</v>
      </c>
      <c r="X1012" s="24"/>
      <c r="Y1012" s="23">
        <v>45802</v>
      </c>
      <c r="Z1012" s="1">
        <v>2025</v>
      </c>
      <c r="AA1012" s="2">
        <v>586640</v>
      </c>
      <c r="AB1012" s="2"/>
      <c r="AC1012" s="2">
        <v>205324</v>
      </c>
      <c r="AD1012" s="18">
        <v>6</v>
      </c>
      <c r="AE1012" s="1">
        <v>6</v>
      </c>
      <c r="AG1012" s="1" t="s">
        <v>21</v>
      </c>
      <c r="AI1012" s="2">
        <v>205324</v>
      </c>
    </row>
    <row r="1013" spans="1:35" s="1" customFormat="1" ht="15" customHeight="1" x14ac:dyDescent="0.2">
      <c r="A1013" s="1" t="s">
        <v>19</v>
      </c>
      <c r="B1013" s="27" t="s">
        <v>109</v>
      </c>
      <c r="C1013" s="26" t="s">
        <v>37</v>
      </c>
      <c r="D1013" s="1" t="s">
        <v>211</v>
      </c>
      <c r="E1013" s="1" t="s">
        <v>35</v>
      </c>
      <c r="F1013" s="26" t="s">
        <v>637</v>
      </c>
      <c r="G1013" s="26" t="s">
        <v>636</v>
      </c>
      <c r="H1013" s="24" t="s">
        <v>258</v>
      </c>
      <c r="I1013" s="24" t="s">
        <v>968</v>
      </c>
      <c r="J1013" s="24">
        <v>2023</v>
      </c>
      <c r="K1013" s="24" t="s">
        <v>967</v>
      </c>
      <c r="L1013" s="24" t="s">
        <v>967</v>
      </c>
      <c r="M1013" s="24" t="s">
        <v>966</v>
      </c>
      <c r="N1013" s="24"/>
      <c r="O1013" s="24"/>
      <c r="P1013" s="24" t="s">
        <v>965</v>
      </c>
      <c r="Q1013" s="24" t="s">
        <v>27</v>
      </c>
      <c r="R1013" s="24" t="s">
        <v>26</v>
      </c>
      <c r="S1013" s="24" t="s">
        <v>805</v>
      </c>
      <c r="T1013" s="24" t="s">
        <v>804</v>
      </c>
      <c r="U1013" s="24">
        <v>2</v>
      </c>
      <c r="V1013" s="24" t="s">
        <v>767</v>
      </c>
      <c r="W1013" s="24" t="s">
        <v>964</v>
      </c>
      <c r="X1013" s="24"/>
      <c r="Y1013" s="23">
        <v>45802</v>
      </c>
      <c r="Z1013" s="1">
        <v>2025</v>
      </c>
      <c r="AA1013" s="2">
        <v>2757281.25</v>
      </c>
      <c r="AB1013" s="2"/>
      <c r="AC1013" s="2">
        <v>482524.22</v>
      </c>
      <c r="AD1013" s="18">
        <v>36.9</v>
      </c>
      <c r="AE1013" s="1">
        <v>30</v>
      </c>
      <c r="AG1013" s="1" t="s">
        <v>21</v>
      </c>
      <c r="AI1013" s="2">
        <v>482524.22</v>
      </c>
    </row>
    <row r="1014" spans="1:35" s="1" customFormat="1" ht="15" customHeight="1" x14ac:dyDescent="0.2">
      <c r="A1014" s="1" t="s">
        <v>19</v>
      </c>
      <c r="B1014" s="27" t="s">
        <v>109</v>
      </c>
      <c r="C1014" s="26" t="s">
        <v>37</v>
      </c>
      <c r="D1014" s="1" t="s">
        <v>211</v>
      </c>
      <c r="E1014" s="1" t="s">
        <v>35</v>
      </c>
      <c r="F1014" s="26" t="s">
        <v>260</v>
      </c>
      <c r="G1014" s="26" t="s">
        <v>259</v>
      </c>
      <c r="H1014" s="24" t="s">
        <v>258</v>
      </c>
      <c r="I1014" s="24" t="s">
        <v>963</v>
      </c>
      <c r="J1014" s="24">
        <v>2023</v>
      </c>
      <c r="K1014" s="24" t="s">
        <v>598</v>
      </c>
      <c r="L1014" s="24" t="s">
        <v>598</v>
      </c>
      <c r="M1014" s="24" t="s">
        <v>962</v>
      </c>
      <c r="N1014" s="24"/>
      <c r="O1014" s="24"/>
      <c r="P1014" s="24" t="s">
        <v>961</v>
      </c>
      <c r="Q1014" s="24" t="s">
        <v>27</v>
      </c>
      <c r="R1014" s="24" t="s">
        <v>26</v>
      </c>
      <c r="S1014" s="24" t="s">
        <v>862</v>
      </c>
      <c r="T1014" s="24" t="s">
        <v>861</v>
      </c>
      <c r="U1014" s="24">
        <v>2</v>
      </c>
      <c r="V1014" s="24" t="s">
        <v>767</v>
      </c>
      <c r="W1014" s="24" t="s">
        <v>595</v>
      </c>
      <c r="X1014" s="24"/>
      <c r="Y1014" s="23">
        <v>45802</v>
      </c>
      <c r="Z1014" s="1">
        <v>2025</v>
      </c>
      <c r="AA1014" s="16">
        <v>135585</v>
      </c>
      <c r="AB1014" s="2"/>
      <c r="AC1014" s="16">
        <v>23727.38</v>
      </c>
      <c r="AD1014" s="1">
        <v>0</v>
      </c>
      <c r="AE1014" s="1">
        <v>0</v>
      </c>
      <c r="AG1014" s="1" t="s">
        <v>21</v>
      </c>
      <c r="AI1014" s="15">
        <v>23727.38</v>
      </c>
    </row>
    <row r="1015" spans="1:35" s="1" customFormat="1" ht="15" customHeight="1" x14ac:dyDescent="0.2">
      <c r="A1015" s="1" t="s">
        <v>19</v>
      </c>
      <c r="B1015" s="27" t="s">
        <v>109</v>
      </c>
      <c r="C1015" s="26" t="s">
        <v>37</v>
      </c>
      <c r="D1015" s="1" t="s">
        <v>211</v>
      </c>
      <c r="E1015" s="1" t="s">
        <v>35</v>
      </c>
      <c r="F1015" s="26" t="s">
        <v>260</v>
      </c>
      <c r="G1015" s="26" t="s">
        <v>259</v>
      </c>
      <c r="H1015" s="24" t="s">
        <v>258</v>
      </c>
      <c r="I1015" s="24" t="s">
        <v>960</v>
      </c>
      <c r="J1015" s="24">
        <v>2023</v>
      </c>
      <c r="K1015" s="24" t="s">
        <v>959</v>
      </c>
      <c r="L1015" s="24" t="s">
        <v>959</v>
      </c>
      <c r="M1015" s="24" t="s">
        <v>0</v>
      </c>
      <c r="N1015" s="24"/>
      <c r="O1015" s="24"/>
      <c r="P1015" s="24" t="s">
        <v>958</v>
      </c>
      <c r="Q1015" s="24" t="s">
        <v>27</v>
      </c>
      <c r="R1015" s="24" t="s">
        <v>26</v>
      </c>
      <c r="S1015" s="24" t="s">
        <v>805</v>
      </c>
      <c r="T1015" s="25" t="s">
        <v>804</v>
      </c>
      <c r="U1015" s="24">
        <v>2</v>
      </c>
      <c r="V1015" s="24" t="s">
        <v>767</v>
      </c>
      <c r="W1015" s="24" t="s">
        <v>957</v>
      </c>
      <c r="X1015" s="24"/>
      <c r="Y1015" s="23">
        <v>45802</v>
      </c>
      <c r="Z1015" s="1">
        <v>2025</v>
      </c>
      <c r="AA1015" s="16">
        <v>136795.22</v>
      </c>
      <c r="AB1015" s="2"/>
      <c r="AC1015" s="16">
        <v>23939.16</v>
      </c>
      <c r="AD1015" s="1">
        <v>2</v>
      </c>
      <c r="AE1015" s="1">
        <v>1</v>
      </c>
      <c r="AG1015" s="1" t="s">
        <v>21</v>
      </c>
      <c r="AI1015" s="15">
        <v>23939.16</v>
      </c>
    </row>
    <row r="1016" spans="1:35" s="1" customFormat="1" ht="15" customHeight="1" x14ac:dyDescent="0.2">
      <c r="A1016" s="1" t="s">
        <v>19</v>
      </c>
      <c r="B1016" s="27" t="s">
        <v>109</v>
      </c>
      <c r="C1016" s="26" t="s">
        <v>37</v>
      </c>
      <c r="D1016" s="1" t="s">
        <v>211</v>
      </c>
      <c r="E1016" s="1" t="s">
        <v>35</v>
      </c>
      <c r="F1016" s="26" t="s">
        <v>260</v>
      </c>
      <c r="G1016" s="26" t="s">
        <v>259</v>
      </c>
      <c r="H1016" s="24" t="s">
        <v>258</v>
      </c>
      <c r="I1016" s="24" t="s">
        <v>956</v>
      </c>
      <c r="J1016" s="24">
        <v>2023</v>
      </c>
      <c r="K1016" s="24" t="s">
        <v>955</v>
      </c>
      <c r="L1016" s="24" t="s">
        <v>955</v>
      </c>
      <c r="M1016" s="24"/>
      <c r="N1016" s="24"/>
      <c r="O1016" s="24"/>
      <c r="P1016" s="24" t="s">
        <v>954</v>
      </c>
      <c r="Q1016" s="24" t="s">
        <v>771</v>
      </c>
      <c r="R1016" s="24" t="s">
        <v>770</v>
      </c>
      <c r="S1016" s="24" t="s">
        <v>769</v>
      </c>
      <c r="T1016" s="25" t="s">
        <v>768</v>
      </c>
      <c r="U1016" s="24">
        <v>1</v>
      </c>
      <c r="V1016" s="24" t="s">
        <v>767</v>
      </c>
      <c r="W1016" s="24" t="s">
        <v>953</v>
      </c>
      <c r="X1016" s="24"/>
      <c r="Y1016" s="23">
        <v>45802</v>
      </c>
      <c r="Z1016" s="1">
        <v>2025</v>
      </c>
      <c r="AA1016" s="22">
        <v>474209.98</v>
      </c>
      <c r="AB1016" s="2"/>
      <c r="AC1016" s="22">
        <v>165973.49</v>
      </c>
      <c r="AD1016" s="1">
        <v>1.7</v>
      </c>
      <c r="AE1016" s="1">
        <v>1</v>
      </c>
      <c r="AG1016" s="1" t="s">
        <v>21</v>
      </c>
      <c r="AH1016" s="1" t="s">
        <v>919</v>
      </c>
      <c r="AI1016" s="21">
        <v>165973.49</v>
      </c>
    </row>
    <row r="1017" spans="1:35" s="1" customFormat="1" ht="15" customHeight="1" x14ac:dyDescent="0.2">
      <c r="A1017" s="1" t="s">
        <v>19</v>
      </c>
      <c r="B1017" s="27" t="s">
        <v>109</v>
      </c>
      <c r="C1017" s="26" t="s">
        <v>37</v>
      </c>
      <c r="D1017" s="1" t="s">
        <v>211</v>
      </c>
      <c r="E1017" s="1" t="s">
        <v>35</v>
      </c>
      <c r="F1017" s="26" t="s">
        <v>260</v>
      </c>
      <c r="G1017" s="26" t="s">
        <v>259</v>
      </c>
      <c r="H1017" s="24" t="s">
        <v>258</v>
      </c>
      <c r="I1017" s="24" t="s">
        <v>952</v>
      </c>
      <c r="J1017" s="24">
        <v>2023</v>
      </c>
      <c r="K1017" s="24" t="s">
        <v>951</v>
      </c>
      <c r="L1017" s="24" t="s">
        <v>950</v>
      </c>
      <c r="M1017" s="24" t="s">
        <v>949</v>
      </c>
      <c r="N1017" s="24"/>
      <c r="O1017" s="24"/>
      <c r="P1017" s="24" t="s">
        <v>948</v>
      </c>
      <c r="Q1017" s="24" t="s">
        <v>788</v>
      </c>
      <c r="R1017" s="24" t="s">
        <v>787</v>
      </c>
      <c r="S1017" s="24" t="s">
        <v>786</v>
      </c>
      <c r="T1017" s="25" t="s">
        <v>785</v>
      </c>
      <c r="U1017" s="24">
        <v>1</v>
      </c>
      <c r="V1017" s="24" t="s">
        <v>767</v>
      </c>
      <c r="W1017" s="24" t="s">
        <v>947</v>
      </c>
      <c r="X1017" s="24"/>
      <c r="Y1017" s="23">
        <v>45802</v>
      </c>
      <c r="Z1017" s="1">
        <v>2025</v>
      </c>
      <c r="AA1017" s="16">
        <v>294119.5</v>
      </c>
      <c r="AB1017" s="2"/>
      <c r="AC1017" s="16">
        <v>117647.8</v>
      </c>
      <c r="AD1017" s="1">
        <v>7</v>
      </c>
      <c r="AE1017" s="1">
        <v>1</v>
      </c>
      <c r="AG1017" s="1" t="s">
        <v>21</v>
      </c>
      <c r="AI1017" s="15">
        <v>117647.8</v>
      </c>
    </row>
    <row r="1018" spans="1:35" s="1" customFormat="1" ht="15" customHeight="1" x14ac:dyDescent="0.2">
      <c r="A1018" s="1" t="s">
        <v>19</v>
      </c>
      <c r="B1018" s="27" t="s">
        <v>109</v>
      </c>
      <c r="C1018" s="26" t="s">
        <v>37</v>
      </c>
      <c r="D1018" s="1" t="s">
        <v>211</v>
      </c>
      <c r="E1018" s="1" t="s">
        <v>35</v>
      </c>
      <c r="F1018" s="26" t="s">
        <v>260</v>
      </c>
      <c r="G1018" s="26" t="s">
        <v>259</v>
      </c>
      <c r="H1018" s="24" t="s">
        <v>258</v>
      </c>
      <c r="I1018" s="24" t="s">
        <v>946</v>
      </c>
      <c r="J1018" s="24">
        <v>2023</v>
      </c>
      <c r="K1018" s="24" t="s">
        <v>945</v>
      </c>
      <c r="L1018" s="24" t="s">
        <v>944</v>
      </c>
      <c r="M1018" s="24" t="s">
        <v>943</v>
      </c>
      <c r="N1018" s="24"/>
      <c r="O1018" s="24"/>
      <c r="P1018" s="24" t="s">
        <v>942</v>
      </c>
      <c r="Q1018" s="24" t="s">
        <v>780</v>
      </c>
      <c r="R1018" s="24" t="s">
        <v>941</v>
      </c>
      <c r="S1018" s="24" t="s">
        <v>940</v>
      </c>
      <c r="T1018" s="25" t="s">
        <v>939</v>
      </c>
      <c r="U1018" s="24">
        <v>2</v>
      </c>
      <c r="V1018" s="24" t="s">
        <v>767</v>
      </c>
      <c r="W1018" s="24" t="s">
        <v>938</v>
      </c>
      <c r="X1018" s="24"/>
      <c r="Y1018" s="23">
        <v>45802</v>
      </c>
      <c r="Z1018" s="1">
        <v>2025</v>
      </c>
      <c r="AA1018" s="16">
        <v>132004.29999999999</v>
      </c>
      <c r="AB1018" s="2"/>
      <c r="AC1018" s="16">
        <v>23100.75</v>
      </c>
      <c r="AD1018" s="1">
        <v>1.5</v>
      </c>
      <c r="AE1018" s="1">
        <v>0.5</v>
      </c>
      <c r="AG1018" s="1" t="s">
        <v>21</v>
      </c>
      <c r="AI1018" s="15">
        <v>23100.75</v>
      </c>
    </row>
    <row r="1019" spans="1:35" s="1" customFormat="1" ht="15" customHeight="1" x14ac:dyDescent="0.2">
      <c r="A1019" s="1" t="s">
        <v>19</v>
      </c>
      <c r="B1019" s="27" t="s">
        <v>109</v>
      </c>
      <c r="C1019" s="26" t="s">
        <v>37</v>
      </c>
      <c r="D1019" s="1" t="s">
        <v>211</v>
      </c>
      <c r="E1019" s="1" t="s">
        <v>35</v>
      </c>
      <c r="F1019" s="26" t="s">
        <v>260</v>
      </c>
      <c r="G1019" s="26" t="s">
        <v>259</v>
      </c>
      <c r="H1019" s="24" t="s">
        <v>258</v>
      </c>
      <c r="I1019" s="24" t="s">
        <v>937</v>
      </c>
      <c r="J1019" s="24">
        <v>2023</v>
      </c>
      <c r="K1019" s="24" t="s">
        <v>936</v>
      </c>
      <c r="L1019" s="24" t="s">
        <v>936</v>
      </c>
      <c r="M1019" s="24" t="s">
        <v>935</v>
      </c>
      <c r="N1019" s="24"/>
      <c r="O1019" s="24"/>
      <c r="P1019" s="24" t="s">
        <v>934</v>
      </c>
      <c r="Q1019" s="24" t="s">
        <v>27</v>
      </c>
      <c r="R1019" s="24" t="s">
        <v>26</v>
      </c>
      <c r="S1019" s="24" t="s">
        <v>805</v>
      </c>
      <c r="T1019" s="25" t="s">
        <v>804</v>
      </c>
      <c r="U1019" s="24">
        <v>2</v>
      </c>
      <c r="V1019" s="24" t="s">
        <v>767</v>
      </c>
      <c r="W1019" s="24" t="s">
        <v>933</v>
      </c>
      <c r="X1019" s="24"/>
      <c r="Y1019" s="23">
        <v>45802</v>
      </c>
      <c r="Z1019" s="1">
        <v>2025</v>
      </c>
      <c r="AA1019" s="16">
        <v>204411.36</v>
      </c>
      <c r="AB1019" s="2"/>
      <c r="AC1019" s="16">
        <v>51102.84</v>
      </c>
      <c r="AD1019" s="1">
        <v>1</v>
      </c>
      <c r="AE1019" s="1">
        <v>0</v>
      </c>
      <c r="AG1019" s="1" t="s">
        <v>21</v>
      </c>
      <c r="AI1019" s="15">
        <v>51102.84</v>
      </c>
    </row>
    <row r="1020" spans="1:35" s="1" customFormat="1" ht="15" customHeight="1" x14ac:dyDescent="0.2">
      <c r="A1020" s="1" t="s">
        <v>19</v>
      </c>
      <c r="B1020" s="27" t="s">
        <v>109</v>
      </c>
      <c r="C1020" s="26" t="s">
        <v>37</v>
      </c>
      <c r="D1020" s="1" t="s">
        <v>211</v>
      </c>
      <c r="E1020" s="1" t="s">
        <v>35</v>
      </c>
      <c r="F1020" s="26" t="s">
        <v>260</v>
      </c>
      <c r="G1020" s="26" t="s">
        <v>259</v>
      </c>
      <c r="H1020" s="24" t="s">
        <v>258</v>
      </c>
      <c r="I1020" s="24" t="s">
        <v>932</v>
      </c>
      <c r="J1020" s="24">
        <v>2023</v>
      </c>
      <c r="K1020" s="24" t="s">
        <v>931</v>
      </c>
      <c r="L1020" s="24" t="s">
        <v>931</v>
      </c>
      <c r="M1020" s="24" t="s">
        <v>930</v>
      </c>
      <c r="N1020" s="24"/>
      <c r="O1020" s="24"/>
      <c r="P1020" s="24" t="s">
        <v>929</v>
      </c>
      <c r="Q1020" s="24" t="s">
        <v>27</v>
      </c>
      <c r="R1020" s="24" t="s">
        <v>26</v>
      </c>
      <c r="S1020" s="24" t="s">
        <v>810</v>
      </c>
      <c r="T1020" s="25" t="s">
        <v>809</v>
      </c>
      <c r="U1020" s="24">
        <v>1</v>
      </c>
      <c r="V1020" s="24" t="s">
        <v>767</v>
      </c>
      <c r="W1020" s="24" t="s">
        <v>928</v>
      </c>
      <c r="X1020" s="24"/>
      <c r="Y1020" s="23">
        <v>45802</v>
      </c>
      <c r="Z1020" s="1">
        <v>2025</v>
      </c>
      <c r="AA1020" s="16">
        <v>495077.77</v>
      </c>
      <c r="AB1020" s="2"/>
      <c r="AC1020" s="16">
        <v>173277.22</v>
      </c>
      <c r="AD1020" s="1">
        <v>2</v>
      </c>
      <c r="AE1020" s="1">
        <v>0</v>
      </c>
      <c r="AG1020" s="1" t="s">
        <v>21</v>
      </c>
      <c r="AI1020" s="15">
        <v>173277.22</v>
      </c>
    </row>
    <row r="1021" spans="1:35" s="1" customFormat="1" ht="15" customHeight="1" x14ac:dyDescent="0.2">
      <c r="A1021" s="1" t="s">
        <v>19</v>
      </c>
      <c r="B1021" s="27" t="s">
        <v>109</v>
      </c>
      <c r="C1021" s="26" t="s">
        <v>37</v>
      </c>
      <c r="D1021" s="1" t="s">
        <v>211</v>
      </c>
      <c r="E1021" s="1" t="s">
        <v>35</v>
      </c>
      <c r="F1021" s="26" t="s">
        <v>260</v>
      </c>
      <c r="G1021" s="26" t="s">
        <v>259</v>
      </c>
      <c r="H1021" s="24" t="s">
        <v>258</v>
      </c>
      <c r="I1021" s="24" t="s">
        <v>927</v>
      </c>
      <c r="J1021" s="24">
        <v>2023</v>
      </c>
      <c r="K1021" s="24" t="s">
        <v>926</v>
      </c>
      <c r="L1021" s="28" t="s">
        <v>925</v>
      </c>
      <c r="M1021" s="24" t="s">
        <v>924</v>
      </c>
      <c r="N1021" s="24"/>
      <c r="O1021" s="24"/>
      <c r="P1021" s="24" t="s">
        <v>923</v>
      </c>
      <c r="Q1021" s="24" t="s">
        <v>771</v>
      </c>
      <c r="R1021" s="24" t="s">
        <v>897</v>
      </c>
      <c r="S1021" s="24" t="s">
        <v>922</v>
      </c>
      <c r="T1021" s="24" t="s">
        <v>921</v>
      </c>
      <c r="U1021" s="24">
        <v>2</v>
      </c>
      <c r="V1021" s="24" t="s">
        <v>767</v>
      </c>
      <c r="W1021" s="24" t="s">
        <v>920</v>
      </c>
      <c r="X1021" s="24"/>
      <c r="Y1021" s="23">
        <v>45802</v>
      </c>
      <c r="Z1021" s="1">
        <v>2025</v>
      </c>
      <c r="AA1021" s="16">
        <v>444911.06</v>
      </c>
      <c r="AB1021" s="2"/>
      <c r="AC1021" s="16">
        <v>75000</v>
      </c>
      <c r="AD1021" s="1">
        <v>1</v>
      </c>
      <c r="AE1021" s="1">
        <v>0</v>
      </c>
      <c r="AG1021" s="1" t="s">
        <v>21</v>
      </c>
      <c r="AH1021" s="1" t="s">
        <v>919</v>
      </c>
      <c r="AI1021" s="15">
        <v>75000</v>
      </c>
    </row>
    <row r="1022" spans="1:35" s="1" customFormat="1" ht="15" customHeight="1" x14ac:dyDescent="0.2">
      <c r="A1022" s="1" t="s">
        <v>19</v>
      </c>
      <c r="B1022" s="27" t="s">
        <v>109</v>
      </c>
      <c r="C1022" s="26" t="s">
        <v>37</v>
      </c>
      <c r="D1022" s="1" t="s">
        <v>211</v>
      </c>
      <c r="E1022" s="1" t="s">
        <v>35</v>
      </c>
      <c r="F1022" s="26" t="s">
        <v>260</v>
      </c>
      <c r="G1022" s="26" t="s">
        <v>259</v>
      </c>
      <c r="H1022" s="24" t="s">
        <v>258</v>
      </c>
      <c r="I1022" s="24" t="s">
        <v>918</v>
      </c>
      <c r="J1022" s="24">
        <v>2023</v>
      </c>
      <c r="K1022" s="24" t="s">
        <v>917</v>
      </c>
      <c r="L1022" s="24" t="s">
        <v>917</v>
      </c>
      <c r="M1022" s="24" t="s">
        <v>916</v>
      </c>
      <c r="N1022" s="24"/>
      <c r="O1022" s="24"/>
      <c r="P1022" s="24" t="s">
        <v>915</v>
      </c>
      <c r="Q1022" s="24" t="s">
        <v>27</v>
      </c>
      <c r="R1022" s="24" t="s">
        <v>26</v>
      </c>
      <c r="S1022" s="24" t="s">
        <v>805</v>
      </c>
      <c r="T1022" s="25" t="s">
        <v>804</v>
      </c>
      <c r="U1022" s="24">
        <v>2</v>
      </c>
      <c r="V1022" s="24" t="s">
        <v>767</v>
      </c>
      <c r="W1022" s="24" t="s">
        <v>914</v>
      </c>
      <c r="X1022" s="24"/>
      <c r="Y1022" s="23">
        <v>45802</v>
      </c>
      <c r="Z1022" s="1">
        <v>2025</v>
      </c>
      <c r="AA1022" s="16">
        <v>236828.47</v>
      </c>
      <c r="AB1022" s="2"/>
      <c r="AC1022" s="16">
        <v>41444.980000000003</v>
      </c>
      <c r="AD1022" s="1">
        <v>4.5</v>
      </c>
      <c r="AE1022" s="1">
        <v>3</v>
      </c>
      <c r="AG1022" s="1" t="s">
        <v>21</v>
      </c>
      <c r="AI1022" s="15">
        <v>41444.980000000003</v>
      </c>
    </row>
    <row r="1023" spans="1:35" s="1" customFormat="1" ht="15" customHeight="1" x14ac:dyDescent="0.2">
      <c r="A1023" s="1" t="s">
        <v>19</v>
      </c>
      <c r="B1023" s="27" t="s">
        <v>109</v>
      </c>
      <c r="C1023" s="26" t="s">
        <v>37</v>
      </c>
      <c r="D1023" s="1" t="s">
        <v>211</v>
      </c>
      <c r="E1023" s="1" t="s">
        <v>35</v>
      </c>
      <c r="F1023" s="26" t="s">
        <v>260</v>
      </c>
      <c r="G1023" s="26" t="s">
        <v>259</v>
      </c>
      <c r="H1023" s="24" t="s">
        <v>258</v>
      </c>
      <c r="I1023" s="24" t="s">
        <v>913</v>
      </c>
      <c r="J1023" s="24">
        <v>2023</v>
      </c>
      <c r="K1023" s="24" t="s">
        <v>608</v>
      </c>
      <c r="L1023" s="24" t="s">
        <v>608</v>
      </c>
      <c r="M1023" s="24" t="s">
        <v>912</v>
      </c>
      <c r="N1023" s="24"/>
      <c r="O1023" s="24"/>
      <c r="P1023" s="24" t="s">
        <v>911</v>
      </c>
      <c r="Q1023" s="24" t="s">
        <v>27</v>
      </c>
      <c r="R1023" s="24" t="s">
        <v>26</v>
      </c>
      <c r="S1023" s="24" t="s">
        <v>805</v>
      </c>
      <c r="T1023" s="24" t="s">
        <v>804</v>
      </c>
      <c r="U1023" s="24">
        <v>2</v>
      </c>
      <c r="V1023" s="24" t="s">
        <v>767</v>
      </c>
      <c r="W1023" s="24" t="s">
        <v>605</v>
      </c>
      <c r="X1023" s="24"/>
      <c r="Y1023" s="23">
        <v>45802</v>
      </c>
      <c r="Z1023" s="1">
        <v>2025</v>
      </c>
      <c r="AA1023" s="16">
        <v>32475</v>
      </c>
      <c r="AB1023" s="2"/>
      <c r="AC1023" s="16">
        <v>5683.13</v>
      </c>
      <c r="AD1023" s="1">
        <v>0</v>
      </c>
      <c r="AE1023" s="1">
        <v>0</v>
      </c>
      <c r="AG1023" s="1" t="s">
        <v>21</v>
      </c>
      <c r="AI1023" s="15">
        <v>5683.13</v>
      </c>
    </row>
    <row r="1024" spans="1:35" s="1" customFormat="1" ht="15" customHeight="1" x14ac:dyDescent="0.2">
      <c r="A1024" s="1" t="s">
        <v>19</v>
      </c>
      <c r="B1024" s="27" t="s">
        <v>109</v>
      </c>
      <c r="C1024" s="26" t="s">
        <v>37</v>
      </c>
      <c r="D1024" s="1" t="s">
        <v>211</v>
      </c>
      <c r="E1024" s="1" t="s">
        <v>35</v>
      </c>
      <c r="F1024" s="26" t="s">
        <v>260</v>
      </c>
      <c r="G1024" s="26" t="s">
        <v>259</v>
      </c>
      <c r="H1024" s="24" t="s">
        <v>258</v>
      </c>
      <c r="I1024" s="24" t="s">
        <v>910</v>
      </c>
      <c r="J1024" s="24">
        <v>2023</v>
      </c>
      <c r="K1024" s="24" t="s">
        <v>909</v>
      </c>
      <c r="L1024" s="24" t="s">
        <v>909</v>
      </c>
      <c r="M1024" s="24" t="s">
        <v>908</v>
      </c>
      <c r="N1024" s="24"/>
      <c r="O1024" s="24"/>
      <c r="P1024" s="24" t="s">
        <v>907</v>
      </c>
      <c r="Q1024" s="24" t="s">
        <v>27</v>
      </c>
      <c r="R1024" s="24" t="s">
        <v>26</v>
      </c>
      <c r="S1024" s="24" t="s">
        <v>810</v>
      </c>
      <c r="T1024" s="25" t="s">
        <v>809</v>
      </c>
      <c r="U1024" s="24">
        <v>1</v>
      </c>
      <c r="V1024" s="24" t="s">
        <v>767</v>
      </c>
      <c r="W1024" s="24" t="s">
        <v>906</v>
      </c>
      <c r="X1024" s="24"/>
      <c r="Y1024" s="23">
        <v>45802</v>
      </c>
      <c r="Z1024" s="1">
        <v>2025</v>
      </c>
      <c r="AA1024" s="16">
        <v>351741</v>
      </c>
      <c r="AB1024" s="2"/>
      <c r="AC1024" s="16">
        <v>115000</v>
      </c>
      <c r="AD1024" s="1">
        <v>1</v>
      </c>
      <c r="AE1024" s="1">
        <v>0</v>
      </c>
      <c r="AG1024" s="1" t="s">
        <v>21</v>
      </c>
      <c r="AI1024" s="15">
        <v>115000</v>
      </c>
    </row>
    <row r="1025" spans="1:38" ht="15" customHeight="1" x14ac:dyDescent="0.2">
      <c r="A1025" s="1" t="s">
        <v>19</v>
      </c>
      <c r="B1025" s="27" t="s">
        <v>109</v>
      </c>
      <c r="C1025" s="26" t="s">
        <v>37</v>
      </c>
      <c r="D1025" s="1" t="s">
        <v>211</v>
      </c>
      <c r="E1025" s="1" t="s">
        <v>35</v>
      </c>
      <c r="F1025" s="26" t="s">
        <v>260</v>
      </c>
      <c r="G1025" s="26" t="s">
        <v>259</v>
      </c>
      <c r="H1025" s="24" t="s">
        <v>258</v>
      </c>
      <c r="I1025" s="24" t="s">
        <v>905</v>
      </c>
      <c r="J1025" s="24">
        <v>2023</v>
      </c>
      <c r="K1025" s="24" t="s">
        <v>904</v>
      </c>
      <c r="L1025" s="24" t="s">
        <v>904</v>
      </c>
      <c r="M1025" s="24" t="s">
        <v>903</v>
      </c>
      <c r="N1025" s="24"/>
      <c r="O1025" s="24"/>
      <c r="P1025" s="24" t="s">
        <v>902</v>
      </c>
      <c r="Q1025" s="24" t="s">
        <v>27</v>
      </c>
      <c r="R1025" s="24" t="s">
        <v>26</v>
      </c>
      <c r="S1025" s="24" t="s">
        <v>810</v>
      </c>
      <c r="T1025" s="25" t="s">
        <v>809</v>
      </c>
      <c r="U1025" s="24">
        <v>1</v>
      </c>
      <c r="V1025" s="24" t="s">
        <v>767</v>
      </c>
      <c r="W1025" s="24" t="s">
        <v>901</v>
      </c>
      <c r="X1025" s="24"/>
      <c r="Y1025" s="23">
        <v>45802</v>
      </c>
      <c r="Z1025" s="1">
        <v>2025</v>
      </c>
      <c r="AA1025" s="16">
        <v>277943.89</v>
      </c>
      <c r="AB1025" s="2"/>
      <c r="AC1025" s="16">
        <v>97280.36</v>
      </c>
      <c r="AD1025" s="1">
        <v>0</v>
      </c>
      <c r="AE1025" s="1">
        <v>0</v>
      </c>
      <c r="AG1025" s="1" t="s">
        <v>21</v>
      </c>
      <c r="AI1025" s="15">
        <v>97280.36</v>
      </c>
      <c r="AK1025" s="1"/>
    </row>
    <row r="1026" spans="1:38" ht="15" customHeight="1" x14ac:dyDescent="0.2">
      <c r="A1026" s="1" t="s">
        <v>19</v>
      </c>
      <c r="B1026" s="5" t="s">
        <v>109</v>
      </c>
      <c r="C1026" s="1" t="s">
        <v>37</v>
      </c>
      <c r="D1026" s="1" t="s">
        <v>211</v>
      </c>
      <c r="E1026" s="1" t="s">
        <v>35</v>
      </c>
      <c r="F1026" s="1" t="s">
        <v>260</v>
      </c>
      <c r="G1026" s="1" t="s">
        <v>259</v>
      </c>
      <c r="H1026" s="1" t="s">
        <v>258</v>
      </c>
      <c r="I1026" s="1" t="s">
        <v>900</v>
      </c>
      <c r="J1026" s="1">
        <v>2023</v>
      </c>
      <c r="K1026" s="1" t="s">
        <v>899</v>
      </c>
      <c r="L1026" s="1" t="s">
        <v>899</v>
      </c>
      <c r="M1026" s="1" t="s">
        <v>0</v>
      </c>
      <c r="P1026" s="1" t="s">
        <v>898</v>
      </c>
      <c r="Q1026" s="1" t="s">
        <v>771</v>
      </c>
      <c r="R1026" s="1" t="s">
        <v>897</v>
      </c>
      <c r="S1026" s="1" t="s">
        <v>896</v>
      </c>
      <c r="T1026" s="2" t="s">
        <v>895</v>
      </c>
      <c r="U1026" s="1">
        <v>2</v>
      </c>
      <c r="V1026" s="1" t="s">
        <v>767</v>
      </c>
      <c r="W1026" s="1" t="s">
        <v>894</v>
      </c>
      <c r="Y1026" s="3">
        <v>45802</v>
      </c>
      <c r="Z1026" s="1">
        <v>2025</v>
      </c>
      <c r="AA1026" s="16">
        <v>222553.94</v>
      </c>
      <c r="AB1026" s="2"/>
      <c r="AC1026" s="16">
        <v>38946.94</v>
      </c>
      <c r="AD1026" s="1">
        <v>1</v>
      </c>
      <c r="AE1026" s="1">
        <v>1</v>
      </c>
      <c r="AG1026" s="1" t="s">
        <v>106</v>
      </c>
      <c r="AH1026" s="1" t="s">
        <v>105</v>
      </c>
      <c r="AI1026" s="15">
        <v>0</v>
      </c>
      <c r="AK1026" s="1"/>
    </row>
    <row r="1027" spans="1:38" ht="15" customHeight="1" x14ac:dyDescent="0.2">
      <c r="A1027" s="1" t="s">
        <v>19</v>
      </c>
      <c r="B1027" s="5" t="s">
        <v>109</v>
      </c>
      <c r="C1027" s="1" t="s">
        <v>37</v>
      </c>
      <c r="D1027" s="1" t="s">
        <v>211</v>
      </c>
      <c r="E1027" s="1" t="s">
        <v>35</v>
      </c>
      <c r="F1027" s="1" t="s">
        <v>260</v>
      </c>
      <c r="G1027" s="1" t="s">
        <v>259</v>
      </c>
      <c r="H1027" s="1" t="s">
        <v>258</v>
      </c>
      <c r="I1027" s="1" t="s">
        <v>893</v>
      </c>
      <c r="J1027" s="1">
        <v>2023</v>
      </c>
      <c r="K1027" s="1" t="s">
        <v>892</v>
      </c>
      <c r="L1027" s="1" t="s">
        <v>892</v>
      </c>
      <c r="M1027" s="1" t="s">
        <v>0</v>
      </c>
      <c r="P1027" s="1" t="s">
        <v>891</v>
      </c>
      <c r="Q1027" s="1" t="s">
        <v>27</v>
      </c>
      <c r="R1027" s="1" t="s">
        <v>26</v>
      </c>
      <c r="S1027" s="1" t="s">
        <v>805</v>
      </c>
      <c r="T1027" s="2" t="s">
        <v>804</v>
      </c>
      <c r="U1027" s="1">
        <v>2</v>
      </c>
      <c r="V1027" s="1" t="s">
        <v>767</v>
      </c>
      <c r="W1027" s="1" t="s">
        <v>890</v>
      </c>
      <c r="Y1027" s="3">
        <v>45802</v>
      </c>
      <c r="Z1027" s="1">
        <v>2025</v>
      </c>
      <c r="AA1027" s="22">
        <v>110532.15</v>
      </c>
      <c r="AB1027" s="2"/>
      <c r="AC1027" s="22">
        <v>19343.13</v>
      </c>
      <c r="AD1027" s="1">
        <v>1</v>
      </c>
      <c r="AE1027" s="1">
        <v>1</v>
      </c>
      <c r="AG1027" s="1" t="s">
        <v>21</v>
      </c>
      <c r="AI1027" s="21">
        <v>19343.13</v>
      </c>
      <c r="AK1027" s="1"/>
    </row>
    <row r="1028" spans="1:38" ht="15" customHeight="1" x14ac:dyDescent="0.2">
      <c r="A1028" s="1" t="s">
        <v>19</v>
      </c>
      <c r="B1028" s="5" t="s">
        <v>109</v>
      </c>
      <c r="C1028" s="1" t="s">
        <v>37</v>
      </c>
      <c r="D1028" s="1" t="s">
        <v>211</v>
      </c>
      <c r="E1028" s="1" t="s">
        <v>35</v>
      </c>
      <c r="F1028" s="1" t="s">
        <v>260</v>
      </c>
      <c r="G1028" s="1" t="s">
        <v>259</v>
      </c>
      <c r="H1028" s="1" t="s">
        <v>258</v>
      </c>
      <c r="I1028" s="1" t="s">
        <v>889</v>
      </c>
      <c r="J1028" s="1">
        <v>2023</v>
      </c>
      <c r="K1028" s="1" t="s">
        <v>888</v>
      </c>
      <c r="L1028" s="1" t="s">
        <v>888</v>
      </c>
      <c r="M1028" s="1" t="s">
        <v>887</v>
      </c>
      <c r="P1028" s="1" t="s">
        <v>886</v>
      </c>
      <c r="Q1028" s="1" t="s">
        <v>27</v>
      </c>
      <c r="R1028" s="1" t="s">
        <v>26</v>
      </c>
      <c r="S1028" s="1" t="s">
        <v>810</v>
      </c>
      <c r="T1028" s="2" t="s">
        <v>809</v>
      </c>
      <c r="U1028" s="1">
        <v>1</v>
      </c>
      <c r="V1028" s="1" t="s">
        <v>767</v>
      </c>
      <c r="W1028" s="1" t="s">
        <v>885</v>
      </c>
      <c r="Y1028" s="3">
        <v>45802</v>
      </c>
      <c r="Z1028" s="1">
        <v>2025</v>
      </c>
      <c r="AA1028" s="22">
        <v>227031.5</v>
      </c>
      <c r="AB1028" s="2"/>
      <c r="AC1028" s="22">
        <v>56757.88</v>
      </c>
      <c r="AD1028" s="1">
        <v>2</v>
      </c>
      <c r="AE1028" s="1">
        <v>1</v>
      </c>
      <c r="AG1028" s="1" t="s">
        <v>21</v>
      </c>
      <c r="AI1028" s="21">
        <v>56757.88</v>
      </c>
      <c r="AK1028" s="1"/>
    </row>
    <row r="1029" spans="1:38" ht="15" customHeight="1" x14ac:dyDescent="0.2">
      <c r="A1029" s="1" t="s">
        <v>19</v>
      </c>
      <c r="B1029" s="5" t="s">
        <v>109</v>
      </c>
      <c r="C1029" s="1" t="s">
        <v>37</v>
      </c>
      <c r="D1029" s="1" t="s">
        <v>211</v>
      </c>
      <c r="E1029" s="1" t="s">
        <v>35</v>
      </c>
      <c r="F1029" s="1" t="s">
        <v>260</v>
      </c>
      <c r="G1029" s="1" t="s">
        <v>259</v>
      </c>
      <c r="H1029" s="1" t="s">
        <v>258</v>
      </c>
      <c r="I1029" s="1" t="s">
        <v>884</v>
      </c>
      <c r="J1029" s="1">
        <v>2023</v>
      </c>
      <c r="K1029" s="1" t="s">
        <v>883</v>
      </c>
      <c r="L1029" s="1" t="s">
        <v>883</v>
      </c>
      <c r="M1029" s="1" t="s">
        <v>882</v>
      </c>
      <c r="P1029" s="1" t="s">
        <v>881</v>
      </c>
      <c r="Q1029" s="1" t="s">
        <v>27</v>
      </c>
      <c r="R1029" s="1" t="s">
        <v>26</v>
      </c>
      <c r="S1029" s="1" t="s">
        <v>805</v>
      </c>
      <c r="T1029" s="2" t="s">
        <v>804</v>
      </c>
      <c r="U1029" s="1">
        <v>2</v>
      </c>
      <c r="V1029" s="1" t="s">
        <v>767</v>
      </c>
      <c r="W1029" s="1" t="s">
        <v>880</v>
      </c>
      <c r="Y1029" s="3">
        <v>45802</v>
      </c>
      <c r="Z1029" s="1">
        <v>2025</v>
      </c>
      <c r="AA1029" s="16">
        <v>91140</v>
      </c>
      <c r="AB1029" s="2"/>
      <c r="AC1029" s="16">
        <v>15949.5</v>
      </c>
      <c r="AD1029" s="1">
        <v>3</v>
      </c>
      <c r="AE1029" s="1">
        <v>2</v>
      </c>
      <c r="AG1029" s="1" t="s">
        <v>21</v>
      </c>
      <c r="AI1029" s="15">
        <v>15949.5</v>
      </c>
      <c r="AK1029" s="1"/>
    </row>
    <row r="1030" spans="1:38" ht="15" customHeight="1" x14ac:dyDescent="0.2">
      <c r="A1030" s="1" t="s">
        <v>19</v>
      </c>
      <c r="B1030" s="5" t="s">
        <v>109</v>
      </c>
      <c r="C1030" s="1" t="s">
        <v>37</v>
      </c>
      <c r="D1030" s="1" t="s">
        <v>211</v>
      </c>
      <c r="E1030" s="1" t="s">
        <v>35</v>
      </c>
      <c r="F1030" s="1" t="s">
        <v>260</v>
      </c>
      <c r="G1030" s="1" t="s">
        <v>259</v>
      </c>
      <c r="H1030" s="1" t="s">
        <v>258</v>
      </c>
      <c r="I1030" s="1" t="s">
        <v>879</v>
      </c>
      <c r="J1030" s="1">
        <v>2023</v>
      </c>
      <c r="K1030" s="1" t="s">
        <v>878</v>
      </c>
      <c r="L1030" s="1" t="s">
        <v>878</v>
      </c>
      <c r="M1030" s="1" t="s">
        <v>877</v>
      </c>
      <c r="P1030" s="1" t="s">
        <v>876</v>
      </c>
      <c r="Q1030" s="1" t="s">
        <v>27</v>
      </c>
      <c r="R1030" s="1" t="s">
        <v>26</v>
      </c>
      <c r="S1030" s="1" t="s">
        <v>810</v>
      </c>
      <c r="T1030" s="1" t="s">
        <v>809</v>
      </c>
      <c r="U1030" s="1">
        <v>1</v>
      </c>
      <c r="V1030" s="1" t="s">
        <v>767</v>
      </c>
      <c r="W1030" s="1" t="s">
        <v>875</v>
      </c>
      <c r="Y1030" s="3">
        <v>45802</v>
      </c>
      <c r="Z1030" s="1">
        <v>2025</v>
      </c>
      <c r="AA1030" s="16">
        <v>415800</v>
      </c>
      <c r="AB1030" s="2"/>
      <c r="AC1030" s="16">
        <v>62370</v>
      </c>
      <c r="AD1030" s="1">
        <v>0</v>
      </c>
      <c r="AE1030" s="1">
        <v>0</v>
      </c>
      <c r="AG1030" s="1" t="s">
        <v>21</v>
      </c>
      <c r="AI1030" s="15">
        <v>62370</v>
      </c>
      <c r="AK1030" s="1"/>
    </row>
    <row r="1031" spans="1:38" ht="15" customHeight="1" x14ac:dyDescent="0.2">
      <c r="A1031" s="1" t="s">
        <v>19</v>
      </c>
      <c r="B1031" s="5" t="s">
        <v>109</v>
      </c>
      <c r="C1031" s="1" t="s">
        <v>37</v>
      </c>
      <c r="D1031" s="1" t="s">
        <v>211</v>
      </c>
      <c r="E1031" s="1" t="s">
        <v>35</v>
      </c>
      <c r="F1031" s="1" t="s">
        <v>260</v>
      </c>
      <c r="G1031" s="1" t="s">
        <v>259</v>
      </c>
      <c r="H1031" s="1" t="s">
        <v>258</v>
      </c>
      <c r="I1031" s="1" t="s">
        <v>874</v>
      </c>
      <c r="J1031" s="1">
        <v>2023</v>
      </c>
      <c r="K1031" s="1" t="s">
        <v>873</v>
      </c>
      <c r="L1031" s="1" t="s">
        <v>873</v>
      </c>
      <c r="M1031" s="1" t="s">
        <v>872</v>
      </c>
      <c r="P1031" s="1" t="s">
        <v>249</v>
      </c>
      <c r="Q1031" s="1" t="s">
        <v>27</v>
      </c>
      <c r="R1031" s="1" t="s">
        <v>26</v>
      </c>
      <c r="S1031" s="1" t="s">
        <v>871</v>
      </c>
      <c r="T1031" s="2" t="s">
        <v>870</v>
      </c>
      <c r="U1031" s="1">
        <v>2</v>
      </c>
      <c r="V1031" s="1" t="s">
        <v>767</v>
      </c>
      <c r="W1031" s="1" t="s">
        <v>869</v>
      </c>
      <c r="Y1031" s="3">
        <v>45802</v>
      </c>
      <c r="Z1031" s="1">
        <v>2025</v>
      </c>
      <c r="AA1031" s="16">
        <v>129597.1</v>
      </c>
      <c r="AB1031" s="2"/>
      <c r="AC1031" s="16">
        <v>16199.64</v>
      </c>
      <c r="AD1031" s="1">
        <v>1</v>
      </c>
      <c r="AE1031" s="1">
        <v>0</v>
      </c>
      <c r="AG1031" s="1" t="s">
        <v>21</v>
      </c>
      <c r="AI1031" s="15">
        <v>16199.64</v>
      </c>
      <c r="AK1031" s="1"/>
    </row>
    <row r="1032" spans="1:38" ht="15" customHeight="1" x14ac:dyDescent="0.2">
      <c r="A1032" s="1" t="s">
        <v>19</v>
      </c>
      <c r="B1032" s="5" t="s">
        <v>109</v>
      </c>
      <c r="C1032" s="1" t="s">
        <v>37</v>
      </c>
      <c r="D1032" s="1" t="s">
        <v>211</v>
      </c>
      <c r="E1032" s="1" t="s">
        <v>35</v>
      </c>
      <c r="F1032" s="1" t="s">
        <v>260</v>
      </c>
      <c r="G1032" s="1" t="s">
        <v>259</v>
      </c>
      <c r="H1032" s="1" t="s">
        <v>258</v>
      </c>
      <c r="I1032" s="1" t="s">
        <v>868</v>
      </c>
      <c r="J1032" s="1">
        <v>2023</v>
      </c>
      <c r="K1032" s="1" t="s">
        <v>608</v>
      </c>
      <c r="L1032" s="1" t="s">
        <v>608</v>
      </c>
      <c r="M1032" s="1" t="s">
        <v>0</v>
      </c>
      <c r="P1032" s="1" t="s">
        <v>867</v>
      </c>
      <c r="Q1032" s="1" t="s">
        <v>27</v>
      </c>
      <c r="R1032" s="1" t="s">
        <v>26</v>
      </c>
      <c r="S1032" s="1" t="s">
        <v>810</v>
      </c>
      <c r="T1032" s="2" t="s">
        <v>809</v>
      </c>
      <c r="U1032" s="1">
        <v>1</v>
      </c>
      <c r="V1032" s="1" t="s">
        <v>767</v>
      </c>
      <c r="W1032" s="1" t="s">
        <v>605</v>
      </c>
      <c r="Y1032" s="3">
        <v>45802</v>
      </c>
      <c r="Z1032" s="1">
        <v>2025</v>
      </c>
      <c r="AA1032" s="16">
        <v>79245.2</v>
      </c>
      <c r="AB1032" s="2"/>
      <c r="AC1032" s="16">
        <v>27735.82</v>
      </c>
      <c r="AD1032" s="1">
        <v>1.5</v>
      </c>
      <c r="AE1032" s="1">
        <v>1</v>
      </c>
      <c r="AG1032" s="1" t="s">
        <v>21</v>
      </c>
      <c r="AI1032" s="15">
        <v>27735.82</v>
      </c>
      <c r="AK1032" s="1"/>
    </row>
    <row r="1033" spans="1:38" ht="15" customHeight="1" x14ac:dyDescent="0.2">
      <c r="A1033" s="1" t="s">
        <v>19</v>
      </c>
      <c r="B1033" s="5" t="s">
        <v>109</v>
      </c>
      <c r="C1033" s="1" t="s">
        <v>37</v>
      </c>
      <c r="D1033" s="1" t="s">
        <v>211</v>
      </c>
      <c r="E1033" s="1" t="s">
        <v>35</v>
      </c>
      <c r="F1033" s="1" t="s">
        <v>260</v>
      </c>
      <c r="G1033" s="1" t="s">
        <v>259</v>
      </c>
      <c r="H1033" s="1" t="s">
        <v>258</v>
      </c>
      <c r="I1033" s="1" t="s">
        <v>866</v>
      </c>
      <c r="J1033" s="1">
        <v>2023</v>
      </c>
      <c r="K1033" s="1" t="s">
        <v>865</v>
      </c>
      <c r="L1033" s="1" t="s">
        <v>865</v>
      </c>
      <c r="M1033" s="1" t="s">
        <v>864</v>
      </c>
      <c r="P1033" s="1" t="s">
        <v>863</v>
      </c>
      <c r="Q1033" s="1" t="s">
        <v>27</v>
      </c>
      <c r="R1033" s="1" t="s">
        <v>26</v>
      </c>
      <c r="S1033" s="1" t="s">
        <v>862</v>
      </c>
      <c r="T1033" s="2" t="s">
        <v>861</v>
      </c>
      <c r="U1033" s="1">
        <v>2</v>
      </c>
      <c r="V1033" s="1" t="s">
        <v>767</v>
      </c>
      <c r="W1033" s="1" t="s">
        <v>860</v>
      </c>
      <c r="Y1033" s="3">
        <v>45802</v>
      </c>
      <c r="Z1033" s="1">
        <v>2025</v>
      </c>
      <c r="AA1033" s="16">
        <v>442478</v>
      </c>
      <c r="AB1033" s="2"/>
      <c r="AC1033" s="16">
        <v>77433.649999999994</v>
      </c>
      <c r="AD1033" s="1">
        <v>1</v>
      </c>
      <c r="AE1033" s="1">
        <v>0</v>
      </c>
      <c r="AG1033" s="1" t="s">
        <v>21</v>
      </c>
      <c r="AI1033" s="15">
        <v>77433.649999999994</v>
      </c>
      <c r="AK1033" s="1"/>
    </row>
    <row r="1034" spans="1:38" ht="15" customHeight="1" x14ac:dyDescent="0.2">
      <c r="A1034" s="1" t="s">
        <v>19</v>
      </c>
      <c r="B1034" s="5" t="s">
        <v>109</v>
      </c>
      <c r="C1034" s="1" t="s">
        <v>37</v>
      </c>
      <c r="D1034" s="1" t="s">
        <v>211</v>
      </c>
      <c r="E1034" s="1" t="s">
        <v>35</v>
      </c>
      <c r="F1034" s="1" t="s">
        <v>260</v>
      </c>
      <c r="G1034" s="1" t="s">
        <v>259</v>
      </c>
      <c r="H1034" s="1" t="s">
        <v>258</v>
      </c>
      <c r="I1034" s="1" t="s">
        <v>859</v>
      </c>
      <c r="J1034" s="1">
        <v>2023</v>
      </c>
      <c r="K1034" s="1" t="s">
        <v>858</v>
      </c>
      <c r="L1034" s="1" t="s">
        <v>858</v>
      </c>
      <c r="M1034" s="1" t="s">
        <v>0</v>
      </c>
      <c r="P1034" s="1" t="s">
        <v>857</v>
      </c>
      <c r="Q1034" s="1" t="s">
        <v>27</v>
      </c>
      <c r="R1034" s="1" t="s">
        <v>26</v>
      </c>
      <c r="S1034" s="1" t="s">
        <v>856</v>
      </c>
      <c r="T1034" s="1" t="s">
        <v>855</v>
      </c>
      <c r="U1034" s="1">
        <v>2</v>
      </c>
      <c r="V1034" s="1" t="s">
        <v>767</v>
      </c>
      <c r="W1034" s="1" t="s">
        <v>854</v>
      </c>
      <c r="Y1034" s="3">
        <v>45802</v>
      </c>
      <c r="Z1034" s="1">
        <v>2025</v>
      </c>
      <c r="AA1034" s="16">
        <v>416400.4</v>
      </c>
      <c r="AB1034" s="2"/>
      <c r="AC1034" s="16">
        <v>52050.05</v>
      </c>
      <c r="AD1034" s="1">
        <v>3</v>
      </c>
      <c r="AE1034" s="1">
        <v>0</v>
      </c>
      <c r="AG1034" s="1" t="s">
        <v>21</v>
      </c>
      <c r="AI1034" s="15">
        <v>52050.05</v>
      </c>
      <c r="AK1034" s="1"/>
    </row>
    <row r="1035" spans="1:38" ht="15" customHeight="1" x14ac:dyDescent="0.2">
      <c r="A1035" s="1" t="s">
        <v>19</v>
      </c>
      <c r="B1035" s="5" t="s">
        <v>109</v>
      </c>
      <c r="C1035" s="1" t="s">
        <v>37</v>
      </c>
      <c r="D1035" s="1" t="s">
        <v>211</v>
      </c>
      <c r="E1035" s="1" t="s">
        <v>35</v>
      </c>
      <c r="F1035" s="1" t="s">
        <v>260</v>
      </c>
      <c r="G1035" s="1" t="s">
        <v>259</v>
      </c>
      <c r="H1035" s="1" t="s">
        <v>258</v>
      </c>
      <c r="I1035" s="1" t="s">
        <v>853</v>
      </c>
      <c r="J1035" s="1">
        <v>2023</v>
      </c>
      <c r="K1035" s="1" t="s">
        <v>852</v>
      </c>
      <c r="L1035" s="1" t="s">
        <v>851</v>
      </c>
      <c r="M1035" s="1" t="s">
        <v>850</v>
      </c>
      <c r="P1035" s="1" t="s">
        <v>849</v>
      </c>
      <c r="Q1035" s="1" t="s">
        <v>788</v>
      </c>
      <c r="R1035" s="1" t="s">
        <v>787</v>
      </c>
      <c r="S1035" s="1" t="s">
        <v>786</v>
      </c>
      <c r="T1035" s="2" t="s">
        <v>785</v>
      </c>
      <c r="U1035" s="1">
        <v>1</v>
      </c>
      <c r="V1035" s="1" t="s">
        <v>767</v>
      </c>
      <c r="W1035" s="1" t="s">
        <v>848</v>
      </c>
      <c r="Y1035" s="3">
        <v>45802</v>
      </c>
      <c r="Z1035" s="1">
        <v>2025</v>
      </c>
      <c r="AA1035" s="16">
        <v>201456.57</v>
      </c>
      <c r="AB1035" s="2"/>
      <c r="AC1035" s="16">
        <v>100728.29</v>
      </c>
      <c r="AD1035" s="1">
        <v>1</v>
      </c>
      <c r="AE1035" s="1">
        <v>1</v>
      </c>
      <c r="AG1035" s="1" t="s">
        <v>21</v>
      </c>
      <c r="AI1035" s="15">
        <v>100728.29</v>
      </c>
      <c r="AK1035" s="1"/>
    </row>
    <row r="1036" spans="1:38" ht="15" customHeight="1" x14ac:dyDescent="0.2">
      <c r="A1036" s="1" t="s">
        <v>19</v>
      </c>
      <c r="B1036" s="5" t="s">
        <v>109</v>
      </c>
      <c r="C1036" s="1" t="s">
        <v>37</v>
      </c>
      <c r="D1036" s="1" t="s">
        <v>211</v>
      </c>
      <c r="E1036" s="1" t="s">
        <v>35</v>
      </c>
      <c r="F1036" s="1" t="s">
        <v>260</v>
      </c>
      <c r="G1036" s="1" t="s">
        <v>259</v>
      </c>
      <c r="H1036" s="1" t="s">
        <v>258</v>
      </c>
      <c r="I1036" s="1" t="s">
        <v>847</v>
      </c>
      <c r="J1036" s="1">
        <v>2023</v>
      </c>
      <c r="K1036" s="1" t="s">
        <v>846</v>
      </c>
      <c r="L1036" s="1" t="s">
        <v>846</v>
      </c>
      <c r="M1036" s="1" t="s">
        <v>845</v>
      </c>
      <c r="P1036" s="1" t="s">
        <v>844</v>
      </c>
      <c r="Q1036" s="1" t="s">
        <v>27</v>
      </c>
      <c r="R1036" s="1" t="s">
        <v>26</v>
      </c>
      <c r="S1036" s="1" t="s">
        <v>805</v>
      </c>
      <c r="T1036" s="1" t="s">
        <v>804</v>
      </c>
      <c r="U1036" s="1">
        <v>2</v>
      </c>
      <c r="V1036" s="1" t="s">
        <v>767</v>
      </c>
      <c r="W1036" s="1" t="s">
        <v>843</v>
      </c>
      <c r="Y1036" s="3">
        <v>45802</v>
      </c>
      <c r="Z1036" s="1">
        <v>2025</v>
      </c>
      <c r="AA1036" s="16">
        <v>498796</v>
      </c>
      <c r="AB1036" s="2"/>
      <c r="AC1036" s="16">
        <v>37409.699999999997</v>
      </c>
      <c r="AD1036" s="1">
        <v>0</v>
      </c>
      <c r="AE1036" s="1">
        <v>0</v>
      </c>
      <c r="AG1036" s="1" t="s">
        <v>21</v>
      </c>
      <c r="AI1036" s="15">
        <v>37409.699999999997</v>
      </c>
      <c r="AK1036" s="1"/>
    </row>
    <row r="1037" spans="1:38" ht="15" customHeight="1" x14ac:dyDescent="0.2">
      <c r="A1037" s="1" t="s">
        <v>19</v>
      </c>
      <c r="B1037" s="5" t="s">
        <v>109</v>
      </c>
      <c r="C1037" s="1" t="s">
        <v>37</v>
      </c>
      <c r="D1037" s="1" t="s">
        <v>211</v>
      </c>
      <c r="E1037" s="1" t="s">
        <v>35</v>
      </c>
      <c r="F1037" s="1" t="s">
        <v>260</v>
      </c>
      <c r="G1037" s="1" t="s">
        <v>259</v>
      </c>
      <c r="H1037" s="1" t="s">
        <v>258</v>
      </c>
      <c r="I1037" s="1" t="s">
        <v>842</v>
      </c>
      <c r="J1037" s="1">
        <v>2023</v>
      </c>
      <c r="K1037" s="1" t="s">
        <v>841</v>
      </c>
      <c r="L1037" s="1" t="s">
        <v>841</v>
      </c>
      <c r="M1037" s="1" t="s">
        <v>0</v>
      </c>
      <c r="P1037" s="1" t="s">
        <v>840</v>
      </c>
      <c r="Q1037" s="1" t="s">
        <v>27</v>
      </c>
      <c r="R1037" s="1" t="s">
        <v>26</v>
      </c>
      <c r="S1037" s="1" t="s">
        <v>839</v>
      </c>
      <c r="T1037" s="2" t="s">
        <v>838</v>
      </c>
      <c r="U1037" s="1">
        <v>2</v>
      </c>
      <c r="V1037" s="1" t="s">
        <v>767</v>
      </c>
      <c r="W1037" s="1" t="s">
        <v>837</v>
      </c>
      <c r="Y1037" s="3">
        <v>45802</v>
      </c>
      <c r="Z1037" s="1">
        <v>2025</v>
      </c>
      <c r="AA1037" s="16">
        <v>260194.32</v>
      </c>
      <c r="AB1037" s="2"/>
      <c r="AC1037" s="16">
        <v>45534.01</v>
      </c>
      <c r="AD1037" s="1">
        <v>2</v>
      </c>
      <c r="AE1037" s="1">
        <v>1</v>
      </c>
      <c r="AG1037" s="1" t="s">
        <v>21</v>
      </c>
      <c r="AI1037" s="15">
        <v>45534.01</v>
      </c>
      <c r="AK1037" s="1"/>
    </row>
    <row r="1038" spans="1:38" ht="15" customHeight="1" x14ac:dyDescent="0.2">
      <c r="A1038" s="1" t="s">
        <v>19</v>
      </c>
      <c r="B1038" s="5" t="s">
        <v>109</v>
      </c>
      <c r="C1038" s="1" t="s">
        <v>37</v>
      </c>
      <c r="D1038" s="1" t="s">
        <v>211</v>
      </c>
      <c r="E1038" s="1" t="s">
        <v>35</v>
      </c>
      <c r="F1038" s="1" t="s">
        <v>260</v>
      </c>
      <c r="G1038" s="1" t="s">
        <v>259</v>
      </c>
      <c r="H1038" s="1" t="s">
        <v>258</v>
      </c>
      <c r="I1038" s="1" t="s">
        <v>836</v>
      </c>
      <c r="J1038" s="1">
        <v>2023</v>
      </c>
      <c r="K1038" s="1" t="s">
        <v>835</v>
      </c>
      <c r="L1038" s="1" t="s">
        <v>835</v>
      </c>
      <c r="M1038" s="1" t="s">
        <v>0</v>
      </c>
      <c r="P1038" s="1" t="s">
        <v>834</v>
      </c>
      <c r="Q1038" s="1" t="s">
        <v>27</v>
      </c>
      <c r="R1038" s="1" t="s">
        <v>26</v>
      </c>
      <c r="S1038" s="1" t="s">
        <v>805</v>
      </c>
      <c r="T1038" s="2" t="s">
        <v>804</v>
      </c>
      <c r="U1038" s="1">
        <v>2</v>
      </c>
      <c r="V1038" s="1" t="s">
        <v>767</v>
      </c>
      <c r="W1038" s="1" t="s">
        <v>833</v>
      </c>
      <c r="Y1038" s="3">
        <v>45802</v>
      </c>
      <c r="Z1038" s="1">
        <v>2025</v>
      </c>
      <c r="AA1038" s="16">
        <v>297283.94</v>
      </c>
      <c r="AB1038" s="2"/>
      <c r="AC1038" s="16">
        <v>52024.69</v>
      </c>
      <c r="AD1038" s="1">
        <v>8.5</v>
      </c>
      <c r="AE1038" s="1">
        <v>7</v>
      </c>
      <c r="AG1038" s="1" t="s">
        <v>21</v>
      </c>
      <c r="AI1038" s="15">
        <v>52024.69</v>
      </c>
      <c r="AK1038" s="1"/>
    </row>
    <row r="1039" spans="1:38" ht="15" customHeight="1" x14ac:dyDescent="0.2">
      <c r="A1039" s="1" t="s">
        <v>19</v>
      </c>
      <c r="B1039" s="5" t="s">
        <v>109</v>
      </c>
      <c r="C1039" s="1" t="s">
        <v>37</v>
      </c>
      <c r="D1039" s="1" t="s">
        <v>211</v>
      </c>
      <c r="E1039" s="1" t="s">
        <v>35</v>
      </c>
      <c r="F1039" s="1" t="s">
        <v>260</v>
      </c>
      <c r="G1039" s="1" t="s">
        <v>259</v>
      </c>
      <c r="H1039" s="1" t="s">
        <v>258</v>
      </c>
      <c r="I1039" s="1" t="s">
        <v>832</v>
      </c>
      <c r="J1039" s="1">
        <v>2023</v>
      </c>
      <c r="K1039" s="1" t="s">
        <v>831</v>
      </c>
      <c r="L1039" s="1" t="s">
        <v>831</v>
      </c>
      <c r="M1039" s="1" t="s">
        <v>830</v>
      </c>
      <c r="P1039" s="1" t="s">
        <v>829</v>
      </c>
      <c r="Q1039" s="1" t="s">
        <v>27</v>
      </c>
      <c r="R1039" s="1" t="s">
        <v>26</v>
      </c>
      <c r="S1039" s="1" t="s">
        <v>805</v>
      </c>
      <c r="T1039" s="2" t="s">
        <v>804</v>
      </c>
      <c r="U1039" s="1">
        <v>2</v>
      </c>
      <c r="V1039" s="1" t="s">
        <v>767</v>
      </c>
      <c r="W1039" s="1" t="s">
        <v>828</v>
      </c>
      <c r="Y1039" s="3">
        <v>45802</v>
      </c>
      <c r="Z1039" s="1">
        <v>2025</v>
      </c>
      <c r="AA1039" s="16">
        <v>148152.79999999999</v>
      </c>
      <c r="AB1039" s="2"/>
      <c r="AC1039" s="16">
        <v>25926.74</v>
      </c>
      <c r="AD1039" s="1">
        <v>1</v>
      </c>
      <c r="AE1039" s="1">
        <v>1</v>
      </c>
      <c r="AG1039" s="1" t="s">
        <v>21</v>
      </c>
      <c r="AI1039" s="15">
        <v>25926.74</v>
      </c>
      <c r="AK1039" s="1"/>
    </row>
    <row r="1040" spans="1:38" ht="15" customHeight="1" x14ac:dyDescent="0.2">
      <c r="A1040" s="1" t="s">
        <v>19</v>
      </c>
      <c r="B1040" s="5" t="s">
        <v>109</v>
      </c>
      <c r="C1040" s="1" t="s">
        <v>37</v>
      </c>
      <c r="D1040" s="1" t="s">
        <v>132</v>
      </c>
      <c r="E1040" s="1" t="s">
        <v>35</v>
      </c>
      <c r="G1040" s="1" t="s">
        <v>131</v>
      </c>
      <c r="H1040" s="1" t="s">
        <v>130</v>
      </c>
      <c r="I1040" s="1" t="s">
        <v>827</v>
      </c>
      <c r="J1040" s="1">
        <v>2020</v>
      </c>
      <c r="P1040" s="1" t="s">
        <v>825</v>
      </c>
      <c r="Q1040" s="1" t="s">
        <v>788</v>
      </c>
      <c r="R1040" s="1" t="s">
        <v>787</v>
      </c>
      <c r="S1040" s="1" t="s">
        <v>786</v>
      </c>
      <c r="T1040" s="1" t="s">
        <v>785</v>
      </c>
      <c r="U1040" s="1">
        <v>1</v>
      </c>
      <c r="V1040" s="1" t="s">
        <v>767</v>
      </c>
      <c r="Y1040" s="3">
        <v>44136</v>
      </c>
      <c r="Z1040" s="1">
        <v>2020</v>
      </c>
      <c r="AA1040" s="2"/>
      <c r="AB1040" s="2"/>
      <c r="AC1040" s="2">
        <v>561661.63</v>
      </c>
      <c r="AG1040" s="1" t="s">
        <v>21</v>
      </c>
      <c r="AI1040" s="2">
        <v>561661.63</v>
      </c>
      <c r="AK1040" s="1"/>
      <c r="AL1040" s="1" t="s">
        <v>127</v>
      </c>
    </row>
    <row r="1041" spans="1:38" ht="15" customHeight="1" x14ac:dyDescent="0.2">
      <c r="A1041" s="1" t="s">
        <v>19</v>
      </c>
      <c r="B1041" s="5" t="s">
        <v>109</v>
      </c>
      <c r="C1041" s="1" t="s">
        <v>37</v>
      </c>
      <c r="D1041" s="1" t="s">
        <v>132</v>
      </c>
      <c r="E1041" s="1" t="s">
        <v>35</v>
      </c>
      <c r="G1041" s="1" t="s">
        <v>131</v>
      </c>
      <c r="H1041" s="1" t="s">
        <v>130</v>
      </c>
      <c r="I1041" s="1" t="s">
        <v>826</v>
      </c>
      <c r="J1041" s="1">
        <v>2019</v>
      </c>
      <c r="P1041" s="1" t="s">
        <v>825</v>
      </c>
      <c r="Q1041" s="1" t="s">
        <v>788</v>
      </c>
      <c r="R1041" s="1" t="s">
        <v>787</v>
      </c>
      <c r="S1041" s="1" t="s">
        <v>786</v>
      </c>
      <c r="T1041" s="1" t="s">
        <v>785</v>
      </c>
      <c r="U1041" s="1">
        <v>1</v>
      </c>
      <c r="V1041" s="1" t="s">
        <v>767</v>
      </c>
      <c r="Y1041" s="3">
        <v>43678</v>
      </c>
      <c r="Z1041" s="1">
        <v>2019</v>
      </c>
      <c r="AA1041" s="2"/>
      <c r="AB1041" s="2"/>
      <c r="AC1041" s="2">
        <v>619368.72999999986</v>
      </c>
      <c r="AG1041" s="1" t="s">
        <v>21</v>
      </c>
      <c r="AI1041" s="2">
        <v>619368.72999999986</v>
      </c>
      <c r="AK1041" s="1"/>
      <c r="AL1041" s="1" t="s">
        <v>127</v>
      </c>
    </row>
    <row r="1042" spans="1:38" ht="15" customHeight="1" x14ac:dyDescent="0.2">
      <c r="A1042" s="1" t="s">
        <v>19</v>
      </c>
      <c r="B1042" s="5" t="s">
        <v>109</v>
      </c>
      <c r="C1042" s="1" t="s">
        <v>37</v>
      </c>
      <c r="D1042" s="1" t="s">
        <v>63</v>
      </c>
      <c r="E1042" s="1" t="s">
        <v>35</v>
      </c>
      <c r="F1042" s="1" t="s">
        <v>62</v>
      </c>
      <c r="G1042" s="1" t="s">
        <v>61</v>
      </c>
      <c r="H1042" s="1" t="s">
        <v>60</v>
      </c>
      <c r="I1042" s="1" t="s">
        <v>824</v>
      </c>
      <c r="J1042" s="1">
        <v>2020</v>
      </c>
      <c r="K1042" s="1" t="s">
        <v>823</v>
      </c>
      <c r="L1042" s="1" t="s">
        <v>821</v>
      </c>
      <c r="P1042" s="1" t="s">
        <v>822</v>
      </c>
      <c r="Q1042" s="1" t="s">
        <v>771</v>
      </c>
      <c r="R1042" s="1" t="s">
        <v>770</v>
      </c>
      <c r="S1042" s="1" t="s">
        <v>769</v>
      </c>
      <c r="T1042" s="1" t="s">
        <v>768</v>
      </c>
      <c r="U1042" s="1">
        <v>1</v>
      </c>
      <c r="V1042" s="1" t="s">
        <v>767</v>
      </c>
      <c r="W1042" s="1" t="s">
        <v>821</v>
      </c>
      <c r="X1042" s="1" t="s">
        <v>667</v>
      </c>
      <c r="Y1042" s="3">
        <v>44127</v>
      </c>
      <c r="Z1042" s="1">
        <v>2020</v>
      </c>
      <c r="AA1042" s="2">
        <v>5317116</v>
      </c>
      <c r="AB1042" s="2"/>
      <c r="AC1042" s="2">
        <v>3987837</v>
      </c>
      <c r="AD1042" s="1">
        <v>0</v>
      </c>
      <c r="AF1042" s="1">
        <v>30</v>
      </c>
      <c r="AG1042" s="1" t="s">
        <v>21</v>
      </c>
      <c r="AH1042" s="1" t="s">
        <v>65</v>
      </c>
      <c r="AI1042" s="2">
        <v>3987837</v>
      </c>
      <c r="AK1042" s="1" t="s">
        <v>318</v>
      </c>
      <c r="AL1042" s="1" t="s">
        <v>820</v>
      </c>
    </row>
    <row r="1043" spans="1:38" ht="15" customHeight="1" x14ac:dyDescent="0.2">
      <c r="A1043" s="1" t="s">
        <v>19</v>
      </c>
      <c r="B1043" s="5" t="s">
        <v>109</v>
      </c>
      <c r="C1043" s="1" t="s">
        <v>37</v>
      </c>
      <c r="D1043" s="1" t="s">
        <v>63</v>
      </c>
      <c r="E1043" s="1" t="s">
        <v>35</v>
      </c>
      <c r="F1043" s="1" t="s">
        <v>62</v>
      </c>
      <c r="G1043" s="1" t="s">
        <v>61</v>
      </c>
      <c r="H1043" s="1" t="s">
        <v>60</v>
      </c>
      <c r="I1043" s="1" t="s">
        <v>819</v>
      </c>
      <c r="J1043" s="1">
        <v>2020</v>
      </c>
      <c r="K1043" s="1" t="s">
        <v>818</v>
      </c>
      <c r="L1043" s="1" t="s">
        <v>817</v>
      </c>
      <c r="P1043" s="1" t="s">
        <v>811</v>
      </c>
      <c r="Q1043" s="1" t="s">
        <v>27</v>
      </c>
      <c r="R1043" s="1" t="s">
        <v>26</v>
      </c>
      <c r="S1043" s="1" t="s">
        <v>810</v>
      </c>
      <c r="T1043" s="1" t="s">
        <v>809</v>
      </c>
      <c r="U1043" s="1">
        <v>1</v>
      </c>
      <c r="V1043" s="1" t="s">
        <v>767</v>
      </c>
      <c r="W1043" s="1" t="s">
        <v>817</v>
      </c>
      <c r="X1043" s="1" t="s">
        <v>430</v>
      </c>
      <c r="Y1043" s="3">
        <v>44127</v>
      </c>
      <c r="Z1043" s="1">
        <v>2020</v>
      </c>
      <c r="AA1043" s="2">
        <v>2800000</v>
      </c>
      <c r="AB1043" s="2"/>
      <c r="AC1043" s="2">
        <v>2100000</v>
      </c>
      <c r="AD1043" s="1">
        <v>0</v>
      </c>
      <c r="AF1043" s="1">
        <v>0</v>
      </c>
      <c r="AG1043" s="1" t="s">
        <v>21</v>
      </c>
      <c r="AH1043" s="1" t="s">
        <v>65</v>
      </c>
      <c r="AI1043" s="2">
        <v>1581064.11</v>
      </c>
      <c r="AK1043" s="1"/>
      <c r="AL1043" s="1" t="s">
        <v>791</v>
      </c>
    </row>
    <row r="1044" spans="1:38" ht="15" customHeight="1" x14ac:dyDescent="0.2">
      <c r="A1044" s="1" t="s">
        <v>19</v>
      </c>
      <c r="B1044" s="5" t="s">
        <v>109</v>
      </c>
      <c r="C1044" s="1" t="s">
        <v>37</v>
      </c>
      <c r="D1044" s="1" t="s">
        <v>63</v>
      </c>
      <c r="E1044" s="1" t="s">
        <v>35</v>
      </c>
      <c r="F1044" s="1" t="s">
        <v>62</v>
      </c>
      <c r="G1044" s="1" t="s">
        <v>61</v>
      </c>
      <c r="H1044" s="1" t="s">
        <v>60</v>
      </c>
      <c r="I1044" s="1" t="s">
        <v>816</v>
      </c>
      <c r="J1044" s="1">
        <v>2020</v>
      </c>
      <c r="K1044" s="1" t="s">
        <v>815</v>
      </c>
      <c r="L1044" s="1" t="s">
        <v>814</v>
      </c>
      <c r="P1044" s="1" t="s">
        <v>811</v>
      </c>
      <c r="Q1044" s="1" t="s">
        <v>27</v>
      </c>
      <c r="R1044" s="1" t="s">
        <v>26</v>
      </c>
      <c r="S1044" s="1" t="s">
        <v>810</v>
      </c>
      <c r="T1044" s="1" t="s">
        <v>809</v>
      </c>
      <c r="U1044" s="1">
        <v>1</v>
      </c>
      <c r="V1044" s="1" t="s">
        <v>767</v>
      </c>
      <c r="W1044" s="1" t="s">
        <v>814</v>
      </c>
      <c r="X1044" s="1" t="s">
        <v>430</v>
      </c>
      <c r="Y1044" s="3">
        <v>44127</v>
      </c>
      <c r="Z1044" s="1">
        <v>2020</v>
      </c>
      <c r="AA1044" s="2">
        <v>2500000</v>
      </c>
      <c r="AB1044" s="2"/>
      <c r="AC1044" s="2">
        <v>1875000</v>
      </c>
      <c r="AD1044" s="1">
        <v>0</v>
      </c>
      <c r="AF1044" s="1">
        <v>0</v>
      </c>
      <c r="AG1044" s="1" t="s">
        <v>21</v>
      </c>
      <c r="AH1044" s="1" t="s">
        <v>65</v>
      </c>
      <c r="AI1044" s="2">
        <v>1561060.5699999998</v>
      </c>
      <c r="AK1044" s="1"/>
      <c r="AL1044" s="1" t="s">
        <v>88</v>
      </c>
    </row>
    <row r="1045" spans="1:38" ht="15" customHeight="1" x14ac:dyDescent="0.2">
      <c r="A1045" s="1" t="s">
        <v>19</v>
      </c>
      <c r="B1045" s="5" t="s">
        <v>109</v>
      </c>
      <c r="C1045" s="1" t="s">
        <v>37</v>
      </c>
      <c r="D1045" s="1" t="s">
        <v>63</v>
      </c>
      <c r="E1045" s="1" t="s">
        <v>35</v>
      </c>
      <c r="F1045" s="1" t="s">
        <v>62</v>
      </c>
      <c r="G1045" s="1" t="s">
        <v>61</v>
      </c>
      <c r="H1045" s="1" t="s">
        <v>60</v>
      </c>
      <c r="I1045" s="1" t="s">
        <v>813</v>
      </c>
      <c r="J1045" s="1">
        <v>2020</v>
      </c>
      <c r="K1045" s="1" t="s">
        <v>812</v>
      </c>
      <c r="L1045" s="1" t="s">
        <v>808</v>
      </c>
      <c r="P1045" s="1" t="s">
        <v>811</v>
      </c>
      <c r="Q1045" s="1" t="s">
        <v>27</v>
      </c>
      <c r="R1045" s="1" t="s">
        <v>26</v>
      </c>
      <c r="S1045" s="1" t="s">
        <v>810</v>
      </c>
      <c r="T1045" s="1" t="s">
        <v>809</v>
      </c>
      <c r="U1045" s="1">
        <v>1</v>
      </c>
      <c r="V1045" s="1" t="s">
        <v>767</v>
      </c>
      <c r="W1045" s="1" t="s">
        <v>808</v>
      </c>
      <c r="X1045" s="1" t="s">
        <v>52</v>
      </c>
      <c r="Y1045" s="3">
        <v>44127</v>
      </c>
      <c r="Z1045" s="1">
        <v>2020</v>
      </c>
      <c r="AA1045" s="2">
        <v>750000</v>
      </c>
      <c r="AB1045" s="2"/>
      <c r="AC1045" s="2">
        <v>562500</v>
      </c>
      <c r="AD1045" s="1">
        <v>0</v>
      </c>
      <c r="AF1045" s="1">
        <v>0</v>
      </c>
      <c r="AG1045" s="1" t="s">
        <v>21</v>
      </c>
      <c r="AH1045" s="1" t="s">
        <v>65</v>
      </c>
      <c r="AI1045" s="2">
        <v>562500</v>
      </c>
      <c r="AK1045" s="1"/>
      <c r="AL1045" s="1" t="s">
        <v>110</v>
      </c>
    </row>
    <row r="1046" spans="1:38" ht="15" customHeight="1" x14ac:dyDescent="0.2">
      <c r="A1046" s="1" t="s">
        <v>19</v>
      </c>
      <c r="B1046" s="5" t="s">
        <v>109</v>
      </c>
      <c r="C1046" s="1" t="s">
        <v>37</v>
      </c>
      <c r="D1046" s="1" t="s">
        <v>63</v>
      </c>
      <c r="E1046" s="1" t="s">
        <v>35</v>
      </c>
      <c r="F1046" s="1" t="s">
        <v>62</v>
      </c>
      <c r="G1046" s="1" t="s">
        <v>61</v>
      </c>
      <c r="H1046" s="1" t="s">
        <v>60</v>
      </c>
      <c r="I1046" s="1" t="s">
        <v>807</v>
      </c>
      <c r="J1046" s="1">
        <v>2020</v>
      </c>
      <c r="K1046" s="1" t="s">
        <v>803</v>
      </c>
      <c r="L1046" s="1" t="s">
        <v>803</v>
      </c>
      <c r="P1046" s="1" t="s">
        <v>806</v>
      </c>
      <c r="Q1046" s="1" t="s">
        <v>27</v>
      </c>
      <c r="R1046" s="1" t="s">
        <v>26</v>
      </c>
      <c r="S1046" s="1" t="s">
        <v>805</v>
      </c>
      <c r="T1046" s="1" t="s">
        <v>804</v>
      </c>
      <c r="U1046" s="1">
        <v>2</v>
      </c>
      <c r="V1046" s="1" t="s">
        <v>767</v>
      </c>
      <c r="W1046" s="1" t="s">
        <v>803</v>
      </c>
      <c r="X1046" s="1" t="s">
        <v>52</v>
      </c>
      <c r="Y1046" s="3">
        <v>44127</v>
      </c>
      <c r="Z1046" s="1">
        <v>2020</v>
      </c>
      <c r="AA1046" s="2">
        <v>1500000</v>
      </c>
      <c r="AB1046" s="2"/>
      <c r="AC1046" s="2">
        <v>1125000</v>
      </c>
      <c r="AD1046" s="1">
        <v>0</v>
      </c>
      <c r="AF1046" s="1">
        <v>0</v>
      </c>
      <c r="AG1046" s="1" t="s">
        <v>21</v>
      </c>
      <c r="AH1046" s="1" t="s">
        <v>51</v>
      </c>
      <c r="AI1046" s="2">
        <v>1125000</v>
      </c>
      <c r="AK1046" s="1"/>
      <c r="AL1046" s="1" t="s">
        <v>88</v>
      </c>
    </row>
    <row r="1047" spans="1:38" ht="15" customHeight="1" x14ac:dyDescent="0.2">
      <c r="A1047" s="1" t="s">
        <v>19</v>
      </c>
      <c r="B1047" s="5" t="s">
        <v>109</v>
      </c>
      <c r="C1047" s="1" t="s">
        <v>37</v>
      </c>
      <c r="D1047" s="1" t="s">
        <v>63</v>
      </c>
      <c r="E1047" s="1" t="s">
        <v>35</v>
      </c>
      <c r="F1047" s="1" t="s">
        <v>62</v>
      </c>
      <c r="G1047" s="1" t="s">
        <v>61</v>
      </c>
      <c r="H1047" s="1" t="s">
        <v>60</v>
      </c>
      <c r="I1047" s="1" t="s">
        <v>802</v>
      </c>
      <c r="J1047" s="1">
        <v>2020</v>
      </c>
      <c r="K1047" s="1" t="s">
        <v>801</v>
      </c>
      <c r="L1047" s="1" t="s">
        <v>800</v>
      </c>
      <c r="P1047" s="1" t="s">
        <v>789</v>
      </c>
      <c r="Q1047" s="1" t="s">
        <v>788</v>
      </c>
      <c r="R1047" s="1" t="s">
        <v>787</v>
      </c>
      <c r="S1047" s="1" t="s">
        <v>786</v>
      </c>
      <c r="T1047" s="1" t="s">
        <v>785</v>
      </c>
      <c r="U1047" s="1">
        <v>1</v>
      </c>
      <c r="V1047" s="1" t="s">
        <v>767</v>
      </c>
      <c r="W1047" s="1" t="s">
        <v>799</v>
      </c>
      <c r="X1047" s="1" t="s">
        <v>52</v>
      </c>
      <c r="Y1047" s="3">
        <v>44127</v>
      </c>
      <c r="Z1047" s="1">
        <v>2020</v>
      </c>
      <c r="AA1047" s="2">
        <v>2734477.11</v>
      </c>
      <c r="AB1047" s="2"/>
      <c r="AC1047" s="2">
        <v>2050857.82</v>
      </c>
      <c r="AD1047" s="1">
        <v>0</v>
      </c>
      <c r="AG1047" s="1" t="s">
        <v>21</v>
      </c>
      <c r="AH1047" s="1" t="s">
        <v>51</v>
      </c>
      <c r="AI1047" s="2">
        <v>2050857.8325</v>
      </c>
      <c r="AK1047" s="1"/>
      <c r="AL1047" s="1" t="s">
        <v>798</v>
      </c>
    </row>
    <row r="1048" spans="1:38" ht="15" customHeight="1" x14ac:dyDescent="0.2">
      <c r="A1048" s="1" t="s">
        <v>19</v>
      </c>
      <c r="B1048" s="5" t="s">
        <v>109</v>
      </c>
      <c r="C1048" s="1" t="s">
        <v>37</v>
      </c>
      <c r="D1048" s="1" t="s">
        <v>63</v>
      </c>
      <c r="E1048" s="1" t="s">
        <v>35</v>
      </c>
      <c r="F1048" s="1" t="s">
        <v>62</v>
      </c>
      <c r="G1048" s="1" t="s">
        <v>61</v>
      </c>
      <c r="H1048" s="1" t="s">
        <v>60</v>
      </c>
      <c r="I1048" s="1" t="s">
        <v>797</v>
      </c>
      <c r="J1048" s="1">
        <v>2020</v>
      </c>
      <c r="K1048" s="1" t="s">
        <v>796</v>
      </c>
      <c r="L1048" s="1" t="s">
        <v>795</v>
      </c>
      <c r="P1048" s="1" t="s">
        <v>789</v>
      </c>
      <c r="Q1048" s="1" t="s">
        <v>788</v>
      </c>
      <c r="R1048" s="1" t="s">
        <v>787</v>
      </c>
      <c r="S1048" s="1" t="s">
        <v>786</v>
      </c>
      <c r="T1048" s="1" t="s">
        <v>785</v>
      </c>
      <c r="U1048" s="1">
        <v>1</v>
      </c>
      <c r="V1048" s="1" t="s">
        <v>767</v>
      </c>
      <c r="W1048" s="1" t="s">
        <v>795</v>
      </c>
      <c r="X1048" s="1" t="s">
        <v>52</v>
      </c>
      <c r="Y1048" s="3">
        <v>44127</v>
      </c>
      <c r="Z1048" s="1">
        <v>2020</v>
      </c>
      <c r="AA1048" s="2">
        <v>3825000</v>
      </c>
      <c r="AB1048" s="2"/>
      <c r="AC1048" s="2">
        <v>2868750</v>
      </c>
      <c r="AD1048" s="1">
        <v>0</v>
      </c>
      <c r="AG1048" s="1" t="s">
        <v>106</v>
      </c>
      <c r="AH1048" s="1" t="s">
        <v>794</v>
      </c>
      <c r="AI1048" s="2">
        <v>0</v>
      </c>
      <c r="AK1048" s="1"/>
      <c r="AL1048" s="1" t="s">
        <v>88</v>
      </c>
    </row>
    <row r="1049" spans="1:38" ht="15" customHeight="1" x14ac:dyDescent="0.2">
      <c r="A1049" s="1" t="s">
        <v>19</v>
      </c>
      <c r="B1049" s="5" t="s">
        <v>109</v>
      </c>
      <c r="C1049" s="1" t="s">
        <v>37</v>
      </c>
      <c r="D1049" s="1" t="s">
        <v>63</v>
      </c>
      <c r="E1049" s="1" t="s">
        <v>35</v>
      </c>
      <c r="F1049" s="1" t="s">
        <v>62</v>
      </c>
      <c r="G1049" s="1" t="s">
        <v>61</v>
      </c>
      <c r="H1049" s="1" t="s">
        <v>60</v>
      </c>
      <c r="I1049" s="1" t="s">
        <v>793</v>
      </c>
      <c r="J1049" s="1">
        <v>2020</v>
      </c>
      <c r="K1049" s="1" t="s">
        <v>792</v>
      </c>
      <c r="L1049" s="1" t="s">
        <v>792</v>
      </c>
      <c r="P1049" s="1" t="s">
        <v>789</v>
      </c>
      <c r="Q1049" s="1" t="s">
        <v>788</v>
      </c>
      <c r="R1049" s="1" t="s">
        <v>787</v>
      </c>
      <c r="S1049" s="1" t="s">
        <v>786</v>
      </c>
      <c r="T1049" s="1" t="s">
        <v>785</v>
      </c>
      <c r="U1049" s="1">
        <v>1</v>
      </c>
      <c r="V1049" s="1" t="s">
        <v>767</v>
      </c>
      <c r="W1049" s="1" t="s">
        <v>792</v>
      </c>
      <c r="X1049" s="1" t="s">
        <v>52</v>
      </c>
      <c r="Y1049" s="3">
        <v>44127</v>
      </c>
      <c r="Z1049" s="1">
        <v>2020</v>
      </c>
      <c r="AA1049" s="2">
        <v>1250000</v>
      </c>
      <c r="AB1049" s="2"/>
      <c r="AC1049" s="2">
        <v>937500</v>
      </c>
      <c r="AD1049" s="1">
        <v>0</v>
      </c>
      <c r="AG1049" s="1" t="s">
        <v>21</v>
      </c>
      <c r="AH1049" s="1" t="s">
        <v>65</v>
      </c>
      <c r="AI1049" s="2">
        <v>633385.51</v>
      </c>
      <c r="AK1049" s="1"/>
      <c r="AL1049" s="1" t="s">
        <v>791</v>
      </c>
    </row>
    <row r="1050" spans="1:38" ht="15" customHeight="1" x14ac:dyDescent="0.2">
      <c r="A1050" s="1" t="s">
        <v>19</v>
      </c>
      <c r="B1050" s="5" t="s">
        <v>109</v>
      </c>
      <c r="C1050" s="1" t="s">
        <v>37</v>
      </c>
      <c r="D1050" s="1" t="s">
        <v>63</v>
      </c>
      <c r="E1050" s="1" t="s">
        <v>35</v>
      </c>
      <c r="F1050" s="1" t="s">
        <v>62</v>
      </c>
      <c r="G1050" s="1" t="s">
        <v>61</v>
      </c>
      <c r="H1050" s="1" t="s">
        <v>60</v>
      </c>
      <c r="I1050" s="1" t="s">
        <v>790</v>
      </c>
      <c r="J1050" s="1">
        <v>2020</v>
      </c>
      <c r="K1050" s="1" t="s">
        <v>784</v>
      </c>
      <c r="L1050" s="1" t="s">
        <v>784</v>
      </c>
      <c r="P1050" s="1" t="s">
        <v>789</v>
      </c>
      <c r="Q1050" s="1" t="s">
        <v>788</v>
      </c>
      <c r="R1050" s="1" t="s">
        <v>787</v>
      </c>
      <c r="S1050" s="1" t="s">
        <v>786</v>
      </c>
      <c r="T1050" s="1" t="s">
        <v>785</v>
      </c>
      <c r="U1050" s="1">
        <v>1</v>
      </c>
      <c r="V1050" s="1" t="s">
        <v>767</v>
      </c>
      <c r="W1050" s="1" t="s">
        <v>784</v>
      </c>
      <c r="X1050" s="1" t="s">
        <v>52</v>
      </c>
      <c r="Y1050" s="3">
        <v>44127</v>
      </c>
      <c r="Z1050" s="1">
        <v>2020</v>
      </c>
      <c r="AA1050" s="2">
        <v>340000</v>
      </c>
      <c r="AB1050" s="2"/>
      <c r="AC1050" s="2">
        <v>255000</v>
      </c>
      <c r="AD1050" s="1">
        <v>0</v>
      </c>
      <c r="AG1050" s="1" t="s">
        <v>21</v>
      </c>
      <c r="AH1050" s="1" t="s">
        <v>65</v>
      </c>
      <c r="AI1050" s="2">
        <v>229045.76000000001</v>
      </c>
      <c r="AK1050" s="1"/>
    </row>
    <row r="1051" spans="1:38" ht="15" customHeight="1" x14ac:dyDescent="0.2">
      <c r="A1051" s="1" t="s">
        <v>19</v>
      </c>
      <c r="B1051" s="5" t="s">
        <v>109</v>
      </c>
      <c r="C1051" s="1" t="s">
        <v>37</v>
      </c>
      <c r="D1051" s="1" t="s">
        <v>63</v>
      </c>
      <c r="E1051" s="1" t="s">
        <v>35</v>
      </c>
      <c r="F1051" s="1" t="s">
        <v>62</v>
      </c>
      <c r="G1051" s="1" t="s">
        <v>61</v>
      </c>
      <c r="H1051" s="1" t="s">
        <v>60</v>
      </c>
      <c r="I1051" s="1" t="s">
        <v>783</v>
      </c>
      <c r="J1051" s="1">
        <v>2020</v>
      </c>
      <c r="K1051" s="1" t="s">
        <v>782</v>
      </c>
      <c r="L1051" s="1" t="s">
        <v>776</v>
      </c>
      <c r="P1051" s="1" t="s">
        <v>781</v>
      </c>
      <c r="Q1051" s="1" t="s">
        <v>780</v>
      </c>
      <c r="R1051" s="1" t="s">
        <v>779</v>
      </c>
      <c r="S1051" s="20" t="s">
        <v>778</v>
      </c>
      <c r="T1051" s="1" t="s">
        <v>777</v>
      </c>
      <c r="U1051" s="1">
        <v>2</v>
      </c>
      <c r="V1051" s="1" t="s">
        <v>767</v>
      </c>
      <c r="W1051" s="1" t="s">
        <v>776</v>
      </c>
      <c r="X1051" s="1" t="s">
        <v>52</v>
      </c>
      <c r="Y1051" s="3">
        <v>44127</v>
      </c>
      <c r="Z1051" s="1">
        <v>2020</v>
      </c>
      <c r="AA1051" s="2"/>
      <c r="AB1051" s="2"/>
      <c r="AD1051" s="1">
        <v>0</v>
      </c>
      <c r="AG1051" s="1" t="s">
        <v>21</v>
      </c>
      <c r="AH1051" s="1" t="s">
        <v>65</v>
      </c>
      <c r="AI1051" s="2"/>
      <c r="AK1051" s="1"/>
    </row>
    <row r="1052" spans="1:38" ht="15" customHeight="1" x14ac:dyDescent="0.2">
      <c r="A1052" s="1" t="s">
        <v>19</v>
      </c>
      <c r="B1052" s="5" t="s">
        <v>109</v>
      </c>
      <c r="C1052" s="1" t="s">
        <v>37</v>
      </c>
      <c r="D1052" s="1" t="s">
        <v>36</v>
      </c>
      <c r="E1052" s="1" t="s">
        <v>35</v>
      </c>
      <c r="F1052" s="1" t="s">
        <v>34</v>
      </c>
      <c r="G1052" s="1" t="s">
        <v>33</v>
      </c>
      <c r="H1052" s="1" t="s">
        <v>32</v>
      </c>
      <c r="I1052" s="1" t="s">
        <v>775</v>
      </c>
      <c r="J1052" s="1">
        <v>2021</v>
      </c>
      <c r="K1052" s="1" t="s">
        <v>774</v>
      </c>
      <c r="L1052" s="1" t="s">
        <v>773</v>
      </c>
      <c r="P1052" s="1" t="s">
        <v>772</v>
      </c>
      <c r="Q1052" s="1" t="s">
        <v>771</v>
      </c>
      <c r="R1052" s="1" t="s">
        <v>770</v>
      </c>
      <c r="S1052" s="1" t="s">
        <v>769</v>
      </c>
      <c r="T1052" s="1" t="s">
        <v>768</v>
      </c>
      <c r="U1052" s="1">
        <v>1</v>
      </c>
      <c r="V1052" s="1" t="s">
        <v>767</v>
      </c>
      <c r="W1052" s="1" t="s">
        <v>766</v>
      </c>
      <c r="Y1052" s="3">
        <v>44553</v>
      </c>
      <c r="Z1052" s="1">
        <v>2021</v>
      </c>
      <c r="AA1052" s="2">
        <v>6045610.3300000001</v>
      </c>
      <c r="AB1052" s="2"/>
      <c r="AC1052" s="2">
        <v>5953823.8600000003</v>
      </c>
      <c r="AF1052" s="1">
        <v>12</v>
      </c>
      <c r="AG1052" s="1" t="s">
        <v>21</v>
      </c>
      <c r="AI1052" s="2">
        <v>5953823.8600000003</v>
      </c>
      <c r="AJ1052" s="1">
        <v>37.75</v>
      </c>
      <c r="AK1052" s="1" t="s">
        <v>20</v>
      </c>
    </row>
    <row r="1053" spans="1:38" ht="15" customHeight="1" x14ac:dyDescent="0.2">
      <c r="A1053" s="1" t="s">
        <v>19</v>
      </c>
      <c r="B1053" s="5" t="s">
        <v>109</v>
      </c>
      <c r="C1053" s="1" t="s">
        <v>37</v>
      </c>
      <c r="D1053" s="1" t="s">
        <v>211</v>
      </c>
      <c r="E1053" s="1" t="s">
        <v>35</v>
      </c>
      <c r="F1053" s="1" t="s">
        <v>637</v>
      </c>
      <c r="G1053" s="1" t="s">
        <v>636</v>
      </c>
      <c r="H1053" s="1" t="s">
        <v>130</v>
      </c>
      <c r="I1053" s="1" t="s">
        <v>765</v>
      </c>
      <c r="J1053" s="1" t="s">
        <v>316</v>
      </c>
      <c r="K1053" s="1" t="s">
        <v>763</v>
      </c>
      <c r="P1053" s="1" t="s">
        <v>764</v>
      </c>
      <c r="Q1053" s="1" t="s">
        <v>27</v>
      </c>
      <c r="R1053" s="1" t="s">
        <v>26</v>
      </c>
      <c r="S1053" s="1" t="s">
        <v>434</v>
      </c>
      <c r="T1053" s="1" t="s">
        <v>433</v>
      </c>
      <c r="U1053" s="1">
        <v>1</v>
      </c>
      <c r="V1053" s="1" t="s">
        <v>432</v>
      </c>
      <c r="W1053" s="1" t="s">
        <v>763</v>
      </c>
      <c r="X1053" s="1" t="s">
        <v>319</v>
      </c>
      <c r="Y1053" s="3">
        <v>44998</v>
      </c>
      <c r="Z1053" s="1">
        <v>2023</v>
      </c>
      <c r="AA1053" s="2">
        <v>992100</v>
      </c>
      <c r="AB1053" s="2"/>
      <c r="AC1053" s="2">
        <v>113750</v>
      </c>
      <c r="AD1053" s="1">
        <v>4</v>
      </c>
      <c r="AE1053" s="1">
        <v>1</v>
      </c>
      <c r="AG1053" s="1" t="s">
        <v>106</v>
      </c>
      <c r="AH1053" s="1" t="s">
        <v>310</v>
      </c>
      <c r="AI1053" s="2">
        <v>0</v>
      </c>
      <c r="AK1053" s="1"/>
    </row>
    <row r="1054" spans="1:38" ht="15" customHeight="1" x14ac:dyDescent="0.2">
      <c r="A1054" s="1" t="s">
        <v>19</v>
      </c>
      <c r="B1054" s="5" t="s">
        <v>109</v>
      </c>
      <c r="C1054" s="1" t="s">
        <v>37</v>
      </c>
      <c r="D1054" s="1" t="s">
        <v>211</v>
      </c>
      <c r="E1054" s="1" t="s">
        <v>35</v>
      </c>
      <c r="F1054" s="1" t="s">
        <v>260</v>
      </c>
      <c r="G1054" s="1" t="s">
        <v>259</v>
      </c>
      <c r="H1054" s="1" t="s">
        <v>130</v>
      </c>
      <c r="I1054" s="1" t="s">
        <v>762</v>
      </c>
      <c r="J1054" s="1" t="s">
        <v>316</v>
      </c>
      <c r="K1054" s="1" t="s">
        <v>760</v>
      </c>
      <c r="P1054" s="1" t="s">
        <v>761</v>
      </c>
      <c r="Q1054" s="1" t="s">
        <v>27</v>
      </c>
      <c r="R1054" s="1" t="s">
        <v>26</v>
      </c>
      <c r="S1054" s="1" t="s">
        <v>434</v>
      </c>
      <c r="T1054" s="1" t="s">
        <v>433</v>
      </c>
      <c r="U1054" s="1">
        <v>1</v>
      </c>
      <c r="V1054" s="1" t="s">
        <v>432</v>
      </c>
      <c r="W1054" s="1" t="s">
        <v>760</v>
      </c>
      <c r="X1054" s="1" t="s">
        <v>327</v>
      </c>
      <c r="Y1054" s="3">
        <v>44183</v>
      </c>
      <c r="Z1054" s="1">
        <v>2020</v>
      </c>
      <c r="AA1054" s="2">
        <v>34500</v>
      </c>
      <c r="AB1054" s="2"/>
      <c r="AC1054" s="2">
        <v>10350</v>
      </c>
      <c r="AD1054" s="1">
        <v>1</v>
      </c>
      <c r="AG1054" s="1" t="s">
        <v>106</v>
      </c>
      <c r="AH1054" s="1" t="s">
        <v>759</v>
      </c>
      <c r="AI1054" s="2">
        <v>0</v>
      </c>
      <c r="AK1054" s="1"/>
    </row>
    <row r="1055" spans="1:38" ht="15" customHeight="1" x14ac:dyDescent="0.2">
      <c r="A1055" s="1" t="s">
        <v>19</v>
      </c>
      <c r="B1055" s="5" t="s">
        <v>18</v>
      </c>
      <c r="C1055" s="1" t="s">
        <v>37</v>
      </c>
      <c r="D1055" s="1" t="s">
        <v>211</v>
      </c>
      <c r="E1055" s="1" t="s">
        <v>35</v>
      </c>
      <c r="F1055" s="1" t="s">
        <v>260</v>
      </c>
      <c r="G1055" s="1" t="s">
        <v>259</v>
      </c>
      <c r="H1055" s="1" t="s">
        <v>130</v>
      </c>
      <c r="I1055" s="1" t="s">
        <v>758</v>
      </c>
      <c r="J1055" s="1" t="s">
        <v>316</v>
      </c>
      <c r="K1055" s="1" t="s">
        <v>757</v>
      </c>
      <c r="L1055" s="1" t="s">
        <v>756</v>
      </c>
      <c r="P1055" s="1" t="s">
        <v>755</v>
      </c>
      <c r="Q1055" s="1" t="s">
        <v>27</v>
      </c>
      <c r="R1055" s="1" t="s">
        <v>26</v>
      </c>
      <c r="S1055" s="1" t="s">
        <v>434</v>
      </c>
      <c r="T1055" s="1" t="s">
        <v>433</v>
      </c>
      <c r="U1055" s="1">
        <v>1</v>
      </c>
      <c r="V1055" s="1" t="s">
        <v>432</v>
      </c>
      <c r="W1055" s="1" t="s">
        <v>754</v>
      </c>
      <c r="X1055" s="1" t="s">
        <v>319</v>
      </c>
      <c r="Y1055" s="3">
        <v>43825</v>
      </c>
      <c r="Z1055" s="1">
        <v>2019</v>
      </c>
      <c r="AA1055" s="2">
        <v>92833.81</v>
      </c>
      <c r="AB1055" s="2"/>
      <c r="AC1055" s="2">
        <v>34850.14</v>
      </c>
      <c r="AD1055" s="1">
        <v>1</v>
      </c>
      <c r="AG1055" s="1" t="s">
        <v>21</v>
      </c>
      <c r="AI1055" s="2">
        <v>34850.14</v>
      </c>
      <c r="AK1055" s="1"/>
      <c r="AL1055" s="1" t="s">
        <v>753</v>
      </c>
    </row>
    <row r="1056" spans="1:38" ht="15" customHeight="1" x14ac:dyDescent="0.2">
      <c r="A1056" s="1" t="s">
        <v>19</v>
      </c>
      <c r="B1056" s="5" t="s">
        <v>109</v>
      </c>
      <c r="C1056" s="1" t="s">
        <v>37</v>
      </c>
      <c r="D1056" s="1" t="s">
        <v>211</v>
      </c>
      <c r="E1056" s="1" t="s">
        <v>35</v>
      </c>
      <c r="F1056" s="1" t="s">
        <v>260</v>
      </c>
      <c r="G1056" s="1" t="s">
        <v>259</v>
      </c>
      <c r="H1056" s="1" t="s">
        <v>130</v>
      </c>
      <c r="I1056" s="1" t="s">
        <v>752</v>
      </c>
      <c r="J1056" s="1" t="s">
        <v>316</v>
      </c>
      <c r="K1056" s="1" t="s">
        <v>750</v>
      </c>
      <c r="P1056" s="1" t="s">
        <v>751</v>
      </c>
      <c r="Q1056" s="1" t="s">
        <v>27</v>
      </c>
      <c r="R1056" s="1" t="s">
        <v>26</v>
      </c>
      <c r="S1056" s="1" t="s">
        <v>442</v>
      </c>
      <c r="T1056" s="1" t="s">
        <v>441</v>
      </c>
      <c r="U1056" s="1">
        <v>1</v>
      </c>
      <c r="V1056" s="1" t="s">
        <v>432</v>
      </c>
      <c r="W1056" s="1" t="s">
        <v>750</v>
      </c>
      <c r="X1056" s="1" t="s">
        <v>319</v>
      </c>
      <c r="Y1056" s="3">
        <v>44435</v>
      </c>
      <c r="Z1056" s="1">
        <v>2021</v>
      </c>
      <c r="AA1056" s="2">
        <v>39614.36</v>
      </c>
      <c r="AB1056" s="2"/>
      <c r="AC1056" s="2">
        <v>19807.18</v>
      </c>
      <c r="AD1056" s="1">
        <v>4</v>
      </c>
      <c r="AE1056" s="1">
        <v>1</v>
      </c>
      <c r="AG1056" s="1" t="s">
        <v>106</v>
      </c>
      <c r="AH1056" s="1" t="s">
        <v>105</v>
      </c>
      <c r="AI1056" s="2">
        <v>0</v>
      </c>
      <c r="AK1056" s="1"/>
    </row>
    <row r="1057" spans="1:38" ht="15" customHeight="1" x14ac:dyDescent="0.2">
      <c r="A1057" s="1" t="s">
        <v>19</v>
      </c>
      <c r="B1057" s="5" t="s">
        <v>18</v>
      </c>
      <c r="C1057" s="1" t="s">
        <v>37</v>
      </c>
      <c r="D1057" s="1" t="s">
        <v>211</v>
      </c>
      <c r="E1057" s="1" t="s">
        <v>35</v>
      </c>
      <c r="F1057" s="1" t="s">
        <v>260</v>
      </c>
      <c r="G1057" s="1" t="s">
        <v>259</v>
      </c>
      <c r="H1057" s="1" t="s">
        <v>130</v>
      </c>
      <c r="I1057" s="1" t="s">
        <v>749</v>
      </c>
      <c r="J1057" s="1" t="s">
        <v>316</v>
      </c>
      <c r="K1057" s="1" t="s">
        <v>748</v>
      </c>
      <c r="L1057" s="1" t="s">
        <v>747</v>
      </c>
      <c r="M1057" s="1" t="s">
        <v>746</v>
      </c>
      <c r="P1057" s="1" t="s">
        <v>745</v>
      </c>
      <c r="Q1057" s="1" t="s">
        <v>27</v>
      </c>
      <c r="R1057" s="1" t="s">
        <v>26</v>
      </c>
      <c r="S1057" s="1" t="s">
        <v>434</v>
      </c>
      <c r="T1057" s="1" t="s">
        <v>433</v>
      </c>
      <c r="U1057" s="1">
        <v>1</v>
      </c>
      <c r="V1057" s="1" t="s">
        <v>432</v>
      </c>
      <c r="W1057" s="1" t="s">
        <v>744</v>
      </c>
      <c r="X1057" s="1" t="s">
        <v>667</v>
      </c>
      <c r="Y1057" s="3">
        <v>43825</v>
      </c>
      <c r="Z1057" s="1">
        <v>2019</v>
      </c>
      <c r="AA1057" s="2">
        <v>41478.17</v>
      </c>
      <c r="AB1057" s="2"/>
      <c r="AC1057" s="2">
        <v>20739.09</v>
      </c>
      <c r="AD1057" s="1">
        <v>3</v>
      </c>
      <c r="AE1057" s="1">
        <v>0.73</v>
      </c>
      <c r="AG1057" s="1" t="s">
        <v>21</v>
      </c>
      <c r="AI1057" s="2">
        <v>11036.84</v>
      </c>
      <c r="AK1057" s="1"/>
      <c r="AL1057" s="19" t="s">
        <v>743</v>
      </c>
    </row>
    <row r="1058" spans="1:38" ht="15" customHeight="1" x14ac:dyDescent="0.2">
      <c r="A1058" s="1" t="s">
        <v>19</v>
      </c>
      <c r="B1058" s="5" t="s">
        <v>109</v>
      </c>
      <c r="C1058" s="1" t="s">
        <v>37</v>
      </c>
      <c r="D1058" s="1" t="s">
        <v>211</v>
      </c>
      <c r="E1058" s="1" t="s">
        <v>35</v>
      </c>
      <c r="F1058" s="1" t="s">
        <v>260</v>
      </c>
      <c r="G1058" s="1" t="s">
        <v>259</v>
      </c>
      <c r="H1058" s="1" t="s">
        <v>130</v>
      </c>
      <c r="I1058" s="1" t="s">
        <v>742</v>
      </c>
      <c r="J1058" s="1" t="s">
        <v>316</v>
      </c>
      <c r="K1058" s="1" t="s">
        <v>740</v>
      </c>
      <c r="P1058" s="1" t="s">
        <v>741</v>
      </c>
      <c r="Q1058" s="1" t="s">
        <v>27</v>
      </c>
      <c r="R1058" s="1" t="s">
        <v>26</v>
      </c>
      <c r="S1058" s="1" t="s">
        <v>434</v>
      </c>
      <c r="T1058" s="1" t="s">
        <v>433</v>
      </c>
      <c r="U1058" s="1">
        <v>1</v>
      </c>
      <c r="V1058" s="1" t="s">
        <v>432</v>
      </c>
      <c r="W1058" s="1" t="s">
        <v>740</v>
      </c>
      <c r="X1058" s="1" t="s">
        <v>464</v>
      </c>
      <c r="Y1058" s="3">
        <v>44139</v>
      </c>
      <c r="Z1058" s="1">
        <v>2020</v>
      </c>
      <c r="AA1058" s="2">
        <v>58924.22</v>
      </c>
      <c r="AB1058" s="2"/>
      <c r="AC1058" s="2">
        <v>24677.27</v>
      </c>
      <c r="AD1058" s="1">
        <v>2</v>
      </c>
      <c r="AG1058" s="1" t="s">
        <v>106</v>
      </c>
      <c r="AH1058" s="1" t="s">
        <v>105</v>
      </c>
      <c r="AI1058" s="2">
        <v>0</v>
      </c>
      <c r="AK1058" s="1"/>
    </row>
    <row r="1059" spans="1:38" ht="15" customHeight="1" x14ac:dyDescent="0.2">
      <c r="A1059" s="1" t="s">
        <v>19</v>
      </c>
      <c r="B1059" s="5" t="s">
        <v>109</v>
      </c>
      <c r="C1059" s="1" t="s">
        <v>37</v>
      </c>
      <c r="D1059" s="1" t="s">
        <v>211</v>
      </c>
      <c r="E1059" s="1" t="s">
        <v>35</v>
      </c>
      <c r="F1059" s="1" t="s">
        <v>260</v>
      </c>
      <c r="G1059" s="1" t="s">
        <v>259</v>
      </c>
      <c r="H1059" s="1" t="s">
        <v>130</v>
      </c>
      <c r="I1059" s="1" t="s">
        <v>739</v>
      </c>
      <c r="J1059" s="1" t="s">
        <v>316</v>
      </c>
      <c r="K1059" s="1" t="s">
        <v>737</v>
      </c>
      <c r="P1059" s="1" t="s">
        <v>738</v>
      </c>
      <c r="Q1059" s="1" t="s">
        <v>27</v>
      </c>
      <c r="R1059" s="1" t="s">
        <v>26</v>
      </c>
      <c r="S1059" s="1" t="s">
        <v>434</v>
      </c>
      <c r="T1059" s="1" t="s">
        <v>433</v>
      </c>
      <c r="U1059" s="1">
        <v>1</v>
      </c>
      <c r="V1059" s="1" t="s">
        <v>432</v>
      </c>
      <c r="W1059" s="1" t="s">
        <v>737</v>
      </c>
      <c r="X1059" s="1" t="s">
        <v>319</v>
      </c>
      <c r="Y1059" s="3">
        <v>44603</v>
      </c>
      <c r="Z1059" s="1">
        <v>2022</v>
      </c>
      <c r="AA1059" s="2">
        <v>277087.34999999998</v>
      </c>
      <c r="AB1059" s="2"/>
      <c r="AC1059" s="2">
        <v>55417.47</v>
      </c>
      <c r="AD1059" s="1">
        <v>0</v>
      </c>
      <c r="AG1059" s="1" t="s">
        <v>106</v>
      </c>
      <c r="AH1059" s="1" t="s">
        <v>105</v>
      </c>
      <c r="AI1059" s="2">
        <v>0</v>
      </c>
      <c r="AK1059" s="1"/>
    </row>
    <row r="1060" spans="1:38" ht="15" customHeight="1" x14ac:dyDescent="0.2">
      <c r="A1060" s="1" t="s">
        <v>19</v>
      </c>
      <c r="B1060" s="5" t="s">
        <v>18</v>
      </c>
      <c r="C1060" s="1" t="s">
        <v>37</v>
      </c>
      <c r="D1060" s="1" t="s">
        <v>211</v>
      </c>
      <c r="E1060" s="1" t="s">
        <v>35</v>
      </c>
      <c r="F1060" s="1" t="s">
        <v>260</v>
      </c>
      <c r="G1060" s="1" t="s">
        <v>259</v>
      </c>
      <c r="H1060" s="1" t="s">
        <v>130</v>
      </c>
      <c r="I1060" s="1" t="s">
        <v>736</v>
      </c>
      <c r="J1060" s="1" t="s">
        <v>316</v>
      </c>
      <c r="K1060" s="1" t="s">
        <v>735</v>
      </c>
      <c r="L1060" s="1" t="s">
        <v>734</v>
      </c>
      <c r="M1060" s="1" t="s">
        <v>733</v>
      </c>
      <c r="P1060" s="1" t="s">
        <v>732</v>
      </c>
      <c r="Q1060" s="1" t="s">
        <v>27</v>
      </c>
      <c r="R1060" s="1" t="s">
        <v>26</v>
      </c>
      <c r="S1060" s="1" t="s">
        <v>434</v>
      </c>
      <c r="T1060" s="1" t="s">
        <v>433</v>
      </c>
      <c r="U1060" s="1">
        <v>1</v>
      </c>
      <c r="V1060" s="1" t="s">
        <v>432</v>
      </c>
      <c r="W1060" s="1" t="s">
        <v>731</v>
      </c>
      <c r="X1060" s="1" t="s">
        <v>319</v>
      </c>
      <c r="Y1060" s="3">
        <v>43825</v>
      </c>
      <c r="Z1060" s="1">
        <v>2019</v>
      </c>
      <c r="AA1060" s="2">
        <v>300750</v>
      </c>
      <c r="AB1060" s="2"/>
      <c r="AC1060" s="2">
        <v>90225</v>
      </c>
      <c r="AD1060" s="1">
        <v>3</v>
      </c>
      <c r="AG1060" s="1" t="s">
        <v>21</v>
      </c>
      <c r="AI1060" s="2">
        <v>90225</v>
      </c>
      <c r="AK1060" s="1"/>
    </row>
    <row r="1061" spans="1:38" ht="15" customHeight="1" x14ac:dyDescent="0.2">
      <c r="A1061" s="1" t="s">
        <v>19</v>
      </c>
      <c r="B1061" s="5" t="s">
        <v>18</v>
      </c>
      <c r="C1061" s="1" t="s">
        <v>37</v>
      </c>
      <c r="D1061" s="1" t="s">
        <v>211</v>
      </c>
      <c r="E1061" s="1" t="s">
        <v>35</v>
      </c>
      <c r="F1061" s="1" t="s">
        <v>260</v>
      </c>
      <c r="G1061" s="1" t="s">
        <v>259</v>
      </c>
      <c r="H1061" s="1" t="s">
        <v>130</v>
      </c>
      <c r="I1061" s="1" t="s">
        <v>730</v>
      </c>
      <c r="J1061" s="1" t="s">
        <v>316</v>
      </c>
      <c r="K1061" s="1" t="s">
        <v>729</v>
      </c>
      <c r="L1061" s="1" t="s">
        <v>728</v>
      </c>
      <c r="M1061" s="1" t="s">
        <v>727</v>
      </c>
      <c r="P1061" s="1" t="s">
        <v>726</v>
      </c>
      <c r="Q1061" s="1" t="s">
        <v>27</v>
      </c>
      <c r="R1061" s="1" t="s">
        <v>26</v>
      </c>
      <c r="S1061" s="1" t="s">
        <v>434</v>
      </c>
      <c r="T1061" s="1" t="s">
        <v>433</v>
      </c>
      <c r="U1061" s="1">
        <v>1</v>
      </c>
      <c r="V1061" s="1" t="s">
        <v>432</v>
      </c>
      <c r="W1061" s="1" t="s">
        <v>725</v>
      </c>
      <c r="X1061" s="1" t="s">
        <v>327</v>
      </c>
      <c r="Y1061" s="3">
        <v>43825</v>
      </c>
      <c r="Z1061" s="1">
        <v>2019</v>
      </c>
      <c r="AA1061" s="2">
        <v>88200</v>
      </c>
      <c r="AB1061" s="2"/>
      <c r="AC1061" s="2">
        <v>24640</v>
      </c>
      <c r="AD1061" s="1">
        <v>1</v>
      </c>
      <c r="AE1061" s="1">
        <v>1</v>
      </c>
      <c r="AG1061" s="1" t="s">
        <v>21</v>
      </c>
      <c r="AI1061" s="2">
        <v>24640</v>
      </c>
      <c r="AK1061" s="1"/>
    </row>
    <row r="1062" spans="1:38" ht="15" customHeight="1" x14ac:dyDescent="0.2">
      <c r="A1062" s="1" t="s">
        <v>19</v>
      </c>
      <c r="B1062" s="5" t="s">
        <v>18</v>
      </c>
      <c r="C1062" s="1" t="s">
        <v>37</v>
      </c>
      <c r="D1062" s="1" t="s">
        <v>211</v>
      </c>
      <c r="E1062" s="1" t="s">
        <v>35</v>
      </c>
      <c r="F1062" s="1" t="s">
        <v>637</v>
      </c>
      <c r="G1062" s="1" t="s">
        <v>636</v>
      </c>
      <c r="H1062" s="1" t="s">
        <v>130</v>
      </c>
      <c r="I1062" s="1" t="s">
        <v>724</v>
      </c>
      <c r="J1062" s="1">
        <v>2021</v>
      </c>
      <c r="K1062" s="1" t="s">
        <v>723</v>
      </c>
      <c r="L1062" s="1" t="s">
        <v>722</v>
      </c>
      <c r="M1062" s="1" t="s">
        <v>721</v>
      </c>
      <c r="P1062" s="1" t="s">
        <v>591</v>
      </c>
      <c r="Q1062" s="1" t="s">
        <v>27</v>
      </c>
      <c r="R1062" s="1" t="s">
        <v>26</v>
      </c>
      <c r="S1062" s="1" t="s">
        <v>442</v>
      </c>
      <c r="T1062" s="1" t="s">
        <v>441</v>
      </c>
      <c r="U1062" s="1">
        <v>1</v>
      </c>
      <c r="V1062" s="1" t="s">
        <v>432</v>
      </c>
      <c r="W1062" s="1" t="s">
        <v>720</v>
      </c>
      <c r="X1062" s="1" t="s">
        <v>319</v>
      </c>
      <c r="Y1062" s="3">
        <v>44557</v>
      </c>
      <c r="Z1062" s="1">
        <v>2021</v>
      </c>
      <c r="AA1062" s="2">
        <v>1277000</v>
      </c>
      <c r="AB1062" s="2"/>
      <c r="AC1062" s="2">
        <v>120000</v>
      </c>
      <c r="AD1062" s="1">
        <v>4</v>
      </c>
      <c r="AG1062" s="1" t="s">
        <v>21</v>
      </c>
      <c r="AI1062" s="2">
        <v>120000</v>
      </c>
      <c r="AK1062" s="1"/>
    </row>
    <row r="1063" spans="1:38" ht="15" customHeight="1" x14ac:dyDescent="0.2">
      <c r="A1063" s="1" t="s">
        <v>19</v>
      </c>
      <c r="B1063" s="5" t="s">
        <v>18</v>
      </c>
      <c r="C1063" s="1" t="s">
        <v>37</v>
      </c>
      <c r="D1063" s="1" t="s">
        <v>211</v>
      </c>
      <c r="E1063" s="1" t="s">
        <v>35</v>
      </c>
      <c r="F1063" s="1" t="s">
        <v>637</v>
      </c>
      <c r="G1063" s="1" t="s">
        <v>636</v>
      </c>
      <c r="H1063" s="1" t="s">
        <v>130</v>
      </c>
      <c r="I1063" s="1" t="s">
        <v>719</v>
      </c>
      <c r="J1063" s="1">
        <v>2021</v>
      </c>
      <c r="K1063" s="1" t="s">
        <v>718</v>
      </c>
      <c r="L1063" s="1" t="s">
        <v>717</v>
      </c>
      <c r="M1063" s="1" t="s">
        <v>716</v>
      </c>
      <c r="P1063" s="1" t="s">
        <v>715</v>
      </c>
      <c r="Q1063" s="1" t="s">
        <v>27</v>
      </c>
      <c r="R1063" s="1" t="s">
        <v>26</v>
      </c>
      <c r="S1063" s="1" t="s">
        <v>434</v>
      </c>
      <c r="T1063" s="1" t="s">
        <v>433</v>
      </c>
      <c r="U1063" s="1">
        <v>1</v>
      </c>
      <c r="V1063" s="1" t="s">
        <v>432</v>
      </c>
      <c r="W1063" s="1" t="s">
        <v>714</v>
      </c>
      <c r="X1063" s="1" t="s">
        <v>667</v>
      </c>
      <c r="Y1063" s="3">
        <v>44557</v>
      </c>
      <c r="Z1063" s="1">
        <v>2021</v>
      </c>
      <c r="AA1063" s="2">
        <v>3733443.53</v>
      </c>
      <c r="AB1063" s="2"/>
      <c r="AC1063" s="2">
        <v>1120033.0590000001</v>
      </c>
      <c r="AD1063" s="1">
        <v>36.9</v>
      </c>
      <c r="AE1063" s="1">
        <v>30</v>
      </c>
      <c r="AG1063" s="1" t="s">
        <v>21</v>
      </c>
      <c r="AI1063" s="2">
        <v>1120033.0590000001</v>
      </c>
      <c r="AK1063" s="1"/>
    </row>
    <row r="1064" spans="1:38" ht="15" customHeight="1" x14ac:dyDescent="0.2">
      <c r="A1064" s="1" t="s">
        <v>19</v>
      </c>
      <c r="B1064" s="5" t="s">
        <v>18</v>
      </c>
      <c r="C1064" s="1" t="s">
        <v>37</v>
      </c>
      <c r="D1064" s="1" t="s">
        <v>211</v>
      </c>
      <c r="E1064" s="1" t="s">
        <v>35</v>
      </c>
      <c r="F1064" s="1" t="s">
        <v>637</v>
      </c>
      <c r="G1064" s="1" t="s">
        <v>636</v>
      </c>
      <c r="H1064" s="1" t="s">
        <v>130</v>
      </c>
      <c r="I1064" s="1" t="s">
        <v>713</v>
      </c>
      <c r="J1064" s="1">
        <v>2021</v>
      </c>
      <c r="K1064" s="1" t="s">
        <v>712</v>
      </c>
      <c r="L1064" s="1" t="s">
        <v>711</v>
      </c>
      <c r="M1064" s="1" t="s">
        <v>710</v>
      </c>
      <c r="P1064" s="1" t="s">
        <v>709</v>
      </c>
      <c r="Q1064" s="1" t="s">
        <v>27</v>
      </c>
      <c r="R1064" s="1" t="s">
        <v>26</v>
      </c>
      <c r="S1064" s="1" t="s">
        <v>513</v>
      </c>
      <c r="T1064" s="1" t="s">
        <v>512</v>
      </c>
      <c r="U1064" s="1">
        <v>1</v>
      </c>
      <c r="V1064" s="1" t="s">
        <v>432</v>
      </c>
      <c r="W1064" s="1" t="s">
        <v>708</v>
      </c>
      <c r="X1064" s="1" t="s">
        <v>304</v>
      </c>
      <c r="Y1064" s="3">
        <v>44557</v>
      </c>
      <c r="Z1064" s="1">
        <v>2021</v>
      </c>
      <c r="AA1064" s="2">
        <v>382464.46</v>
      </c>
      <c r="AB1064" s="2"/>
      <c r="AC1064" s="2">
        <v>114739.33800000002</v>
      </c>
      <c r="AD1064" s="1">
        <v>3</v>
      </c>
      <c r="AE1064" s="1">
        <v>3</v>
      </c>
      <c r="AG1064" s="1" t="s">
        <v>21</v>
      </c>
      <c r="AI1064" s="2">
        <v>114739.33800000002</v>
      </c>
      <c r="AK1064" s="1"/>
    </row>
    <row r="1065" spans="1:38" ht="15" customHeight="1" x14ac:dyDescent="0.2">
      <c r="A1065" s="1" t="s">
        <v>19</v>
      </c>
      <c r="B1065" s="5" t="s">
        <v>18</v>
      </c>
      <c r="C1065" s="1" t="s">
        <v>37</v>
      </c>
      <c r="D1065" s="1" t="s">
        <v>211</v>
      </c>
      <c r="E1065" s="1" t="s">
        <v>35</v>
      </c>
      <c r="F1065" s="1" t="s">
        <v>637</v>
      </c>
      <c r="G1065" s="1" t="s">
        <v>636</v>
      </c>
      <c r="H1065" s="1" t="s">
        <v>130</v>
      </c>
      <c r="I1065" s="1" t="s">
        <v>707</v>
      </c>
      <c r="J1065" s="1">
        <v>2021</v>
      </c>
      <c r="K1065" s="1" t="s">
        <v>706</v>
      </c>
      <c r="L1065" s="1" t="s">
        <v>705</v>
      </c>
      <c r="M1065" s="1" t="s">
        <v>704</v>
      </c>
      <c r="P1065" s="1" t="s">
        <v>703</v>
      </c>
      <c r="Q1065" s="1" t="s">
        <v>27</v>
      </c>
      <c r="R1065" s="1" t="s">
        <v>26</v>
      </c>
      <c r="S1065" s="1" t="s">
        <v>434</v>
      </c>
      <c r="T1065" s="1" t="s">
        <v>433</v>
      </c>
      <c r="U1065" s="1">
        <v>1</v>
      </c>
      <c r="V1065" s="1" t="s">
        <v>432</v>
      </c>
      <c r="W1065" s="1" t="s">
        <v>702</v>
      </c>
      <c r="X1065" s="1" t="s">
        <v>298</v>
      </c>
      <c r="Y1065" s="3">
        <v>44557</v>
      </c>
      <c r="Z1065" s="1">
        <v>2021</v>
      </c>
      <c r="AA1065" s="2">
        <v>541464</v>
      </c>
      <c r="AB1065" s="2"/>
      <c r="AC1065" s="2">
        <v>162439.20000000001</v>
      </c>
      <c r="AD1065" s="1">
        <v>10</v>
      </c>
      <c r="AG1065" s="1" t="s">
        <v>21</v>
      </c>
      <c r="AI1065" s="2">
        <v>162439.20000000001</v>
      </c>
      <c r="AK1065" s="1"/>
    </row>
    <row r="1066" spans="1:38" ht="15" customHeight="1" x14ac:dyDescent="0.2">
      <c r="A1066" s="1" t="s">
        <v>19</v>
      </c>
      <c r="B1066" s="5" t="s">
        <v>109</v>
      </c>
      <c r="C1066" s="1" t="s">
        <v>37</v>
      </c>
      <c r="D1066" s="1" t="s">
        <v>211</v>
      </c>
      <c r="E1066" s="1" t="s">
        <v>35</v>
      </c>
      <c r="F1066" s="1" t="s">
        <v>260</v>
      </c>
      <c r="G1066" s="1" t="s">
        <v>259</v>
      </c>
      <c r="H1066" s="1" t="s">
        <v>130</v>
      </c>
      <c r="I1066" s="1" t="s">
        <v>701</v>
      </c>
      <c r="J1066" s="1">
        <v>2021</v>
      </c>
      <c r="K1066" s="1" t="s">
        <v>699</v>
      </c>
      <c r="P1066" s="1" t="s">
        <v>700</v>
      </c>
      <c r="Q1066" s="1" t="s">
        <v>27</v>
      </c>
      <c r="R1066" s="1" t="s">
        <v>26</v>
      </c>
      <c r="S1066" s="1" t="s">
        <v>434</v>
      </c>
      <c r="T1066" s="1" t="s">
        <v>433</v>
      </c>
      <c r="U1066" s="1">
        <v>1</v>
      </c>
      <c r="V1066" s="1" t="s">
        <v>432</v>
      </c>
      <c r="W1066" s="1" t="s">
        <v>699</v>
      </c>
      <c r="X1066" s="1" t="s">
        <v>298</v>
      </c>
      <c r="Y1066" s="3">
        <v>44557</v>
      </c>
      <c r="Z1066" s="1">
        <v>2021</v>
      </c>
      <c r="AA1066" s="2">
        <v>57844.32</v>
      </c>
      <c r="AB1066" s="2"/>
      <c r="AC1066" s="2">
        <v>11568.86</v>
      </c>
      <c r="AD1066" s="1">
        <v>1</v>
      </c>
      <c r="AG1066" s="1" t="s">
        <v>106</v>
      </c>
      <c r="AH1066" s="1" t="s">
        <v>310</v>
      </c>
      <c r="AI1066" s="2">
        <v>0</v>
      </c>
      <c r="AK1066" s="1"/>
    </row>
    <row r="1067" spans="1:38" ht="15" customHeight="1" x14ac:dyDescent="0.2">
      <c r="A1067" s="1" t="s">
        <v>19</v>
      </c>
      <c r="B1067" s="5" t="s">
        <v>18</v>
      </c>
      <c r="C1067" s="1" t="s">
        <v>37</v>
      </c>
      <c r="D1067" s="1" t="s">
        <v>211</v>
      </c>
      <c r="E1067" s="1" t="s">
        <v>35</v>
      </c>
      <c r="F1067" s="1" t="s">
        <v>260</v>
      </c>
      <c r="G1067" s="1" t="s">
        <v>259</v>
      </c>
      <c r="H1067" s="1" t="s">
        <v>130</v>
      </c>
      <c r="I1067" s="1" t="s">
        <v>698</v>
      </c>
      <c r="J1067" s="1">
        <v>2021</v>
      </c>
      <c r="K1067" s="1" t="s">
        <v>697</v>
      </c>
      <c r="L1067" s="1" t="s">
        <v>696</v>
      </c>
      <c r="P1067" s="1" t="s">
        <v>695</v>
      </c>
      <c r="Q1067" s="1" t="s">
        <v>27</v>
      </c>
      <c r="R1067" s="1" t="s">
        <v>26</v>
      </c>
      <c r="S1067" s="1" t="s">
        <v>434</v>
      </c>
      <c r="T1067" s="1" t="s">
        <v>433</v>
      </c>
      <c r="U1067" s="1">
        <v>1</v>
      </c>
      <c r="V1067" s="1" t="s">
        <v>432</v>
      </c>
      <c r="W1067" s="1" t="s">
        <v>694</v>
      </c>
      <c r="X1067" s="1" t="s">
        <v>693</v>
      </c>
      <c r="Y1067" s="3">
        <v>44557</v>
      </c>
      <c r="Z1067" s="1">
        <v>2021</v>
      </c>
      <c r="AA1067" s="2">
        <v>100295.83</v>
      </c>
      <c r="AB1067" s="2"/>
      <c r="AC1067" s="2">
        <v>30000</v>
      </c>
      <c r="AD1067" s="1">
        <v>0</v>
      </c>
      <c r="AG1067" s="1" t="s">
        <v>21</v>
      </c>
      <c r="AI1067" s="2">
        <v>30000</v>
      </c>
      <c r="AK1067" s="1"/>
    </row>
    <row r="1068" spans="1:38" ht="15" customHeight="1" x14ac:dyDescent="0.2">
      <c r="A1068" s="1" t="s">
        <v>19</v>
      </c>
      <c r="B1068" s="5" t="s">
        <v>109</v>
      </c>
      <c r="C1068" s="1" t="s">
        <v>37</v>
      </c>
      <c r="D1068" s="1" t="s">
        <v>211</v>
      </c>
      <c r="E1068" s="1" t="s">
        <v>35</v>
      </c>
      <c r="F1068" s="1" t="s">
        <v>260</v>
      </c>
      <c r="G1068" s="1" t="s">
        <v>259</v>
      </c>
      <c r="H1068" s="1" t="s">
        <v>130</v>
      </c>
      <c r="I1068" s="1" t="s">
        <v>692</v>
      </c>
      <c r="J1068" s="1">
        <v>2021</v>
      </c>
      <c r="K1068" s="1" t="s">
        <v>690</v>
      </c>
      <c r="P1068" s="1" t="s">
        <v>691</v>
      </c>
      <c r="Q1068" s="1" t="s">
        <v>27</v>
      </c>
      <c r="R1068" s="1" t="s">
        <v>26</v>
      </c>
      <c r="S1068" s="1" t="s">
        <v>442</v>
      </c>
      <c r="T1068" s="1" t="s">
        <v>441</v>
      </c>
      <c r="U1068" s="1">
        <v>1</v>
      </c>
      <c r="V1068" s="1" t="s">
        <v>432</v>
      </c>
      <c r="W1068" s="1" t="s">
        <v>690</v>
      </c>
      <c r="X1068" s="1" t="s">
        <v>689</v>
      </c>
      <c r="Y1068" s="3">
        <v>44630</v>
      </c>
      <c r="Z1068" s="1">
        <v>2022</v>
      </c>
      <c r="AA1068" s="2">
        <v>159276.38</v>
      </c>
      <c r="AB1068" s="2"/>
      <c r="AC1068" s="2">
        <v>47782.91</v>
      </c>
      <c r="AD1068" s="1">
        <v>3</v>
      </c>
      <c r="AE1068" s="1">
        <v>2</v>
      </c>
      <c r="AG1068" s="1" t="s">
        <v>106</v>
      </c>
      <c r="AH1068" s="1" t="s">
        <v>105</v>
      </c>
      <c r="AI1068" s="2">
        <v>0</v>
      </c>
      <c r="AK1068" s="1"/>
      <c r="AL1068" s="7" t="s">
        <v>688</v>
      </c>
    </row>
    <row r="1069" spans="1:38" ht="15" customHeight="1" x14ac:dyDescent="0.2">
      <c r="A1069" s="1" t="s">
        <v>19</v>
      </c>
      <c r="B1069" s="5" t="s">
        <v>18</v>
      </c>
      <c r="C1069" s="1" t="s">
        <v>37</v>
      </c>
      <c r="D1069" s="1" t="s">
        <v>211</v>
      </c>
      <c r="E1069" s="1" t="s">
        <v>35</v>
      </c>
      <c r="F1069" s="1" t="s">
        <v>260</v>
      </c>
      <c r="G1069" s="1" t="s">
        <v>259</v>
      </c>
      <c r="H1069" s="1" t="s">
        <v>130</v>
      </c>
      <c r="I1069" s="1" t="s">
        <v>687</v>
      </c>
      <c r="J1069" s="1">
        <v>2021</v>
      </c>
      <c r="K1069" s="1" t="s">
        <v>686</v>
      </c>
      <c r="L1069" s="1" t="s">
        <v>685</v>
      </c>
      <c r="P1069" s="1" t="s">
        <v>582</v>
      </c>
      <c r="Q1069" s="1" t="s">
        <v>27</v>
      </c>
      <c r="R1069" s="1" t="s">
        <v>26</v>
      </c>
      <c r="S1069" s="1" t="s">
        <v>434</v>
      </c>
      <c r="T1069" s="1" t="s">
        <v>433</v>
      </c>
      <c r="U1069" s="1">
        <v>1</v>
      </c>
      <c r="V1069" s="1" t="s">
        <v>432</v>
      </c>
      <c r="W1069" s="1" t="s">
        <v>684</v>
      </c>
      <c r="X1069" s="1" t="s">
        <v>298</v>
      </c>
      <c r="Y1069" s="3">
        <v>44557</v>
      </c>
      <c r="Z1069" s="1">
        <v>2021</v>
      </c>
      <c r="AA1069" s="2">
        <v>287619.31</v>
      </c>
      <c r="AB1069" s="2"/>
      <c r="AC1069" s="2">
        <v>86285.79</v>
      </c>
      <c r="AD1069" s="1">
        <v>4</v>
      </c>
      <c r="AG1069" s="1" t="s">
        <v>21</v>
      </c>
      <c r="AI1069" s="2">
        <v>86285.79</v>
      </c>
      <c r="AK1069" s="1"/>
    </row>
    <row r="1070" spans="1:38" ht="15" customHeight="1" x14ac:dyDescent="0.2">
      <c r="A1070" s="1" t="s">
        <v>19</v>
      </c>
      <c r="B1070" s="5" t="s">
        <v>18</v>
      </c>
      <c r="C1070" s="1" t="s">
        <v>37</v>
      </c>
      <c r="D1070" s="1" t="s">
        <v>211</v>
      </c>
      <c r="E1070" s="1" t="s">
        <v>35</v>
      </c>
      <c r="F1070" s="1" t="s">
        <v>260</v>
      </c>
      <c r="G1070" s="1" t="s">
        <v>259</v>
      </c>
      <c r="H1070" s="1" t="s">
        <v>130</v>
      </c>
      <c r="I1070" s="1" t="s">
        <v>683</v>
      </c>
      <c r="J1070" s="1">
        <v>2021</v>
      </c>
      <c r="K1070" s="1" t="s">
        <v>682</v>
      </c>
      <c r="L1070" s="1" t="s">
        <v>681</v>
      </c>
      <c r="P1070" s="1" t="s">
        <v>680</v>
      </c>
      <c r="Q1070" s="1" t="s">
        <v>27</v>
      </c>
      <c r="R1070" s="1" t="s">
        <v>26</v>
      </c>
      <c r="S1070" s="1" t="s">
        <v>513</v>
      </c>
      <c r="T1070" s="1" t="s">
        <v>512</v>
      </c>
      <c r="U1070" s="1">
        <v>1</v>
      </c>
      <c r="V1070" s="1" t="s">
        <v>432</v>
      </c>
      <c r="W1070" s="1" t="s">
        <v>679</v>
      </c>
      <c r="X1070" s="1" t="s">
        <v>667</v>
      </c>
      <c r="Y1070" s="3">
        <v>44557</v>
      </c>
      <c r="Z1070" s="1">
        <v>2021</v>
      </c>
      <c r="AA1070" s="2">
        <v>229756.62</v>
      </c>
      <c r="AB1070" s="2"/>
      <c r="AC1070" s="2">
        <v>50000</v>
      </c>
      <c r="AD1070" s="1">
        <v>1</v>
      </c>
      <c r="AE1070" s="1">
        <v>1</v>
      </c>
      <c r="AG1070" s="1" t="s">
        <v>21</v>
      </c>
      <c r="AI1070" s="2">
        <v>50000</v>
      </c>
      <c r="AK1070" s="1"/>
    </row>
    <row r="1071" spans="1:38" ht="15" customHeight="1" x14ac:dyDescent="0.2">
      <c r="A1071" s="1" t="s">
        <v>19</v>
      </c>
      <c r="B1071" s="5" t="s">
        <v>18</v>
      </c>
      <c r="C1071" s="1" t="s">
        <v>37</v>
      </c>
      <c r="D1071" s="1" t="s">
        <v>211</v>
      </c>
      <c r="E1071" s="1" t="s">
        <v>35</v>
      </c>
      <c r="F1071" s="1" t="s">
        <v>260</v>
      </c>
      <c r="G1071" s="1" t="s">
        <v>259</v>
      </c>
      <c r="H1071" s="1" t="s">
        <v>130</v>
      </c>
      <c r="I1071" s="1" t="s">
        <v>678</v>
      </c>
      <c r="J1071" s="1">
        <v>2021</v>
      </c>
      <c r="K1071" s="1" t="s">
        <v>677</v>
      </c>
      <c r="L1071" s="1" t="s">
        <v>676</v>
      </c>
      <c r="M1071" s="1" t="s">
        <v>675</v>
      </c>
      <c r="P1071" s="1" t="s">
        <v>674</v>
      </c>
      <c r="Q1071" s="1" t="s">
        <v>27</v>
      </c>
      <c r="R1071" s="1" t="s">
        <v>26</v>
      </c>
      <c r="S1071" s="1" t="s">
        <v>513</v>
      </c>
      <c r="T1071" s="1" t="s">
        <v>512</v>
      </c>
      <c r="U1071" s="1">
        <v>1</v>
      </c>
      <c r="V1071" s="1" t="s">
        <v>432</v>
      </c>
      <c r="W1071" s="1" t="s">
        <v>673</v>
      </c>
      <c r="X1071" s="1" t="s">
        <v>304</v>
      </c>
      <c r="Y1071" s="3">
        <v>44557</v>
      </c>
      <c r="Z1071" s="1">
        <v>2021</v>
      </c>
      <c r="AA1071" s="2">
        <v>237264.08</v>
      </c>
      <c r="AB1071" s="2"/>
      <c r="AC1071" s="2">
        <v>71179.22</v>
      </c>
      <c r="AD1071" s="1">
        <v>1.5</v>
      </c>
      <c r="AE1071" s="1">
        <v>1.5</v>
      </c>
      <c r="AG1071" s="1" t="s">
        <v>21</v>
      </c>
      <c r="AI1071" s="2">
        <v>71179.22</v>
      </c>
      <c r="AK1071" s="1"/>
    </row>
    <row r="1072" spans="1:38" ht="15" customHeight="1" x14ac:dyDescent="0.2">
      <c r="A1072" s="1" t="s">
        <v>19</v>
      </c>
      <c r="B1072" s="5" t="s">
        <v>18</v>
      </c>
      <c r="C1072" s="1" t="s">
        <v>37</v>
      </c>
      <c r="D1072" s="1" t="s">
        <v>211</v>
      </c>
      <c r="E1072" s="1" t="s">
        <v>35</v>
      </c>
      <c r="F1072" s="1" t="s">
        <v>260</v>
      </c>
      <c r="G1072" s="1" t="s">
        <v>259</v>
      </c>
      <c r="H1072" s="1" t="s">
        <v>130</v>
      </c>
      <c r="I1072" s="1" t="s">
        <v>672</v>
      </c>
      <c r="J1072" s="1">
        <v>2021</v>
      </c>
      <c r="K1072" s="1" t="s">
        <v>671</v>
      </c>
      <c r="L1072" s="1" t="s">
        <v>670</v>
      </c>
      <c r="P1072" s="1" t="s">
        <v>669</v>
      </c>
      <c r="Q1072" s="1" t="s">
        <v>27</v>
      </c>
      <c r="R1072" s="1" t="s">
        <v>26</v>
      </c>
      <c r="S1072" s="1" t="s">
        <v>442</v>
      </c>
      <c r="T1072" s="1" t="s">
        <v>441</v>
      </c>
      <c r="U1072" s="1">
        <v>1</v>
      </c>
      <c r="V1072" s="1" t="s">
        <v>432</v>
      </c>
      <c r="W1072" s="1" t="s">
        <v>668</v>
      </c>
      <c r="X1072" s="1" t="s">
        <v>667</v>
      </c>
      <c r="Y1072" s="3">
        <v>44557</v>
      </c>
      <c r="Z1072" s="1">
        <v>2021</v>
      </c>
      <c r="AA1072" s="2">
        <v>207204.9</v>
      </c>
      <c r="AB1072" s="2"/>
      <c r="AC1072" s="2">
        <v>41440.980000000003</v>
      </c>
      <c r="AD1072" s="1">
        <v>0</v>
      </c>
      <c r="AG1072" s="1" t="s">
        <v>21</v>
      </c>
      <c r="AI1072" s="2">
        <v>41440.980000000003</v>
      </c>
      <c r="AK1072" s="1"/>
    </row>
    <row r="1073" spans="1:35" s="1" customFormat="1" ht="15" customHeight="1" x14ac:dyDescent="0.2">
      <c r="A1073" s="1" t="s">
        <v>19</v>
      </c>
      <c r="B1073" s="5" t="s">
        <v>18</v>
      </c>
      <c r="C1073" s="1" t="s">
        <v>37</v>
      </c>
      <c r="D1073" s="1" t="s">
        <v>211</v>
      </c>
      <c r="E1073" s="1" t="s">
        <v>35</v>
      </c>
      <c r="F1073" s="1" t="s">
        <v>260</v>
      </c>
      <c r="G1073" s="1" t="s">
        <v>259</v>
      </c>
      <c r="H1073" s="1" t="s">
        <v>130</v>
      </c>
      <c r="I1073" s="1" t="s">
        <v>666</v>
      </c>
      <c r="J1073" s="1">
        <v>2021</v>
      </c>
      <c r="K1073" s="1" t="s">
        <v>665</v>
      </c>
      <c r="L1073" s="1" t="s">
        <v>664</v>
      </c>
      <c r="P1073" s="1" t="s">
        <v>663</v>
      </c>
      <c r="Q1073" s="1" t="s">
        <v>27</v>
      </c>
      <c r="R1073" s="1" t="s">
        <v>26</v>
      </c>
      <c r="S1073" s="1" t="s">
        <v>442</v>
      </c>
      <c r="T1073" s="1" t="s">
        <v>441</v>
      </c>
      <c r="U1073" s="1">
        <v>1</v>
      </c>
      <c r="V1073" s="1" t="s">
        <v>432</v>
      </c>
      <c r="W1073" s="1" t="s">
        <v>662</v>
      </c>
      <c r="X1073" s="1" t="s">
        <v>319</v>
      </c>
      <c r="Y1073" s="3">
        <v>44557</v>
      </c>
      <c r="Z1073" s="1">
        <v>2021</v>
      </c>
      <c r="AA1073" s="2">
        <v>191036</v>
      </c>
      <c r="AB1073" s="2"/>
      <c r="AC1073" s="2">
        <v>50000</v>
      </c>
      <c r="AD1073" s="1">
        <v>1</v>
      </c>
      <c r="AE1073" s="1">
        <v>1</v>
      </c>
      <c r="AG1073" s="1" t="s">
        <v>21</v>
      </c>
      <c r="AI1073" s="2">
        <v>50000</v>
      </c>
    </row>
    <row r="1074" spans="1:35" s="1" customFormat="1" ht="15" customHeight="1" x14ac:dyDescent="0.2">
      <c r="A1074" s="1" t="s">
        <v>19</v>
      </c>
      <c r="B1074" s="5" t="s">
        <v>18</v>
      </c>
      <c r="C1074" s="1" t="s">
        <v>37</v>
      </c>
      <c r="D1074" s="1" t="s">
        <v>63</v>
      </c>
      <c r="E1074" s="1" t="s">
        <v>35</v>
      </c>
      <c r="G1074" s="1" t="s">
        <v>288</v>
      </c>
      <c r="H1074" s="1" t="s">
        <v>32</v>
      </c>
      <c r="I1074" s="1" t="s">
        <v>661</v>
      </c>
      <c r="J1074" s="1">
        <v>2022</v>
      </c>
      <c r="K1074" s="1" t="s">
        <v>660</v>
      </c>
      <c r="L1074" s="1" t="s">
        <v>659</v>
      </c>
      <c r="P1074" s="1" t="s">
        <v>514</v>
      </c>
      <c r="Q1074" s="1" t="s">
        <v>27</v>
      </c>
      <c r="R1074" s="1" t="s">
        <v>26</v>
      </c>
      <c r="S1074" s="1" t="s">
        <v>513</v>
      </c>
      <c r="T1074" s="1" t="s">
        <v>512</v>
      </c>
      <c r="U1074" s="1">
        <v>1</v>
      </c>
      <c r="V1074" s="1" t="s">
        <v>432</v>
      </c>
      <c r="W1074" s="1" t="s">
        <v>658</v>
      </c>
      <c r="Y1074" s="3">
        <v>45112</v>
      </c>
      <c r="Z1074" s="1">
        <v>2023</v>
      </c>
      <c r="AA1074" s="2">
        <v>1491688.67</v>
      </c>
      <c r="AB1074" s="2"/>
      <c r="AC1074" s="2">
        <v>1491688.67</v>
      </c>
      <c r="AG1074" s="1" t="s">
        <v>21</v>
      </c>
      <c r="AI1074" s="2">
        <v>1491688.67</v>
      </c>
    </row>
    <row r="1075" spans="1:35" s="1" customFormat="1" ht="15" customHeight="1" x14ac:dyDescent="0.2">
      <c r="A1075" s="1" t="s">
        <v>19</v>
      </c>
      <c r="B1075" s="5" t="s">
        <v>18</v>
      </c>
      <c r="C1075" s="1" t="s">
        <v>37</v>
      </c>
      <c r="D1075" s="1" t="s">
        <v>63</v>
      </c>
      <c r="E1075" s="1" t="s">
        <v>35</v>
      </c>
      <c r="G1075" s="1" t="s">
        <v>288</v>
      </c>
      <c r="H1075" s="1" t="s">
        <v>32</v>
      </c>
      <c r="I1075" s="1" t="s">
        <v>657</v>
      </c>
      <c r="J1075" s="1">
        <v>2022</v>
      </c>
      <c r="K1075" s="1" t="s">
        <v>656</v>
      </c>
      <c r="L1075" s="1" t="s">
        <v>655</v>
      </c>
      <c r="P1075" s="1" t="s">
        <v>514</v>
      </c>
      <c r="Q1075" s="1" t="s">
        <v>27</v>
      </c>
      <c r="R1075" s="1" t="s">
        <v>26</v>
      </c>
      <c r="S1075" s="1" t="s">
        <v>513</v>
      </c>
      <c r="T1075" s="1" t="s">
        <v>512</v>
      </c>
      <c r="U1075" s="1">
        <v>1</v>
      </c>
      <c r="V1075" s="1" t="s">
        <v>432</v>
      </c>
      <c r="W1075" s="1" t="s">
        <v>654</v>
      </c>
      <c r="Y1075" s="3">
        <v>45112</v>
      </c>
      <c r="Z1075" s="1">
        <v>2023</v>
      </c>
      <c r="AA1075" s="2">
        <v>498316.09</v>
      </c>
      <c r="AB1075" s="2"/>
      <c r="AC1075" s="2">
        <v>498316.09</v>
      </c>
      <c r="AG1075" s="1" t="s">
        <v>21</v>
      </c>
      <c r="AI1075" s="2">
        <v>498316.09</v>
      </c>
    </row>
    <row r="1076" spans="1:35" s="1" customFormat="1" ht="15" customHeight="1" x14ac:dyDescent="0.2">
      <c r="A1076" s="1" t="s">
        <v>19</v>
      </c>
      <c r="B1076" s="5" t="s">
        <v>18</v>
      </c>
      <c r="C1076" s="1" t="s">
        <v>37</v>
      </c>
      <c r="D1076" s="1" t="s">
        <v>63</v>
      </c>
      <c r="E1076" s="1" t="s">
        <v>35</v>
      </c>
      <c r="G1076" s="1" t="s">
        <v>288</v>
      </c>
      <c r="H1076" s="1" t="s">
        <v>32</v>
      </c>
      <c r="I1076" s="1" t="s">
        <v>653</v>
      </c>
      <c r="J1076" s="1">
        <v>2022</v>
      </c>
      <c r="K1076" s="1" t="s">
        <v>652</v>
      </c>
      <c r="L1076" s="1" t="s">
        <v>651</v>
      </c>
      <c r="P1076" s="1" t="s">
        <v>468</v>
      </c>
      <c r="Q1076" s="1" t="s">
        <v>27</v>
      </c>
      <c r="R1076" s="1" t="s">
        <v>26</v>
      </c>
      <c r="S1076" s="1" t="s">
        <v>467</v>
      </c>
      <c r="T1076" s="1" t="s">
        <v>466</v>
      </c>
      <c r="U1076" s="1">
        <v>1</v>
      </c>
      <c r="V1076" s="1" t="s">
        <v>432</v>
      </c>
      <c r="W1076" s="1" t="s">
        <v>650</v>
      </c>
      <c r="Y1076" s="3">
        <v>45112</v>
      </c>
      <c r="Z1076" s="1">
        <v>2023</v>
      </c>
      <c r="AA1076" s="2">
        <v>1474462.03</v>
      </c>
      <c r="AB1076" s="2"/>
      <c r="AC1076" s="2">
        <v>1474462.03</v>
      </c>
      <c r="AG1076" s="1" t="s">
        <v>21</v>
      </c>
      <c r="AI1076" s="2">
        <v>1474462.03</v>
      </c>
    </row>
    <row r="1077" spans="1:35" s="1" customFormat="1" ht="15" customHeight="1" x14ac:dyDescent="0.2">
      <c r="A1077" s="1" t="s">
        <v>19</v>
      </c>
      <c r="B1077" s="5" t="s">
        <v>18</v>
      </c>
      <c r="C1077" s="1" t="s">
        <v>37</v>
      </c>
      <c r="D1077" s="1" t="s">
        <v>63</v>
      </c>
      <c r="E1077" s="1" t="s">
        <v>35</v>
      </c>
      <c r="G1077" s="1" t="s">
        <v>288</v>
      </c>
      <c r="H1077" s="1" t="s">
        <v>32</v>
      </c>
      <c r="I1077" s="1" t="s">
        <v>649</v>
      </c>
      <c r="J1077" s="1">
        <v>2022</v>
      </c>
      <c r="K1077" s="1" t="s">
        <v>648</v>
      </c>
      <c r="L1077" s="1" t="s">
        <v>647</v>
      </c>
      <c r="P1077" s="1" t="s">
        <v>468</v>
      </c>
      <c r="Q1077" s="1" t="s">
        <v>27</v>
      </c>
      <c r="R1077" s="1" t="s">
        <v>26</v>
      </c>
      <c r="S1077" s="1" t="s">
        <v>467</v>
      </c>
      <c r="T1077" s="1" t="s">
        <v>466</v>
      </c>
      <c r="U1077" s="1">
        <v>1</v>
      </c>
      <c r="V1077" s="1" t="s">
        <v>432</v>
      </c>
      <c r="W1077" s="1" t="s">
        <v>646</v>
      </c>
      <c r="Y1077" s="3">
        <v>45112</v>
      </c>
      <c r="Z1077" s="1">
        <v>2023</v>
      </c>
      <c r="AA1077" s="2">
        <v>497280.79</v>
      </c>
      <c r="AB1077" s="2"/>
      <c r="AC1077" s="2">
        <v>497280.79</v>
      </c>
      <c r="AG1077" s="1" t="s">
        <v>21</v>
      </c>
      <c r="AI1077" s="2">
        <v>497280.79</v>
      </c>
    </row>
    <row r="1078" spans="1:35" s="1" customFormat="1" ht="15" customHeight="1" x14ac:dyDescent="0.2">
      <c r="A1078" s="1" t="s">
        <v>19</v>
      </c>
      <c r="B1078" s="5" t="s">
        <v>18</v>
      </c>
      <c r="C1078" s="1" t="s">
        <v>37</v>
      </c>
      <c r="D1078" s="1" t="s">
        <v>63</v>
      </c>
      <c r="E1078" s="1" t="s">
        <v>35</v>
      </c>
      <c r="G1078" s="1" t="s">
        <v>288</v>
      </c>
      <c r="H1078" s="1" t="s">
        <v>32</v>
      </c>
      <c r="I1078" s="1" t="s">
        <v>645</v>
      </c>
      <c r="J1078" s="1">
        <v>2022</v>
      </c>
      <c r="K1078" s="1" t="s">
        <v>644</v>
      </c>
      <c r="L1078" s="1" t="s">
        <v>643</v>
      </c>
      <c r="P1078" s="1" t="s">
        <v>435</v>
      </c>
      <c r="Q1078" s="1" t="s">
        <v>27</v>
      </c>
      <c r="R1078" s="1" t="s">
        <v>26</v>
      </c>
      <c r="S1078" s="1" t="s">
        <v>434</v>
      </c>
      <c r="T1078" s="1" t="s">
        <v>433</v>
      </c>
      <c r="U1078" s="1">
        <v>1</v>
      </c>
      <c r="V1078" s="1" t="s">
        <v>432</v>
      </c>
      <c r="W1078" s="1" t="s">
        <v>642</v>
      </c>
      <c r="Y1078" s="3">
        <v>45112</v>
      </c>
      <c r="Z1078" s="1">
        <v>2023</v>
      </c>
      <c r="AA1078" s="2">
        <v>491581.59</v>
      </c>
      <c r="AB1078" s="2"/>
      <c r="AC1078" s="2">
        <v>491581.59</v>
      </c>
      <c r="AG1078" s="1" t="s">
        <v>21</v>
      </c>
      <c r="AI1078" s="2">
        <v>491581.59</v>
      </c>
    </row>
    <row r="1079" spans="1:35" s="1" customFormat="1" ht="15" customHeight="1" x14ac:dyDescent="0.2">
      <c r="A1079" s="1" t="s">
        <v>19</v>
      </c>
      <c r="B1079" s="5" t="s">
        <v>18</v>
      </c>
      <c r="C1079" s="1" t="s">
        <v>37</v>
      </c>
      <c r="D1079" s="1" t="s">
        <v>63</v>
      </c>
      <c r="E1079" s="1" t="s">
        <v>35</v>
      </c>
      <c r="G1079" s="1" t="s">
        <v>288</v>
      </c>
      <c r="H1079" s="1" t="s">
        <v>32</v>
      </c>
      <c r="I1079" s="1" t="s">
        <v>641</v>
      </c>
      <c r="J1079" s="1">
        <v>2022</v>
      </c>
      <c r="K1079" s="1" t="s">
        <v>640</v>
      </c>
      <c r="L1079" s="1" t="s">
        <v>639</v>
      </c>
      <c r="P1079" s="1" t="s">
        <v>435</v>
      </c>
      <c r="Q1079" s="1" t="s">
        <v>27</v>
      </c>
      <c r="R1079" s="1" t="s">
        <v>26</v>
      </c>
      <c r="S1079" s="1" t="s">
        <v>434</v>
      </c>
      <c r="T1079" s="1" t="s">
        <v>433</v>
      </c>
      <c r="U1079" s="1">
        <v>1</v>
      </c>
      <c r="V1079" s="1" t="s">
        <v>432</v>
      </c>
      <c r="W1079" s="1" t="s">
        <v>638</v>
      </c>
      <c r="Y1079" s="3">
        <v>45112</v>
      </c>
      <c r="Z1079" s="1">
        <v>2023</v>
      </c>
      <c r="AA1079" s="2">
        <v>422653.86</v>
      </c>
      <c r="AB1079" s="2"/>
      <c r="AC1079" s="2">
        <v>422653.86</v>
      </c>
      <c r="AG1079" s="1" t="s">
        <v>21</v>
      </c>
      <c r="AI1079" s="2">
        <v>422653.86</v>
      </c>
    </row>
    <row r="1080" spans="1:35" s="1" customFormat="1" ht="15" customHeight="1" x14ac:dyDescent="0.2">
      <c r="A1080" s="1" t="s">
        <v>19</v>
      </c>
      <c r="B1080" s="5" t="s">
        <v>18</v>
      </c>
      <c r="C1080" s="1" t="s">
        <v>37</v>
      </c>
      <c r="D1080" s="1" t="s">
        <v>211</v>
      </c>
      <c r="E1080" s="1" t="s">
        <v>35</v>
      </c>
      <c r="F1080" s="1" t="s">
        <v>637</v>
      </c>
      <c r="G1080" s="1" t="s">
        <v>636</v>
      </c>
      <c r="H1080" s="1" t="s">
        <v>258</v>
      </c>
      <c r="I1080" s="1" t="s">
        <v>635</v>
      </c>
      <c r="J1080" s="1">
        <v>2023</v>
      </c>
      <c r="K1080" s="1" t="s">
        <v>634</v>
      </c>
      <c r="L1080" s="1" t="s">
        <v>634</v>
      </c>
      <c r="M1080" s="1" t="s">
        <v>633</v>
      </c>
      <c r="P1080" s="1" t="s">
        <v>577</v>
      </c>
      <c r="Q1080" s="1" t="s">
        <v>27</v>
      </c>
      <c r="R1080" s="1" t="s">
        <v>26</v>
      </c>
      <c r="S1080" s="1" t="s">
        <v>442</v>
      </c>
      <c r="T1080" s="1" t="s">
        <v>441</v>
      </c>
      <c r="U1080" s="1">
        <v>1</v>
      </c>
      <c r="V1080" s="1" t="s">
        <v>432</v>
      </c>
      <c r="W1080" s="1" t="s">
        <v>632</v>
      </c>
      <c r="Y1080" s="3">
        <v>45802</v>
      </c>
      <c r="Z1080" s="1">
        <v>2025</v>
      </c>
      <c r="AA1080" s="2">
        <v>472782.64</v>
      </c>
      <c r="AB1080" s="2"/>
      <c r="AC1080" s="2">
        <v>165473.92000000001</v>
      </c>
      <c r="AD1080" s="18">
        <v>6</v>
      </c>
      <c r="AE1080" s="1">
        <v>3</v>
      </c>
      <c r="AG1080" s="1" t="s">
        <v>21</v>
      </c>
      <c r="AI1080" s="2">
        <v>165473.92000000001</v>
      </c>
    </row>
    <row r="1081" spans="1:35" s="1" customFormat="1" ht="15" customHeight="1" x14ac:dyDescent="0.2">
      <c r="A1081" s="1" t="s">
        <v>19</v>
      </c>
      <c r="B1081" s="5" t="s">
        <v>18</v>
      </c>
      <c r="C1081" s="1" t="s">
        <v>37</v>
      </c>
      <c r="D1081" s="1" t="s">
        <v>211</v>
      </c>
      <c r="E1081" s="1" t="s">
        <v>35</v>
      </c>
      <c r="F1081" s="1" t="s">
        <v>267</v>
      </c>
      <c r="G1081" s="1" t="s">
        <v>266</v>
      </c>
      <c r="H1081" s="1" t="s">
        <v>130</v>
      </c>
      <c r="I1081" s="1" t="s">
        <v>631</v>
      </c>
      <c r="J1081" s="1">
        <v>2023</v>
      </c>
      <c r="K1081" s="1" t="s">
        <v>630</v>
      </c>
      <c r="L1081" s="1" t="s">
        <v>629</v>
      </c>
      <c r="M1081" s="1" t="s">
        <v>628</v>
      </c>
      <c r="P1081" s="1" t="s">
        <v>627</v>
      </c>
      <c r="Q1081" s="1" t="s">
        <v>27</v>
      </c>
      <c r="R1081" s="1" t="s">
        <v>26</v>
      </c>
      <c r="S1081" s="1" t="s">
        <v>434</v>
      </c>
      <c r="T1081" s="1" t="s">
        <v>433</v>
      </c>
      <c r="U1081" s="1">
        <v>1</v>
      </c>
      <c r="V1081" s="1" t="s">
        <v>432</v>
      </c>
      <c r="W1081" s="1" t="s">
        <v>626</v>
      </c>
      <c r="Y1081" s="3">
        <v>45462</v>
      </c>
      <c r="Z1081" s="1">
        <v>2024</v>
      </c>
      <c r="AA1081" s="2">
        <v>8229409.9900000002</v>
      </c>
      <c r="AB1081" s="2"/>
      <c r="AC1081" s="2">
        <v>1234411.5</v>
      </c>
      <c r="AD1081" s="1">
        <v>60</v>
      </c>
      <c r="AE1081" s="1">
        <v>35</v>
      </c>
      <c r="AG1081" s="1" t="s">
        <v>21</v>
      </c>
      <c r="AI1081" s="2">
        <v>1234411.5</v>
      </c>
    </row>
    <row r="1082" spans="1:35" s="1" customFormat="1" ht="15" customHeight="1" x14ac:dyDescent="0.2">
      <c r="A1082" s="1" t="s">
        <v>19</v>
      </c>
      <c r="B1082" s="5" t="s">
        <v>18</v>
      </c>
      <c r="C1082" s="1" t="s">
        <v>37</v>
      </c>
      <c r="D1082" s="1" t="s">
        <v>211</v>
      </c>
      <c r="E1082" s="1" t="s">
        <v>35</v>
      </c>
      <c r="F1082" s="1" t="s">
        <v>267</v>
      </c>
      <c r="G1082" s="1" t="s">
        <v>266</v>
      </c>
      <c r="H1082" s="1" t="s">
        <v>130</v>
      </c>
      <c r="I1082" s="1" t="s">
        <v>625</v>
      </c>
      <c r="J1082" s="1">
        <v>2023</v>
      </c>
      <c r="K1082" s="1" t="s">
        <v>624</v>
      </c>
      <c r="L1082" s="1" t="s">
        <v>623</v>
      </c>
      <c r="M1082" s="1" t="s">
        <v>622</v>
      </c>
      <c r="P1082" s="1" t="s">
        <v>621</v>
      </c>
      <c r="Q1082" s="1" t="s">
        <v>27</v>
      </c>
      <c r="R1082" s="1" t="s">
        <v>26</v>
      </c>
      <c r="S1082" s="1" t="s">
        <v>434</v>
      </c>
      <c r="T1082" s="1" t="s">
        <v>433</v>
      </c>
      <c r="U1082" s="1">
        <v>1</v>
      </c>
      <c r="V1082" s="1" t="s">
        <v>432</v>
      </c>
      <c r="W1082" s="1" t="s">
        <v>620</v>
      </c>
      <c r="Y1082" s="3">
        <v>45462</v>
      </c>
      <c r="Z1082" s="1">
        <v>2024</v>
      </c>
      <c r="AA1082" s="2">
        <v>2257531.29</v>
      </c>
      <c r="AB1082" s="2"/>
      <c r="AC1082" s="2">
        <v>455067.98</v>
      </c>
      <c r="AD1082" s="1">
        <v>5</v>
      </c>
      <c r="AG1082" s="1" t="s">
        <v>21</v>
      </c>
      <c r="AI1082" s="2">
        <v>455067.98</v>
      </c>
    </row>
    <row r="1083" spans="1:35" s="1" customFormat="1" ht="15" customHeight="1" x14ac:dyDescent="0.2">
      <c r="A1083" s="1" t="s">
        <v>19</v>
      </c>
      <c r="B1083" s="5" t="s">
        <v>18</v>
      </c>
      <c r="C1083" s="1" t="s">
        <v>37</v>
      </c>
      <c r="D1083" s="1" t="s">
        <v>211</v>
      </c>
      <c r="E1083" s="1" t="s">
        <v>35</v>
      </c>
      <c r="F1083" s="1" t="s">
        <v>267</v>
      </c>
      <c r="G1083" s="1" t="s">
        <v>266</v>
      </c>
      <c r="H1083" s="1" t="s">
        <v>130</v>
      </c>
      <c r="I1083" s="1" t="s">
        <v>619</v>
      </c>
      <c r="J1083" s="1">
        <v>2023</v>
      </c>
      <c r="K1083" s="1" t="s">
        <v>618</v>
      </c>
      <c r="L1083" s="1" t="s">
        <v>617</v>
      </c>
      <c r="P1083" s="1" t="s">
        <v>616</v>
      </c>
      <c r="Q1083" s="1" t="s">
        <v>27</v>
      </c>
      <c r="R1083" s="1" t="s">
        <v>26</v>
      </c>
      <c r="S1083" s="1" t="s">
        <v>467</v>
      </c>
      <c r="T1083" s="1" t="s">
        <v>466</v>
      </c>
      <c r="U1083" s="1">
        <v>1</v>
      </c>
      <c r="V1083" s="1" t="s">
        <v>432</v>
      </c>
      <c r="W1083" s="1" t="s">
        <v>615</v>
      </c>
      <c r="Y1083" s="3">
        <v>45462</v>
      </c>
      <c r="Z1083" s="1">
        <v>2024</v>
      </c>
      <c r="AA1083" s="2">
        <v>3540682.35</v>
      </c>
      <c r="AB1083" s="2"/>
      <c r="AC1083" s="2">
        <v>739619.41</v>
      </c>
      <c r="AD1083" s="1">
        <v>8</v>
      </c>
      <c r="AG1083" s="1" t="s">
        <v>21</v>
      </c>
      <c r="AI1083" s="2">
        <v>739619.41</v>
      </c>
    </row>
    <row r="1084" spans="1:35" s="1" customFormat="1" ht="15" customHeight="1" x14ac:dyDescent="0.2">
      <c r="A1084" s="1" t="s">
        <v>19</v>
      </c>
      <c r="B1084" s="5" t="s">
        <v>18</v>
      </c>
      <c r="C1084" s="1" t="s">
        <v>37</v>
      </c>
      <c r="D1084" s="1" t="s">
        <v>211</v>
      </c>
      <c r="E1084" s="1" t="s">
        <v>35</v>
      </c>
      <c r="F1084" s="1" t="s">
        <v>267</v>
      </c>
      <c r="G1084" s="1" t="s">
        <v>266</v>
      </c>
      <c r="H1084" s="1" t="s">
        <v>130</v>
      </c>
      <c r="I1084" s="1" t="s">
        <v>614</v>
      </c>
      <c r="J1084" s="1">
        <v>2023</v>
      </c>
      <c r="K1084" s="1" t="s">
        <v>613</v>
      </c>
      <c r="L1084" s="1" t="s">
        <v>612</v>
      </c>
      <c r="P1084" s="1" t="s">
        <v>611</v>
      </c>
      <c r="Q1084" s="1" t="s">
        <v>27</v>
      </c>
      <c r="R1084" s="1" t="s">
        <v>26</v>
      </c>
      <c r="S1084" s="1" t="s">
        <v>434</v>
      </c>
      <c r="T1084" s="1" t="s">
        <v>433</v>
      </c>
      <c r="U1084" s="1">
        <v>1</v>
      </c>
      <c r="V1084" s="1" t="s">
        <v>432</v>
      </c>
      <c r="W1084" s="1" t="s">
        <v>610</v>
      </c>
      <c r="Y1084" s="3">
        <v>45462</v>
      </c>
      <c r="Z1084" s="1">
        <v>2024</v>
      </c>
      <c r="AA1084" s="2">
        <v>1439478.46</v>
      </c>
      <c r="AB1084" s="2"/>
      <c r="AC1084" s="2">
        <v>503817.46</v>
      </c>
      <c r="AD1084" s="1">
        <v>19</v>
      </c>
      <c r="AE1084" s="1">
        <v>17</v>
      </c>
      <c r="AG1084" s="1" t="s">
        <v>21</v>
      </c>
      <c r="AI1084" s="2">
        <v>503817.46</v>
      </c>
    </row>
    <row r="1085" spans="1:35" s="1" customFormat="1" ht="15" customHeight="1" x14ac:dyDescent="0.2">
      <c r="A1085" s="1" t="s">
        <v>19</v>
      </c>
      <c r="B1085" s="5" t="s">
        <v>18</v>
      </c>
      <c r="C1085" s="1" t="s">
        <v>37</v>
      </c>
      <c r="D1085" s="1" t="s">
        <v>211</v>
      </c>
      <c r="E1085" s="1" t="s">
        <v>35</v>
      </c>
      <c r="F1085" s="1" t="s">
        <v>260</v>
      </c>
      <c r="G1085" s="1" t="s">
        <v>259</v>
      </c>
      <c r="H1085" s="1" t="s">
        <v>258</v>
      </c>
      <c r="I1085" s="1" t="s">
        <v>609</v>
      </c>
      <c r="J1085" s="1">
        <v>2023</v>
      </c>
      <c r="K1085" s="1" t="s">
        <v>608</v>
      </c>
      <c r="L1085" s="1" t="s">
        <v>608</v>
      </c>
      <c r="M1085" s="1" t="s">
        <v>607</v>
      </c>
      <c r="P1085" s="1" t="s">
        <v>606</v>
      </c>
      <c r="Q1085" s="1" t="s">
        <v>27</v>
      </c>
      <c r="R1085" s="1" t="s">
        <v>26</v>
      </c>
      <c r="S1085" s="1" t="s">
        <v>513</v>
      </c>
      <c r="T1085" s="2" t="s">
        <v>512</v>
      </c>
      <c r="U1085" s="1">
        <v>1</v>
      </c>
      <c r="V1085" s="1" t="s">
        <v>432</v>
      </c>
      <c r="W1085" s="1" t="s">
        <v>605</v>
      </c>
      <c r="Y1085" s="3">
        <v>45802</v>
      </c>
      <c r="Z1085" s="1">
        <v>2025</v>
      </c>
      <c r="AA1085" s="16">
        <v>30400</v>
      </c>
      <c r="AB1085" s="2"/>
      <c r="AC1085" s="16">
        <v>10640</v>
      </c>
      <c r="AD1085" s="1">
        <v>1</v>
      </c>
      <c r="AE1085" s="1">
        <v>0</v>
      </c>
      <c r="AG1085" s="1" t="s">
        <v>21</v>
      </c>
      <c r="AI1085" s="15">
        <v>10640</v>
      </c>
    </row>
    <row r="1086" spans="1:35" s="1" customFormat="1" ht="15" customHeight="1" x14ac:dyDescent="0.2">
      <c r="A1086" s="1" t="s">
        <v>19</v>
      </c>
      <c r="B1086" s="5" t="s">
        <v>18</v>
      </c>
      <c r="C1086" s="1" t="s">
        <v>37</v>
      </c>
      <c r="D1086" s="1" t="s">
        <v>211</v>
      </c>
      <c r="E1086" s="1" t="s">
        <v>35</v>
      </c>
      <c r="F1086" s="1" t="s">
        <v>260</v>
      </c>
      <c r="G1086" s="1" t="s">
        <v>259</v>
      </c>
      <c r="H1086" s="1" t="s">
        <v>258</v>
      </c>
      <c r="I1086" s="1" t="s">
        <v>604</v>
      </c>
      <c r="J1086" s="1">
        <v>2023</v>
      </c>
      <c r="K1086" s="1" t="s">
        <v>603</v>
      </c>
      <c r="L1086" s="1" t="s">
        <v>603</v>
      </c>
      <c r="M1086" s="1" t="s">
        <v>602</v>
      </c>
      <c r="P1086" s="1" t="s">
        <v>601</v>
      </c>
      <c r="Q1086" s="1" t="s">
        <v>27</v>
      </c>
      <c r="R1086" s="1" t="s">
        <v>26</v>
      </c>
      <c r="S1086" s="1" t="s">
        <v>434</v>
      </c>
      <c r="T1086" s="2" t="s">
        <v>433</v>
      </c>
      <c r="U1086" s="1">
        <v>1</v>
      </c>
      <c r="V1086" s="1" t="s">
        <v>432</v>
      </c>
      <c r="W1086" s="1" t="s">
        <v>600</v>
      </c>
      <c r="Y1086" s="3">
        <v>45802</v>
      </c>
      <c r="Z1086" s="1">
        <v>2025</v>
      </c>
      <c r="AA1086" s="16">
        <v>63868</v>
      </c>
      <c r="AB1086" s="2"/>
      <c r="AC1086" s="16">
        <v>22353.8</v>
      </c>
      <c r="AD1086" s="1">
        <v>0</v>
      </c>
      <c r="AE1086" s="1">
        <v>0</v>
      </c>
      <c r="AG1086" s="1" t="s">
        <v>21</v>
      </c>
      <c r="AI1086" s="15">
        <v>22353.8</v>
      </c>
    </row>
    <row r="1087" spans="1:35" s="1" customFormat="1" ht="15" customHeight="1" x14ac:dyDescent="0.2">
      <c r="A1087" s="1" t="s">
        <v>19</v>
      </c>
      <c r="B1087" s="5" t="s">
        <v>18</v>
      </c>
      <c r="C1087" s="1" t="s">
        <v>37</v>
      </c>
      <c r="D1087" s="1" t="s">
        <v>211</v>
      </c>
      <c r="E1087" s="1" t="s">
        <v>35</v>
      </c>
      <c r="F1087" s="1" t="s">
        <v>260</v>
      </c>
      <c r="G1087" s="1" t="s">
        <v>259</v>
      </c>
      <c r="H1087" s="1" t="s">
        <v>258</v>
      </c>
      <c r="I1087" s="1" t="s">
        <v>599</v>
      </c>
      <c r="J1087" s="1">
        <v>2023</v>
      </c>
      <c r="K1087" s="1" t="s">
        <v>598</v>
      </c>
      <c r="L1087" s="1" t="s">
        <v>598</v>
      </c>
      <c r="M1087" s="1" t="s">
        <v>597</v>
      </c>
      <c r="P1087" s="1" t="s">
        <v>596</v>
      </c>
      <c r="Q1087" s="1" t="s">
        <v>27</v>
      </c>
      <c r="R1087" s="1" t="s">
        <v>26</v>
      </c>
      <c r="S1087" s="1" t="s">
        <v>434</v>
      </c>
      <c r="T1087" s="2" t="s">
        <v>433</v>
      </c>
      <c r="U1087" s="1">
        <v>1</v>
      </c>
      <c r="V1087" s="1" t="s">
        <v>432</v>
      </c>
      <c r="W1087" s="1" t="s">
        <v>595</v>
      </c>
      <c r="Y1087" s="3">
        <v>45802</v>
      </c>
      <c r="Z1087" s="1">
        <v>2025</v>
      </c>
      <c r="AA1087" s="16">
        <v>302438.34000000003</v>
      </c>
      <c r="AB1087" s="2"/>
      <c r="AC1087" s="16">
        <v>75609.59</v>
      </c>
      <c r="AD1087" s="1">
        <v>5</v>
      </c>
      <c r="AE1087" s="1">
        <v>0</v>
      </c>
      <c r="AG1087" s="1" t="s">
        <v>21</v>
      </c>
      <c r="AI1087" s="15">
        <v>75609.59</v>
      </c>
    </row>
    <row r="1088" spans="1:35" s="1" customFormat="1" ht="15" customHeight="1" x14ac:dyDescent="0.2">
      <c r="A1088" s="1" t="s">
        <v>19</v>
      </c>
      <c r="B1088" s="5" t="s">
        <v>18</v>
      </c>
      <c r="C1088" s="1" t="s">
        <v>37</v>
      </c>
      <c r="D1088" s="1" t="s">
        <v>211</v>
      </c>
      <c r="E1088" s="1" t="s">
        <v>35</v>
      </c>
      <c r="F1088" s="1" t="s">
        <v>260</v>
      </c>
      <c r="G1088" s="1" t="s">
        <v>259</v>
      </c>
      <c r="H1088" s="1" t="s">
        <v>258</v>
      </c>
      <c r="I1088" s="1" t="s">
        <v>594</v>
      </c>
      <c r="J1088" s="1">
        <v>2023</v>
      </c>
      <c r="K1088" s="1" t="s">
        <v>593</v>
      </c>
      <c r="L1088" s="1" t="s">
        <v>593</v>
      </c>
      <c r="M1088" s="1" t="s">
        <v>592</v>
      </c>
      <c r="P1088" s="1" t="s">
        <v>591</v>
      </c>
      <c r="Q1088" s="1" t="s">
        <v>27</v>
      </c>
      <c r="R1088" s="1" t="s">
        <v>26</v>
      </c>
      <c r="S1088" s="1" t="s">
        <v>442</v>
      </c>
      <c r="T1088" s="2" t="s">
        <v>441</v>
      </c>
      <c r="U1088" s="1">
        <v>1</v>
      </c>
      <c r="V1088" s="1" t="s">
        <v>432</v>
      </c>
      <c r="W1088" s="1" t="s">
        <v>590</v>
      </c>
      <c r="Y1088" s="3">
        <v>45802</v>
      </c>
      <c r="Z1088" s="1">
        <v>2025</v>
      </c>
      <c r="AA1088" s="16">
        <v>421000</v>
      </c>
      <c r="AB1088" s="2"/>
      <c r="AC1088" s="16">
        <v>105250</v>
      </c>
      <c r="AD1088" s="1">
        <v>4</v>
      </c>
      <c r="AE1088" s="1">
        <v>0</v>
      </c>
      <c r="AG1088" s="1" t="s">
        <v>21</v>
      </c>
      <c r="AI1088" s="15">
        <v>105250</v>
      </c>
    </row>
    <row r="1089" spans="1:38" ht="15" customHeight="1" x14ac:dyDescent="0.2">
      <c r="A1089" s="1" t="s">
        <v>19</v>
      </c>
      <c r="B1089" s="5" t="s">
        <v>18</v>
      </c>
      <c r="C1089" s="1" t="s">
        <v>37</v>
      </c>
      <c r="D1089" s="1" t="s">
        <v>211</v>
      </c>
      <c r="E1089" s="1" t="s">
        <v>35</v>
      </c>
      <c r="F1089" s="1" t="s">
        <v>210</v>
      </c>
      <c r="G1089" s="1" t="s">
        <v>209</v>
      </c>
      <c r="H1089" s="1" t="s">
        <v>208</v>
      </c>
      <c r="I1089" s="1" t="s">
        <v>589</v>
      </c>
      <c r="J1089" s="1">
        <v>2023</v>
      </c>
      <c r="K1089" s="1" t="s">
        <v>588</v>
      </c>
      <c r="L1089" s="1" t="s">
        <v>586</v>
      </c>
      <c r="P1089" s="1" t="s">
        <v>587</v>
      </c>
      <c r="Q1089" s="1" t="s">
        <v>27</v>
      </c>
      <c r="R1089" s="1" t="s">
        <v>26</v>
      </c>
      <c r="S1089" s="1" t="s">
        <v>442</v>
      </c>
      <c r="T1089" s="1" t="s">
        <v>441</v>
      </c>
      <c r="U1089" s="1">
        <v>1</v>
      </c>
      <c r="V1089" s="1" t="s">
        <v>432</v>
      </c>
      <c r="W1089" s="1" t="s">
        <v>586</v>
      </c>
      <c r="Y1089" s="3">
        <v>45478</v>
      </c>
      <c r="Z1089" s="1">
        <v>2024</v>
      </c>
      <c r="AA1089" s="2">
        <v>87663.82</v>
      </c>
      <c r="AB1089" s="2"/>
      <c r="AC1089" s="2">
        <v>21915.96</v>
      </c>
      <c r="AD1089" s="1">
        <v>0</v>
      </c>
      <c r="AG1089" s="1" t="s">
        <v>21</v>
      </c>
      <c r="AI1089" s="2">
        <v>21915.96</v>
      </c>
      <c r="AK1089" s="1"/>
    </row>
    <row r="1090" spans="1:38" ht="15" customHeight="1" x14ac:dyDescent="0.2">
      <c r="A1090" s="1" t="s">
        <v>19</v>
      </c>
      <c r="B1090" s="5" t="s">
        <v>18</v>
      </c>
      <c r="C1090" s="1" t="s">
        <v>37</v>
      </c>
      <c r="D1090" s="1" t="s">
        <v>211</v>
      </c>
      <c r="E1090" s="1" t="s">
        <v>35</v>
      </c>
      <c r="F1090" s="1" t="s">
        <v>210</v>
      </c>
      <c r="G1090" s="1" t="s">
        <v>209</v>
      </c>
      <c r="H1090" s="1" t="s">
        <v>208</v>
      </c>
      <c r="I1090" s="1" t="s">
        <v>585</v>
      </c>
      <c r="J1090" s="1">
        <v>2023</v>
      </c>
      <c r="K1090" s="1" t="s">
        <v>584</v>
      </c>
      <c r="L1090" s="1" t="s">
        <v>583</v>
      </c>
      <c r="P1090" s="1" t="s">
        <v>582</v>
      </c>
      <c r="Q1090" s="1" t="s">
        <v>27</v>
      </c>
      <c r="R1090" s="1" t="s">
        <v>26</v>
      </c>
      <c r="S1090" s="1" t="s">
        <v>434</v>
      </c>
      <c r="T1090" s="1" t="s">
        <v>433</v>
      </c>
      <c r="U1090" s="1">
        <v>1</v>
      </c>
      <c r="V1090" s="1" t="s">
        <v>432</v>
      </c>
      <c r="W1090" s="1" t="s">
        <v>581</v>
      </c>
      <c r="Y1090" s="3">
        <v>45478</v>
      </c>
      <c r="Z1090" s="1">
        <v>2024</v>
      </c>
      <c r="AA1090" s="2">
        <v>215000</v>
      </c>
      <c r="AB1090" s="2"/>
      <c r="AC1090" s="2">
        <v>83750</v>
      </c>
      <c r="AD1090" s="1">
        <v>2</v>
      </c>
      <c r="AG1090" s="1" t="s">
        <v>21</v>
      </c>
      <c r="AI1090" s="2">
        <v>83750</v>
      </c>
      <c r="AK1090" s="1"/>
    </row>
    <row r="1091" spans="1:38" ht="15" customHeight="1" x14ac:dyDescent="0.2">
      <c r="A1091" s="1" t="s">
        <v>19</v>
      </c>
      <c r="B1091" s="5" t="s">
        <v>18</v>
      </c>
      <c r="C1091" s="1" t="s">
        <v>37</v>
      </c>
      <c r="D1091" s="1" t="s">
        <v>211</v>
      </c>
      <c r="E1091" s="1" t="s">
        <v>35</v>
      </c>
      <c r="F1091" s="1" t="s">
        <v>210</v>
      </c>
      <c r="G1091" s="1" t="s">
        <v>209</v>
      </c>
      <c r="H1091" s="1" t="s">
        <v>208</v>
      </c>
      <c r="I1091" s="1" t="s">
        <v>580</v>
      </c>
      <c r="J1091" s="1">
        <v>2023</v>
      </c>
      <c r="K1091" s="1" t="s">
        <v>579</v>
      </c>
      <c r="L1091" s="1" t="s">
        <v>578</v>
      </c>
      <c r="P1091" s="1" t="s">
        <v>577</v>
      </c>
      <c r="Q1091" s="1" t="s">
        <v>27</v>
      </c>
      <c r="R1091" s="1" t="s">
        <v>26</v>
      </c>
      <c r="S1091" s="1" t="s">
        <v>442</v>
      </c>
      <c r="T1091" s="1" t="s">
        <v>441</v>
      </c>
      <c r="U1091" s="1">
        <v>1</v>
      </c>
      <c r="V1091" s="1" t="s">
        <v>432</v>
      </c>
      <c r="W1091" s="1" t="s">
        <v>576</v>
      </c>
      <c r="Y1091" s="3">
        <v>45478</v>
      </c>
      <c r="Z1091" s="1">
        <v>2024</v>
      </c>
      <c r="AA1091" s="2">
        <v>422416.29</v>
      </c>
      <c r="AB1091" s="2"/>
      <c r="AC1091" s="2">
        <v>190000</v>
      </c>
      <c r="AD1091" s="1">
        <v>6</v>
      </c>
      <c r="AG1091" s="1" t="s">
        <v>21</v>
      </c>
      <c r="AI1091" s="2">
        <v>190000</v>
      </c>
      <c r="AK1091" s="1"/>
    </row>
    <row r="1092" spans="1:38" ht="15" customHeight="1" x14ac:dyDescent="0.2">
      <c r="A1092" s="1" t="s">
        <v>19</v>
      </c>
      <c r="B1092" s="5" t="s">
        <v>18</v>
      </c>
      <c r="C1092" s="1" t="s">
        <v>37</v>
      </c>
      <c r="D1092" s="1" t="s">
        <v>211</v>
      </c>
      <c r="E1092" s="1" t="s">
        <v>35</v>
      </c>
      <c r="F1092" s="1" t="s">
        <v>210</v>
      </c>
      <c r="G1092" s="1" t="s">
        <v>209</v>
      </c>
      <c r="H1092" s="1" t="s">
        <v>208</v>
      </c>
      <c r="I1092" s="1" t="s">
        <v>575</v>
      </c>
      <c r="J1092" s="1">
        <v>2023</v>
      </c>
      <c r="K1092" s="1" t="s">
        <v>574</v>
      </c>
      <c r="L1092" s="1" t="s">
        <v>573</v>
      </c>
      <c r="P1092" s="1" t="s">
        <v>572</v>
      </c>
      <c r="Q1092" s="1" t="s">
        <v>27</v>
      </c>
      <c r="R1092" s="1" t="s">
        <v>26</v>
      </c>
      <c r="S1092" s="1" t="s">
        <v>442</v>
      </c>
      <c r="T1092" s="1" t="s">
        <v>441</v>
      </c>
      <c r="U1092" s="1">
        <v>1</v>
      </c>
      <c r="V1092" s="1" t="s">
        <v>432</v>
      </c>
      <c r="W1092" s="1" t="s">
        <v>571</v>
      </c>
      <c r="Y1092" s="3">
        <v>45478</v>
      </c>
      <c r="Z1092" s="1">
        <v>2024</v>
      </c>
      <c r="AA1092" s="2">
        <v>39322.5</v>
      </c>
      <c r="AB1092" s="2"/>
      <c r="AC1092" s="2">
        <v>9830.6299999999992</v>
      </c>
      <c r="AD1092" s="1">
        <v>0</v>
      </c>
      <c r="AG1092" s="1" t="s">
        <v>21</v>
      </c>
      <c r="AI1092" s="2">
        <v>9830.6299999999992</v>
      </c>
      <c r="AK1092" s="1"/>
    </row>
    <row r="1093" spans="1:38" ht="15" customHeight="1" x14ac:dyDescent="0.2">
      <c r="A1093" s="1" t="s">
        <v>19</v>
      </c>
      <c r="B1093" s="5" t="s">
        <v>18</v>
      </c>
      <c r="C1093" s="1" t="s">
        <v>37</v>
      </c>
      <c r="D1093" s="1" t="s">
        <v>211</v>
      </c>
      <c r="E1093" s="1" t="s">
        <v>35</v>
      </c>
      <c r="F1093" s="1" t="s">
        <v>210</v>
      </c>
      <c r="G1093" s="1" t="s">
        <v>209</v>
      </c>
      <c r="H1093" s="1" t="s">
        <v>208</v>
      </c>
      <c r="I1093" s="1" t="s">
        <v>570</v>
      </c>
      <c r="J1093" s="1">
        <v>2023</v>
      </c>
      <c r="K1093" s="1" t="s">
        <v>569</v>
      </c>
      <c r="L1093" s="1" t="s">
        <v>568</v>
      </c>
      <c r="P1093" s="1" t="s">
        <v>567</v>
      </c>
      <c r="Q1093" s="1" t="s">
        <v>27</v>
      </c>
      <c r="R1093" s="1" t="s">
        <v>26</v>
      </c>
      <c r="S1093" s="1" t="s">
        <v>442</v>
      </c>
      <c r="T1093" s="1" t="s">
        <v>441</v>
      </c>
      <c r="U1093" s="1">
        <v>1</v>
      </c>
      <c r="V1093" s="1" t="s">
        <v>432</v>
      </c>
      <c r="W1093" s="1" t="s">
        <v>566</v>
      </c>
      <c r="Y1093" s="3">
        <v>45478</v>
      </c>
      <c r="Z1093" s="1">
        <v>2024</v>
      </c>
      <c r="AA1093" s="2">
        <v>453000</v>
      </c>
      <c r="AB1093" s="2"/>
      <c r="AC1093" s="2">
        <v>145000</v>
      </c>
      <c r="AD1093" s="1">
        <v>3</v>
      </c>
      <c r="AG1093" s="1" t="s">
        <v>21</v>
      </c>
      <c r="AI1093" s="2">
        <v>145000</v>
      </c>
      <c r="AK1093" s="1"/>
    </row>
    <row r="1094" spans="1:38" ht="15" customHeight="1" x14ac:dyDescent="0.2">
      <c r="A1094" s="1" t="s">
        <v>19</v>
      </c>
      <c r="B1094" s="5" t="s">
        <v>18</v>
      </c>
      <c r="C1094" s="1" t="s">
        <v>37</v>
      </c>
      <c r="D1094" s="1" t="s">
        <v>211</v>
      </c>
      <c r="E1094" s="1" t="s">
        <v>35</v>
      </c>
      <c r="F1094" s="1" t="s">
        <v>210</v>
      </c>
      <c r="G1094" s="1" t="s">
        <v>209</v>
      </c>
      <c r="H1094" s="1" t="s">
        <v>208</v>
      </c>
      <c r="I1094" s="1" t="s">
        <v>565</v>
      </c>
      <c r="J1094" s="1">
        <v>2023</v>
      </c>
      <c r="K1094" s="1" t="s">
        <v>564</v>
      </c>
      <c r="L1094" s="1" t="s">
        <v>563</v>
      </c>
      <c r="P1094" s="1" t="s">
        <v>562</v>
      </c>
      <c r="Q1094" s="1" t="s">
        <v>27</v>
      </c>
      <c r="R1094" s="1" t="s">
        <v>26</v>
      </c>
      <c r="S1094" s="1" t="s">
        <v>434</v>
      </c>
      <c r="T1094" s="1" t="s">
        <v>433</v>
      </c>
      <c r="U1094" s="1">
        <v>1</v>
      </c>
      <c r="V1094" s="1" t="s">
        <v>432</v>
      </c>
      <c r="W1094" s="1" t="s">
        <v>561</v>
      </c>
      <c r="Y1094" s="3">
        <v>45478</v>
      </c>
      <c r="Z1094" s="1">
        <v>2024</v>
      </c>
      <c r="AA1094" s="2">
        <v>82629.919999999998</v>
      </c>
      <c r="AB1094" s="2"/>
      <c r="AC1094" s="2">
        <v>41314.959999999999</v>
      </c>
      <c r="AD1094" s="1">
        <v>3</v>
      </c>
      <c r="AG1094" s="1" t="s">
        <v>21</v>
      </c>
      <c r="AI1094" s="2">
        <v>41314.959999999999</v>
      </c>
      <c r="AK1094" s="1"/>
    </row>
    <row r="1095" spans="1:38" ht="15" customHeight="1" x14ac:dyDescent="0.25">
      <c r="A1095" s="1" t="s">
        <v>19</v>
      </c>
      <c r="B1095" s="14" t="s">
        <v>18</v>
      </c>
      <c r="C1095" s="12" t="s">
        <v>37</v>
      </c>
      <c r="D1095" s="1" t="s">
        <v>63</v>
      </c>
      <c r="E1095" s="1" t="s">
        <v>35</v>
      </c>
      <c r="G1095" s="1" t="s">
        <v>202</v>
      </c>
      <c r="H1095" s="1" t="s">
        <v>32</v>
      </c>
      <c r="I1095" s="12" t="s">
        <v>560</v>
      </c>
      <c r="J1095" s="1">
        <v>2024</v>
      </c>
      <c r="K1095" s="1" t="s">
        <v>559</v>
      </c>
      <c r="L1095" s="1" t="s">
        <v>558</v>
      </c>
      <c r="M1095" s="1" t="s">
        <v>0</v>
      </c>
      <c r="P1095" s="1" t="s">
        <v>557</v>
      </c>
      <c r="Q1095" s="1" t="s">
        <v>27</v>
      </c>
      <c r="R1095" s="1" t="s">
        <v>26</v>
      </c>
      <c r="S1095" s="12" t="s">
        <v>503</v>
      </c>
      <c r="T1095" s="12" t="s">
        <v>502</v>
      </c>
      <c r="U1095" s="17">
        <v>1</v>
      </c>
      <c r="V1095" s="12" t="s">
        <v>432</v>
      </c>
      <c r="W1095" s="12" t="s">
        <v>556</v>
      </c>
      <c r="X1095" s="12"/>
      <c r="Y1095" s="13">
        <v>45799</v>
      </c>
      <c r="Z1095" s="12">
        <v>2025</v>
      </c>
      <c r="AA1095" s="11">
        <v>591460.88</v>
      </c>
      <c r="AB1095" s="11"/>
      <c r="AC1095" s="11">
        <v>591460.88</v>
      </c>
      <c r="AD1095" s="2"/>
      <c r="AG1095" s="1" t="s">
        <v>21</v>
      </c>
      <c r="AI1095" s="11">
        <v>591460.88</v>
      </c>
      <c r="AK1095" s="1"/>
    </row>
    <row r="1096" spans="1:38" ht="15" customHeight="1" x14ac:dyDescent="0.25">
      <c r="A1096" s="1" t="s">
        <v>19</v>
      </c>
      <c r="B1096" s="14" t="s">
        <v>18</v>
      </c>
      <c r="C1096" s="12" t="s">
        <v>37</v>
      </c>
      <c r="D1096" s="1" t="s">
        <v>63</v>
      </c>
      <c r="E1096" s="1" t="s">
        <v>35</v>
      </c>
      <c r="G1096" s="1" t="s">
        <v>202</v>
      </c>
      <c r="H1096" s="1" t="s">
        <v>32</v>
      </c>
      <c r="I1096" s="12" t="s">
        <v>555</v>
      </c>
      <c r="J1096" s="1">
        <v>2024</v>
      </c>
      <c r="K1096" s="1" t="s">
        <v>554</v>
      </c>
      <c r="L1096" s="1" t="s">
        <v>552</v>
      </c>
      <c r="M1096" s="1" t="s">
        <v>0</v>
      </c>
      <c r="P1096" s="1" t="s">
        <v>553</v>
      </c>
      <c r="Q1096" s="1" t="s">
        <v>27</v>
      </c>
      <c r="R1096" s="1" t="s">
        <v>26</v>
      </c>
      <c r="S1096" s="12" t="s">
        <v>522</v>
      </c>
      <c r="T1096" s="12" t="s">
        <v>521</v>
      </c>
      <c r="U1096" s="17">
        <v>1</v>
      </c>
      <c r="V1096" s="12" t="s">
        <v>432</v>
      </c>
      <c r="W1096" s="12" t="s">
        <v>552</v>
      </c>
      <c r="X1096" s="12"/>
      <c r="Y1096" s="13">
        <v>45799</v>
      </c>
      <c r="Z1096" s="12">
        <v>2025</v>
      </c>
      <c r="AA1096" s="11">
        <v>3973937.01</v>
      </c>
      <c r="AB1096" s="11"/>
      <c r="AC1096" s="11">
        <v>3973937.01</v>
      </c>
      <c r="AD1096" s="2"/>
      <c r="AG1096" s="1" t="s">
        <v>21</v>
      </c>
      <c r="AI1096" s="11">
        <v>3973937.01</v>
      </c>
      <c r="AK1096" s="1"/>
    </row>
    <row r="1097" spans="1:38" ht="15" customHeight="1" x14ac:dyDescent="0.2">
      <c r="A1097" s="1" t="s">
        <v>19</v>
      </c>
      <c r="B1097" s="5" t="s">
        <v>18</v>
      </c>
      <c r="C1097" s="1" t="s">
        <v>37</v>
      </c>
      <c r="D1097" s="1" t="s">
        <v>63</v>
      </c>
      <c r="E1097" s="1" t="s">
        <v>35</v>
      </c>
      <c r="F1097" s="1" t="s">
        <v>62</v>
      </c>
      <c r="G1097" s="1" t="s">
        <v>61</v>
      </c>
      <c r="H1097" s="1" t="s">
        <v>60</v>
      </c>
      <c r="I1097" s="1" t="s">
        <v>551</v>
      </c>
      <c r="J1097" s="1">
        <v>2020</v>
      </c>
      <c r="K1097" s="1" t="s">
        <v>550</v>
      </c>
      <c r="L1097" s="1" t="s">
        <v>549</v>
      </c>
      <c r="M1097" s="1" t="s">
        <v>548</v>
      </c>
      <c r="N1097" s="1" t="s">
        <v>547</v>
      </c>
      <c r="P1097" s="1" t="s">
        <v>523</v>
      </c>
      <c r="Q1097" s="1" t="s">
        <v>27</v>
      </c>
      <c r="R1097" s="1" t="s">
        <v>26</v>
      </c>
      <c r="S1097" s="1" t="s">
        <v>522</v>
      </c>
      <c r="T1097" s="1" t="s">
        <v>521</v>
      </c>
      <c r="U1097" s="1">
        <v>1</v>
      </c>
      <c r="V1097" s="1" t="s">
        <v>432</v>
      </c>
      <c r="W1097" s="1" t="s">
        <v>546</v>
      </c>
      <c r="X1097" s="1" t="s">
        <v>52</v>
      </c>
      <c r="Y1097" s="3">
        <v>44127</v>
      </c>
      <c r="Z1097" s="1">
        <v>2020</v>
      </c>
      <c r="AA1097" s="2">
        <v>3420000</v>
      </c>
      <c r="AB1097" s="2"/>
      <c r="AC1097" s="2">
        <v>2565000</v>
      </c>
      <c r="AD1097" s="1">
        <v>0</v>
      </c>
      <c r="AF1097" s="1">
        <v>0</v>
      </c>
      <c r="AG1097" s="1" t="s">
        <v>21</v>
      </c>
      <c r="AH1097" s="1" t="s">
        <v>65</v>
      </c>
      <c r="AI1097" s="2">
        <v>1985352.03</v>
      </c>
      <c r="AK1097" s="1"/>
    </row>
    <row r="1098" spans="1:38" ht="15" customHeight="1" x14ac:dyDescent="0.2">
      <c r="A1098" s="5" t="s">
        <v>18</v>
      </c>
      <c r="B1098" s="5" t="s">
        <v>18</v>
      </c>
      <c r="C1098" s="1" t="s">
        <v>37</v>
      </c>
      <c r="D1098" s="1" t="s">
        <v>63</v>
      </c>
      <c r="E1098" s="1" t="s">
        <v>35</v>
      </c>
      <c r="F1098" s="1" t="s">
        <v>62</v>
      </c>
      <c r="G1098" s="1" t="s">
        <v>61</v>
      </c>
      <c r="H1098" s="1" t="s">
        <v>60</v>
      </c>
      <c r="I1098" s="1" t="s">
        <v>543</v>
      </c>
      <c r="J1098" s="1">
        <v>2020</v>
      </c>
      <c r="K1098" s="1" t="s">
        <v>542</v>
      </c>
      <c r="L1098" s="9" t="s">
        <v>545</v>
      </c>
      <c r="P1098" s="1" t="s">
        <v>435</v>
      </c>
      <c r="Q1098" s="1" t="s">
        <v>27</v>
      </c>
      <c r="R1098" s="1" t="s">
        <v>26</v>
      </c>
      <c r="S1098" s="1" t="s">
        <v>434</v>
      </c>
      <c r="T1098" s="1" t="s">
        <v>433</v>
      </c>
      <c r="U1098" s="1">
        <v>1</v>
      </c>
      <c r="V1098" s="1" t="s">
        <v>432</v>
      </c>
      <c r="W1098" s="1" t="s">
        <v>544</v>
      </c>
      <c r="Y1098" s="3">
        <v>44127</v>
      </c>
      <c r="Z1098" s="1">
        <v>2020</v>
      </c>
      <c r="AA1098" s="2">
        <v>756402.97</v>
      </c>
      <c r="AB1098" s="2"/>
      <c r="AC1098" s="2">
        <v>567302.23</v>
      </c>
      <c r="AD1098" s="1">
        <v>0</v>
      </c>
      <c r="AG1098" s="1" t="s">
        <v>21</v>
      </c>
      <c r="AH1098" s="1" t="s">
        <v>51</v>
      </c>
      <c r="AI1098" s="2">
        <v>567302.23</v>
      </c>
      <c r="AK1098" s="1"/>
      <c r="AL1098" s="9" t="s">
        <v>539</v>
      </c>
    </row>
    <row r="1099" spans="1:38" ht="15" customHeight="1" x14ac:dyDescent="0.2">
      <c r="A1099" s="5" t="s">
        <v>18</v>
      </c>
      <c r="B1099" s="5" t="s">
        <v>18</v>
      </c>
      <c r="C1099" s="1" t="s">
        <v>37</v>
      </c>
      <c r="D1099" s="1" t="s">
        <v>63</v>
      </c>
      <c r="E1099" s="1" t="s">
        <v>35</v>
      </c>
      <c r="F1099" s="1" t="s">
        <v>62</v>
      </c>
      <c r="G1099" s="1" t="s">
        <v>61</v>
      </c>
      <c r="H1099" s="1" t="s">
        <v>60</v>
      </c>
      <c r="I1099" s="1" t="s">
        <v>543</v>
      </c>
      <c r="J1099" s="1">
        <v>2020</v>
      </c>
      <c r="K1099" s="1" t="s">
        <v>542</v>
      </c>
      <c r="L1099" s="9" t="s">
        <v>541</v>
      </c>
      <c r="P1099" s="1" t="s">
        <v>443</v>
      </c>
      <c r="Q1099" s="1" t="s">
        <v>27</v>
      </c>
      <c r="R1099" s="1" t="s">
        <v>26</v>
      </c>
      <c r="S1099" s="1" t="s">
        <v>442</v>
      </c>
      <c r="T1099" s="1" t="s">
        <v>441</v>
      </c>
      <c r="U1099" s="1">
        <v>1</v>
      </c>
      <c r="V1099" s="1" t="s">
        <v>432</v>
      </c>
      <c r="W1099" s="9" t="s">
        <v>540</v>
      </c>
      <c r="Y1099" s="3">
        <v>44127</v>
      </c>
      <c r="Z1099" s="1">
        <v>2020</v>
      </c>
      <c r="AA1099" s="2">
        <v>764193.85</v>
      </c>
      <c r="AB1099" s="2"/>
      <c r="AC1099" s="2">
        <v>573145.39</v>
      </c>
      <c r="AD1099" s="1">
        <v>0</v>
      </c>
      <c r="AG1099" s="1" t="s">
        <v>21</v>
      </c>
      <c r="AH1099" s="1" t="s">
        <v>51</v>
      </c>
      <c r="AI1099" s="2">
        <v>573145.39</v>
      </c>
      <c r="AK1099" s="1"/>
      <c r="AL1099" s="9" t="s">
        <v>539</v>
      </c>
    </row>
    <row r="1100" spans="1:38" ht="15" customHeight="1" x14ac:dyDescent="0.2">
      <c r="A1100" s="1" t="s">
        <v>19</v>
      </c>
      <c r="B1100" s="5" t="s">
        <v>18</v>
      </c>
      <c r="C1100" s="1" t="s">
        <v>37</v>
      </c>
      <c r="D1100" s="1" t="s">
        <v>63</v>
      </c>
      <c r="E1100" s="1" t="s">
        <v>35</v>
      </c>
      <c r="F1100" s="1" t="s">
        <v>62</v>
      </c>
      <c r="G1100" s="1" t="s">
        <v>61</v>
      </c>
      <c r="H1100" s="1" t="s">
        <v>60</v>
      </c>
      <c r="I1100" s="1" t="s">
        <v>538</v>
      </c>
      <c r="J1100" s="1">
        <v>2020</v>
      </c>
      <c r="K1100" s="1" t="s">
        <v>537</v>
      </c>
      <c r="L1100" s="1" t="s">
        <v>535</v>
      </c>
      <c r="N1100" s="1" t="s">
        <v>536</v>
      </c>
      <c r="P1100" s="1" t="s">
        <v>435</v>
      </c>
      <c r="Q1100" s="1" t="s">
        <v>27</v>
      </c>
      <c r="R1100" s="1" t="s">
        <v>26</v>
      </c>
      <c r="S1100" s="1" t="s">
        <v>434</v>
      </c>
      <c r="T1100" s="1" t="s">
        <v>433</v>
      </c>
      <c r="U1100" s="1">
        <v>1</v>
      </c>
      <c r="V1100" s="1" t="s">
        <v>432</v>
      </c>
      <c r="W1100" s="1" t="s">
        <v>535</v>
      </c>
      <c r="X1100" s="1" t="s">
        <v>52</v>
      </c>
      <c r="Y1100" s="3">
        <v>44127</v>
      </c>
      <c r="Z1100" s="1">
        <v>2020</v>
      </c>
      <c r="AA1100" s="2">
        <v>9900000</v>
      </c>
      <c r="AB1100" s="2"/>
      <c r="AC1100" s="2">
        <v>7425000</v>
      </c>
      <c r="AD1100" s="1">
        <v>0</v>
      </c>
      <c r="AF1100" s="1">
        <v>0</v>
      </c>
      <c r="AG1100" s="1" t="s">
        <v>21</v>
      </c>
      <c r="AH1100" s="1" t="s">
        <v>51</v>
      </c>
      <c r="AI1100" s="2">
        <v>7425000</v>
      </c>
      <c r="AK1100" s="1"/>
      <c r="AL1100" s="1" t="s">
        <v>88</v>
      </c>
    </row>
    <row r="1101" spans="1:38" ht="15" customHeight="1" x14ac:dyDescent="0.2">
      <c r="A1101" s="1" t="s">
        <v>19</v>
      </c>
      <c r="B1101" s="5" t="s">
        <v>18</v>
      </c>
      <c r="C1101" s="1" t="s">
        <v>37</v>
      </c>
      <c r="D1101" s="1" t="s">
        <v>63</v>
      </c>
      <c r="E1101" s="1" t="s">
        <v>35</v>
      </c>
      <c r="F1101" s="1" t="s">
        <v>62</v>
      </c>
      <c r="G1101" s="1" t="s">
        <v>61</v>
      </c>
      <c r="H1101" s="1" t="s">
        <v>60</v>
      </c>
      <c r="I1101" s="1" t="s">
        <v>534</v>
      </c>
      <c r="J1101" s="1">
        <v>2020</v>
      </c>
      <c r="K1101" s="1" t="s">
        <v>533</v>
      </c>
      <c r="L1101" s="1" t="s">
        <v>532</v>
      </c>
      <c r="M1101" s="1" t="s">
        <v>531</v>
      </c>
      <c r="P1101" s="1" t="s">
        <v>523</v>
      </c>
      <c r="Q1101" s="1" t="s">
        <v>27</v>
      </c>
      <c r="R1101" s="1" t="s">
        <v>26</v>
      </c>
      <c r="S1101" s="1" t="s">
        <v>522</v>
      </c>
      <c r="T1101" s="1" t="s">
        <v>521</v>
      </c>
      <c r="U1101" s="1">
        <v>1</v>
      </c>
      <c r="V1101" s="1" t="s">
        <v>432</v>
      </c>
      <c r="W1101" s="1" t="s">
        <v>530</v>
      </c>
      <c r="X1101" s="1" t="s">
        <v>529</v>
      </c>
      <c r="Y1101" s="3">
        <v>44127</v>
      </c>
      <c r="Z1101" s="1">
        <v>2020</v>
      </c>
      <c r="AA1101" s="2">
        <v>1000000</v>
      </c>
      <c r="AB1101" s="2"/>
      <c r="AC1101" s="2">
        <v>750000</v>
      </c>
      <c r="AD1101" s="1">
        <v>0</v>
      </c>
      <c r="AF1101" s="1">
        <v>0</v>
      </c>
      <c r="AG1101" s="1" t="s">
        <v>21</v>
      </c>
      <c r="AH1101" s="1" t="s">
        <v>65</v>
      </c>
      <c r="AI1101" s="2">
        <v>701581.36</v>
      </c>
      <c r="AK1101" s="1"/>
      <c r="AL1101" s="1" t="s">
        <v>528</v>
      </c>
    </row>
    <row r="1102" spans="1:38" ht="15" customHeight="1" x14ac:dyDescent="0.2">
      <c r="A1102" s="1" t="s">
        <v>19</v>
      </c>
      <c r="B1102" s="5" t="s">
        <v>18</v>
      </c>
      <c r="C1102" s="1" t="s">
        <v>37</v>
      </c>
      <c r="D1102" s="1" t="s">
        <v>63</v>
      </c>
      <c r="E1102" s="1" t="s">
        <v>35</v>
      </c>
      <c r="F1102" s="1" t="s">
        <v>62</v>
      </c>
      <c r="G1102" s="1" t="s">
        <v>61</v>
      </c>
      <c r="H1102" s="1" t="s">
        <v>509</v>
      </c>
      <c r="I1102" s="1" t="s">
        <v>527</v>
      </c>
      <c r="J1102" s="1">
        <v>2020</v>
      </c>
      <c r="K1102" s="1" t="s">
        <v>526</v>
      </c>
      <c r="L1102" s="1" t="s">
        <v>525</v>
      </c>
      <c r="M1102" s="1" t="s">
        <v>524</v>
      </c>
      <c r="P1102" s="1" t="s">
        <v>523</v>
      </c>
      <c r="Q1102" s="1" t="s">
        <v>27</v>
      </c>
      <c r="R1102" s="1" t="s">
        <v>26</v>
      </c>
      <c r="S1102" s="1" t="s">
        <v>522</v>
      </c>
      <c r="T1102" s="1" t="s">
        <v>521</v>
      </c>
      <c r="U1102" s="1">
        <v>1</v>
      </c>
      <c r="V1102" s="1" t="s">
        <v>432</v>
      </c>
      <c r="W1102" s="1" t="s">
        <v>520</v>
      </c>
      <c r="X1102" s="1" t="s">
        <v>52</v>
      </c>
      <c r="Y1102" s="3">
        <v>44127</v>
      </c>
      <c r="Z1102" s="1">
        <v>2020</v>
      </c>
      <c r="AA1102" s="2">
        <v>1423907.35</v>
      </c>
      <c r="AB1102" s="2"/>
      <c r="AC1102" s="2">
        <v>1067930.5125000002</v>
      </c>
      <c r="AD1102" s="1">
        <v>1</v>
      </c>
      <c r="AF1102" s="1">
        <v>0</v>
      </c>
      <c r="AG1102" s="1" t="s">
        <v>21</v>
      </c>
      <c r="AH1102" s="1" t="s">
        <v>51</v>
      </c>
      <c r="AI1102" s="2">
        <v>1067930.5125000002</v>
      </c>
      <c r="AK1102" s="1"/>
      <c r="AL1102" s="1" t="s">
        <v>500</v>
      </c>
    </row>
    <row r="1103" spans="1:38" ht="15" customHeight="1" x14ac:dyDescent="0.2">
      <c r="A1103" s="1" t="s">
        <v>19</v>
      </c>
      <c r="B1103" s="5" t="s">
        <v>18</v>
      </c>
      <c r="C1103" s="1" t="s">
        <v>37</v>
      </c>
      <c r="D1103" s="1" t="s">
        <v>63</v>
      </c>
      <c r="E1103" s="1" t="s">
        <v>35</v>
      </c>
      <c r="F1103" s="1" t="s">
        <v>62</v>
      </c>
      <c r="G1103" s="1" t="s">
        <v>61</v>
      </c>
      <c r="H1103" s="1" t="s">
        <v>60</v>
      </c>
      <c r="I1103" s="1" t="s">
        <v>519</v>
      </c>
      <c r="J1103" s="1">
        <v>2020</v>
      </c>
      <c r="K1103" s="1" t="s">
        <v>518</v>
      </c>
      <c r="L1103" s="1" t="s">
        <v>517</v>
      </c>
      <c r="M1103" s="1" t="s">
        <v>516</v>
      </c>
      <c r="N1103" s="1" t="s">
        <v>515</v>
      </c>
      <c r="P1103" s="1" t="s">
        <v>514</v>
      </c>
      <c r="Q1103" s="1" t="s">
        <v>27</v>
      </c>
      <c r="R1103" s="1" t="s">
        <v>26</v>
      </c>
      <c r="S1103" s="1" t="s">
        <v>513</v>
      </c>
      <c r="T1103" s="1" t="s">
        <v>512</v>
      </c>
      <c r="U1103" s="1">
        <v>1</v>
      </c>
      <c r="V1103" s="1" t="s">
        <v>432</v>
      </c>
      <c r="W1103" s="1" t="s">
        <v>511</v>
      </c>
      <c r="X1103" s="1" t="s">
        <v>52</v>
      </c>
      <c r="Y1103" s="3">
        <v>44127</v>
      </c>
      <c r="Z1103" s="1">
        <v>2020</v>
      </c>
      <c r="AA1103" s="2">
        <v>694000</v>
      </c>
      <c r="AB1103" s="2"/>
      <c r="AC1103" s="2">
        <v>520500</v>
      </c>
      <c r="AD1103" s="1">
        <v>0</v>
      </c>
      <c r="AF1103" s="1">
        <v>8</v>
      </c>
      <c r="AG1103" s="1" t="s">
        <v>21</v>
      </c>
      <c r="AH1103" s="1" t="s">
        <v>65</v>
      </c>
      <c r="AI1103" s="2">
        <v>379845.48</v>
      </c>
      <c r="AK1103" s="1"/>
      <c r="AL1103" s="1" t="s">
        <v>510</v>
      </c>
    </row>
    <row r="1104" spans="1:38" ht="15" customHeight="1" x14ac:dyDescent="0.2">
      <c r="A1104" s="1" t="s">
        <v>19</v>
      </c>
      <c r="B1104" s="5" t="s">
        <v>18</v>
      </c>
      <c r="C1104" s="1" t="s">
        <v>37</v>
      </c>
      <c r="D1104" s="1" t="s">
        <v>63</v>
      </c>
      <c r="E1104" s="1" t="s">
        <v>35</v>
      </c>
      <c r="F1104" s="1" t="s">
        <v>62</v>
      </c>
      <c r="G1104" s="1" t="s">
        <v>61</v>
      </c>
      <c r="H1104" s="1" t="s">
        <v>509</v>
      </c>
      <c r="I1104" s="1" t="s">
        <v>508</v>
      </c>
      <c r="J1104" s="1">
        <v>2020</v>
      </c>
      <c r="K1104" s="1" t="s">
        <v>507</v>
      </c>
      <c r="L1104" s="1" t="s">
        <v>506</v>
      </c>
      <c r="N1104" s="1" t="s">
        <v>505</v>
      </c>
      <c r="P1104" s="1" t="s">
        <v>504</v>
      </c>
      <c r="Q1104" s="1" t="s">
        <v>27</v>
      </c>
      <c r="R1104" s="1" t="s">
        <v>26</v>
      </c>
      <c r="S1104" s="1" t="s">
        <v>503</v>
      </c>
      <c r="T1104" s="1" t="s">
        <v>502</v>
      </c>
      <c r="U1104" s="1">
        <v>1</v>
      </c>
      <c r="V1104" s="1" t="s">
        <v>432</v>
      </c>
      <c r="W1104" s="1" t="s">
        <v>501</v>
      </c>
      <c r="X1104" s="1" t="s">
        <v>52</v>
      </c>
      <c r="Y1104" s="3">
        <v>44127</v>
      </c>
      <c r="Z1104" s="1">
        <v>2020</v>
      </c>
      <c r="AA1104" s="2">
        <v>1031595.72</v>
      </c>
      <c r="AB1104" s="2"/>
      <c r="AC1104" s="2">
        <v>773696.79</v>
      </c>
      <c r="AD1104" s="1">
        <v>1</v>
      </c>
      <c r="AF1104" s="1">
        <v>3</v>
      </c>
      <c r="AG1104" s="1" t="s">
        <v>21</v>
      </c>
      <c r="AH1104" s="1" t="s">
        <v>51</v>
      </c>
      <c r="AI1104" s="2">
        <v>773696.79</v>
      </c>
      <c r="AK1104" s="1"/>
      <c r="AL1104" s="1" t="s">
        <v>500</v>
      </c>
    </row>
    <row r="1105" spans="1:38" ht="15" customHeight="1" x14ac:dyDescent="0.2">
      <c r="A1105" s="1" t="s">
        <v>19</v>
      </c>
      <c r="B1105" s="5" t="s">
        <v>18</v>
      </c>
      <c r="C1105" s="1" t="s">
        <v>37</v>
      </c>
      <c r="D1105" s="1" t="s">
        <v>63</v>
      </c>
      <c r="E1105" s="1" t="s">
        <v>35</v>
      </c>
      <c r="F1105" s="1" t="s">
        <v>62</v>
      </c>
      <c r="G1105" s="1" t="s">
        <v>61</v>
      </c>
      <c r="H1105" s="1" t="s">
        <v>60</v>
      </c>
      <c r="I1105" s="1" t="s">
        <v>499</v>
      </c>
      <c r="J1105" s="1">
        <v>2020</v>
      </c>
      <c r="K1105" s="1" t="s">
        <v>498</v>
      </c>
      <c r="L1105" s="1" t="s">
        <v>497</v>
      </c>
      <c r="M1105" s="1" t="s">
        <v>496</v>
      </c>
      <c r="P1105" s="1" t="s">
        <v>435</v>
      </c>
      <c r="Q1105" s="1" t="s">
        <v>27</v>
      </c>
      <c r="R1105" s="1" t="s">
        <v>26</v>
      </c>
      <c r="S1105" s="1" t="s">
        <v>434</v>
      </c>
      <c r="T1105" s="1" t="s">
        <v>433</v>
      </c>
      <c r="U1105" s="1">
        <v>1</v>
      </c>
      <c r="V1105" s="1" t="s">
        <v>432</v>
      </c>
      <c r="W1105" s="1" t="s">
        <v>495</v>
      </c>
      <c r="X1105" s="1" t="s">
        <v>52</v>
      </c>
      <c r="Y1105" s="3">
        <v>44127</v>
      </c>
      <c r="Z1105" s="1">
        <v>2020</v>
      </c>
      <c r="AA1105" s="2">
        <v>162000</v>
      </c>
      <c r="AB1105" s="2"/>
      <c r="AC1105" s="2">
        <v>121500</v>
      </c>
      <c r="AD1105" s="1">
        <v>0</v>
      </c>
      <c r="AF1105" s="1">
        <v>15</v>
      </c>
      <c r="AG1105" s="1" t="s">
        <v>21</v>
      </c>
      <c r="AH1105" s="1" t="s">
        <v>65</v>
      </c>
      <c r="AI1105" s="2">
        <v>107218.99</v>
      </c>
      <c r="AK1105" s="1"/>
      <c r="AL1105" s="1" t="s">
        <v>494</v>
      </c>
    </row>
    <row r="1106" spans="1:38" ht="15" customHeight="1" x14ac:dyDescent="0.2">
      <c r="A1106" s="1" t="s">
        <v>19</v>
      </c>
      <c r="B1106" s="5" t="s">
        <v>18</v>
      </c>
      <c r="C1106" s="1" t="s">
        <v>37</v>
      </c>
      <c r="D1106" s="1" t="s">
        <v>63</v>
      </c>
      <c r="E1106" s="1" t="s">
        <v>35</v>
      </c>
      <c r="F1106" s="1" t="s">
        <v>62</v>
      </c>
      <c r="G1106" s="1" t="s">
        <v>61</v>
      </c>
      <c r="H1106" s="1" t="s">
        <v>60</v>
      </c>
      <c r="I1106" s="1" t="s">
        <v>493</v>
      </c>
      <c r="J1106" s="1">
        <v>2020</v>
      </c>
      <c r="K1106" s="1" t="s">
        <v>492</v>
      </c>
      <c r="L1106" s="1" t="s">
        <v>491</v>
      </c>
      <c r="M1106" s="1" t="s">
        <v>490</v>
      </c>
      <c r="N1106" s="1" t="s">
        <v>489</v>
      </c>
      <c r="P1106" s="1" t="s">
        <v>458</v>
      </c>
      <c r="Q1106" s="1" t="s">
        <v>27</v>
      </c>
      <c r="R1106" s="1" t="s">
        <v>26</v>
      </c>
      <c r="S1106" s="1" t="s">
        <v>457</v>
      </c>
      <c r="T1106" s="1" t="s">
        <v>456</v>
      </c>
      <c r="U1106" s="1">
        <v>1</v>
      </c>
      <c r="V1106" s="1" t="s">
        <v>432</v>
      </c>
      <c r="W1106" s="1" t="s">
        <v>488</v>
      </c>
      <c r="X1106" s="1" t="s">
        <v>52</v>
      </c>
      <c r="Y1106" s="3">
        <v>44127</v>
      </c>
      <c r="Z1106" s="1">
        <v>2020</v>
      </c>
      <c r="AA1106" s="2">
        <v>40000</v>
      </c>
      <c r="AB1106" s="2"/>
      <c r="AC1106" s="2">
        <v>30000</v>
      </c>
      <c r="AD1106" s="1">
        <v>0</v>
      </c>
      <c r="AF1106" s="1" t="s">
        <v>120</v>
      </c>
      <c r="AG1106" s="1" t="s">
        <v>21</v>
      </c>
      <c r="AH1106" s="1" t="s">
        <v>65</v>
      </c>
      <c r="AI1106" s="2">
        <v>23449.87</v>
      </c>
      <c r="AK1106" s="1"/>
      <c r="AL1106" s="1" t="s">
        <v>487</v>
      </c>
    </row>
    <row r="1107" spans="1:38" ht="15" customHeight="1" x14ac:dyDescent="0.2">
      <c r="A1107" s="1" t="s">
        <v>19</v>
      </c>
      <c r="B1107" s="5" t="s">
        <v>18</v>
      </c>
      <c r="C1107" s="1" t="s">
        <v>37</v>
      </c>
      <c r="D1107" s="1" t="s">
        <v>63</v>
      </c>
      <c r="E1107" s="1" t="s">
        <v>35</v>
      </c>
      <c r="F1107" s="1" t="s">
        <v>62</v>
      </c>
      <c r="G1107" s="1" t="s">
        <v>61</v>
      </c>
      <c r="H1107" s="1" t="s">
        <v>60</v>
      </c>
      <c r="I1107" s="1" t="s">
        <v>486</v>
      </c>
      <c r="J1107" s="1">
        <v>2020</v>
      </c>
      <c r="K1107" s="1" t="s">
        <v>485</v>
      </c>
      <c r="L1107" s="1" t="s">
        <v>484</v>
      </c>
      <c r="M1107" s="1" t="s">
        <v>483</v>
      </c>
      <c r="N1107" s="1" t="s">
        <v>482</v>
      </c>
      <c r="P1107" s="1" t="s">
        <v>435</v>
      </c>
      <c r="Q1107" s="1" t="s">
        <v>27</v>
      </c>
      <c r="R1107" s="1" t="s">
        <v>26</v>
      </c>
      <c r="S1107" s="1" t="s">
        <v>434</v>
      </c>
      <c r="T1107" s="1" t="s">
        <v>433</v>
      </c>
      <c r="U1107" s="1">
        <v>1</v>
      </c>
      <c r="V1107" s="1" t="s">
        <v>432</v>
      </c>
      <c r="W1107" s="1" t="s">
        <v>481</v>
      </c>
      <c r="X1107" s="1" t="s">
        <v>52</v>
      </c>
      <c r="Y1107" s="3">
        <v>44127</v>
      </c>
      <c r="Z1107" s="1">
        <v>2020</v>
      </c>
      <c r="AA1107" s="2">
        <v>7000000</v>
      </c>
      <c r="AB1107" s="2"/>
      <c r="AC1107" s="2">
        <v>5250000</v>
      </c>
      <c r="AD1107" s="1">
        <v>0</v>
      </c>
      <c r="AF1107" s="1">
        <v>0</v>
      </c>
      <c r="AG1107" s="1" t="s">
        <v>21</v>
      </c>
      <c r="AH1107" s="1" t="s">
        <v>65</v>
      </c>
      <c r="AI1107" s="2">
        <v>5243132.41</v>
      </c>
      <c r="AK1107" s="1"/>
      <c r="AL1107" s="1" t="s">
        <v>480</v>
      </c>
    </row>
    <row r="1108" spans="1:38" ht="15" customHeight="1" x14ac:dyDescent="0.2">
      <c r="A1108" s="1" t="s">
        <v>19</v>
      </c>
      <c r="B1108" s="5" t="s">
        <v>18</v>
      </c>
      <c r="C1108" s="1" t="s">
        <v>37</v>
      </c>
      <c r="D1108" s="1" t="s">
        <v>63</v>
      </c>
      <c r="E1108" s="1" t="s">
        <v>35</v>
      </c>
      <c r="F1108" s="1" t="s">
        <v>62</v>
      </c>
      <c r="G1108" s="1" t="s">
        <v>61</v>
      </c>
      <c r="H1108" s="1" t="s">
        <v>60</v>
      </c>
      <c r="I1108" s="1" t="s">
        <v>479</v>
      </c>
      <c r="J1108" s="1">
        <v>2020</v>
      </c>
      <c r="K1108" s="1" t="s">
        <v>475</v>
      </c>
      <c r="L1108" s="1" t="s">
        <v>478</v>
      </c>
      <c r="M1108" s="1" t="s">
        <v>477</v>
      </c>
      <c r="N1108" s="1" t="s">
        <v>476</v>
      </c>
      <c r="P1108" s="1" t="s">
        <v>443</v>
      </c>
      <c r="Q1108" s="1" t="s">
        <v>27</v>
      </c>
      <c r="R1108" s="1" t="s">
        <v>26</v>
      </c>
      <c r="S1108" s="1" t="s">
        <v>442</v>
      </c>
      <c r="T1108" s="1" t="s">
        <v>441</v>
      </c>
      <c r="U1108" s="1">
        <v>1</v>
      </c>
      <c r="V1108" s="1" t="s">
        <v>432</v>
      </c>
      <c r="W1108" s="1" t="s">
        <v>475</v>
      </c>
      <c r="Y1108" s="3">
        <v>44127</v>
      </c>
      <c r="Z1108" s="1">
        <v>2020</v>
      </c>
      <c r="AA1108" s="2">
        <v>10463665</v>
      </c>
      <c r="AB1108" s="2"/>
      <c r="AC1108" s="2">
        <v>7847748.75</v>
      </c>
      <c r="AD1108" s="1">
        <v>12</v>
      </c>
      <c r="AF1108" s="1">
        <v>60</v>
      </c>
      <c r="AG1108" s="1" t="s">
        <v>21</v>
      </c>
      <c r="AH1108" s="1" t="s">
        <v>51</v>
      </c>
      <c r="AI1108" s="2">
        <v>7847748.75</v>
      </c>
      <c r="AK1108" s="1"/>
      <c r="AL1108" s="1" t="s">
        <v>474</v>
      </c>
    </row>
    <row r="1109" spans="1:38" ht="15" customHeight="1" x14ac:dyDescent="0.2">
      <c r="A1109" s="1" t="s">
        <v>19</v>
      </c>
      <c r="B1109" s="5" t="s">
        <v>18</v>
      </c>
      <c r="C1109" s="1" t="s">
        <v>37</v>
      </c>
      <c r="D1109" s="1" t="s">
        <v>63</v>
      </c>
      <c r="E1109" s="1" t="s">
        <v>35</v>
      </c>
      <c r="F1109" s="1" t="s">
        <v>62</v>
      </c>
      <c r="G1109" s="1" t="s">
        <v>61</v>
      </c>
      <c r="H1109" s="1" t="s">
        <v>60</v>
      </c>
      <c r="I1109" s="1" t="s">
        <v>473</v>
      </c>
      <c r="J1109" s="1">
        <v>2020</v>
      </c>
      <c r="K1109" s="1" t="s">
        <v>472</v>
      </c>
      <c r="L1109" s="1" t="s">
        <v>471</v>
      </c>
      <c r="M1109" s="1" t="s">
        <v>470</v>
      </c>
      <c r="N1109" s="1" t="s">
        <v>469</v>
      </c>
      <c r="P1109" s="1" t="s">
        <v>468</v>
      </c>
      <c r="Q1109" s="1" t="s">
        <v>27</v>
      </c>
      <c r="R1109" s="1" t="s">
        <v>26</v>
      </c>
      <c r="S1109" s="1" t="s">
        <v>467</v>
      </c>
      <c r="T1109" s="1" t="s">
        <v>466</v>
      </c>
      <c r="U1109" s="1">
        <v>1</v>
      </c>
      <c r="V1109" s="1" t="s">
        <v>432</v>
      </c>
      <c r="W1109" s="1" t="s">
        <v>465</v>
      </c>
      <c r="X1109" s="1" t="s">
        <v>464</v>
      </c>
      <c r="Y1109" s="3">
        <v>44127</v>
      </c>
      <c r="Z1109" s="1">
        <v>2020</v>
      </c>
      <c r="AA1109" s="2">
        <v>1900000</v>
      </c>
      <c r="AB1109" s="2"/>
      <c r="AC1109" s="2">
        <v>1425000</v>
      </c>
      <c r="AD1109" s="1">
        <v>3</v>
      </c>
      <c r="AF1109" s="1">
        <v>7</v>
      </c>
      <c r="AG1109" s="1" t="s">
        <v>21</v>
      </c>
      <c r="AH1109" s="1" t="s">
        <v>65</v>
      </c>
      <c r="AI1109" s="2">
        <v>1425000</v>
      </c>
      <c r="AK1109" s="1"/>
      <c r="AL1109" s="1" t="s">
        <v>463</v>
      </c>
    </row>
    <row r="1110" spans="1:38" ht="15" customHeight="1" x14ac:dyDescent="0.2">
      <c r="A1110" s="1" t="s">
        <v>19</v>
      </c>
      <c r="B1110" s="5" t="s">
        <v>18</v>
      </c>
      <c r="C1110" s="1" t="s">
        <v>37</v>
      </c>
      <c r="D1110" s="1" t="s">
        <v>63</v>
      </c>
      <c r="E1110" s="1" t="s">
        <v>35</v>
      </c>
      <c r="F1110" s="1" t="s">
        <v>62</v>
      </c>
      <c r="G1110" s="1" t="s">
        <v>61</v>
      </c>
      <c r="H1110" s="1" t="s">
        <v>60</v>
      </c>
      <c r="I1110" s="1" t="s">
        <v>462</v>
      </c>
      <c r="J1110" s="1">
        <v>2020</v>
      </c>
      <c r="K1110" s="1" t="s">
        <v>455</v>
      </c>
      <c r="L1110" s="1" t="s">
        <v>461</v>
      </c>
      <c r="M1110" s="1" t="s">
        <v>460</v>
      </c>
      <c r="N1110" s="1" t="s">
        <v>459</v>
      </c>
      <c r="P1110" s="1" t="s">
        <v>458</v>
      </c>
      <c r="Q1110" s="1" t="s">
        <v>27</v>
      </c>
      <c r="R1110" s="1" t="s">
        <v>26</v>
      </c>
      <c r="S1110" s="1" t="s">
        <v>457</v>
      </c>
      <c r="T1110" s="1" t="s">
        <v>456</v>
      </c>
      <c r="U1110" s="1">
        <v>1</v>
      </c>
      <c r="V1110" s="1" t="s">
        <v>432</v>
      </c>
      <c r="W1110" s="1" t="s">
        <v>455</v>
      </c>
      <c r="X1110" s="1" t="s">
        <v>52</v>
      </c>
      <c r="Y1110" s="3">
        <v>44127</v>
      </c>
      <c r="Z1110" s="1">
        <v>2020</v>
      </c>
      <c r="AA1110" s="2">
        <v>700000</v>
      </c>
      <c r="AB1110" s="2"/>
      <c r="AC1110" s="2">
        <v>525000</v>
      </c>
      <c r="AD1110" s="1">
        <v>0</v>
      </c>
      <c r="AF1110" s="1" t="s">
        <v>120</v>
      </c>
      <c r="AG1110" s="1" t="s">
        <v>21</v>
      </c>
      <c r="AH1110" s="1" t="s">
        <v>51</v>
      </c>
      <c r="AI1110" s="2">
        <v>525000</v>
      </c>
      <c r="AK1110" s="1"/>
      <c r="AL1110" s="1" t="s">
        <v>454</v>
      </c>
    </row>
    <row r="1111" spans="1:38" ht="15" customHeight="1" x14ac:dyDescent="0.2">
      <c r="A1111" s="1" t="s">
        <v>19</v>
      </c>
      <c r="B1111" s="5" t="s">
        <v>18</v>
      </c>
      <c r="C1111" s="1" t="s">
        <v>37</v>
      </c>
      <c r="D1111" s="1" t="s">
        <v>63</v>
      </c>
      <c r="E1111" s="1" t="s">
        <v>35</v>
      </c>
      <c r="F1111" s="1" t="s">
        <v>62</v>
      </c>
      <c r="G1111" s="1" t="s">
        <v>61</v>
      </c>
      <c r="H1111" s="1" t="s">
        <v>60</v>
      </c>
      <c r="I1111" s="1" t="s">
        <v>453</v>
      </c>
      <c r="J1111" s="1">
        <v>2020</v>
      </c>
      <c r="K1111" s="1" t="s">
        <v>452</v>
      </c>
      <c r="L1111" s="1" t="s">
        <v>449</v>
      </c>
      <c r="M1111" s="1" t="s">
        <v>451</v>
      </c>
      <c r="N1111" s="1" t="s">
        <v>450</v>
      </c>
      <c r="P1111" s="1" t="s">
        <v>435</v>
      </c>
      <c r="Q1111" s="1" t="s">
        <v>27</v>
      </c>
      <c r="R1111" s="1" t="s">
        <v>26</v>
      </c>
      <c r="S1111" s="1" t="s">
        <v>434</v>
      </c>
      <c r="T1111" s="1" t="s">
        <v>433</v>
      </c>
      <c r="U1111" s="1">
        <v>1</v>
      </c>
      <c r="V1111" s="1" t="s">
        <v>432</v>
      </c>
      <c r="W1111" s="1" t="s">
        <v>449</v>
      </c>
      <c r="X1111" s="1" t="s">
        <v>52</v>
      </c>
      <c r="Y1111" s="3">
        <v>44127</v>
      </c>
      <c r="Z1111" s="1">
        <v>2020</v>
      </c>
      <c r="AA1111" s="2">
        <v>2630000</v>
      </c>
      <c r="AB1111" s="2"/>
      <c r="AC1111" s="2">
        <v>1972500</v>
      </c>
      <c r="AD1111" s="1">
        <v>0</v>
      </c>
      <c r="AF1111" s="1">
        <v>15</v>
      </c>
      <c r="AG1111" s="1" t="s">
        <v>21</v>
      </c>
      <c r="AH1111" s="1" t="s">
        <v>65</v>
      </c>
      <c r="AI1111" s="2">
        <v>1972500</v>
      </c>
      <c r="AK1111" s="1"/>
      <c r="AL1111" s="1" t="s">
        <v>448</v>
      </c>
    </row>
    <row r="1112" spans="1:38" ht="15" customHeight="1" x14ac:dyDescent="0.2">
      <c r="A1112" s="1" t="s">
        <v>19</v>
      </c>
      <c r="B1112" s="5" t="s">
        <v>18</v>
      </c>
      <c r="C1112" s="1" t="s">
        <v>37</v>
      </c>
      <c r="D1112" s="1" t="s">
        <v>63</v>
      </c>
      <c r="E1112" s="1" t="s">
        <v>35</v>
      </c>
      <c r="F1112" s="1" t="s">
        <v>62</v>
      </c>
      <c r="G1112" s="1" t="s">
        <v>61</v>
      </c>
      <c r="H1112" s="1" t="s">
        <v>60</v>
      </c>
      <c r="I1112" s="1" t="s">
        <v>447</v>
      </c>
      <c r="J1112" s="1">
        <v>2020</v>
      </c>
      <c r="K1112" s="1" t="s">
        <v>446</v>
      </c>
      <c r="L1112" s="1" t="s">
        <v>445</v>
      </c>
      <c r="M1112" s="1" t="s">
        <v>444</v>
      </c>
      <c r="P1112" s="1" t="s">
        <v>443</v>
      </c>
      <c r="Q1112" s="1" t="s">
        <v>27</v>
      </c>
      <c r="R1112" s="1" t="s">
        <v>26</v>
      </c>
      <c r="S1112" s="1" t="s">
        <v>442</v>
      </c>
      <c r="T1112" s="1" t="s">
        <v>441</v>
      </c>
      <c r="U1112" s="1">
        <v>1</v>
      </c>
      <c r="V1112" s="1" t="s">
        <v>432</v>
      </c>
      <c r="W1112" s="1" t="s">
        <v>440</v>
      </c>
      <c r="X1112" s="1" t="s">
        <v>52</v>
      </c>
      <c r="Y1112" s="3">
        <v>44127</v>
      </c>
      <c r="Z1112" s="1">
        <v>2020</v>
      </c>
      <c r="AA1112" s="2">
        <v>601000</v>
      </c>
      <c r="AB1112" s="2"/>
      <c r="AC1112" s="2">
        <v>450750</v>
      </c>
      <c r="AD1112" s="1">
        <v>0</v>
      </c>
      <c r="AF1112" s="1">
        <v>10</v>
      </c>
      <c r="AG1112" s="1" t="s">
        <v>21</v>
      </c>
      <c r="AH1112" s="1" t="s">
        <v>65</v>
      </c>
      <c r="AI1112" s="2">
        <v>390122.39</v>
      </c>
      <c r="AK1112" s="1"/>
      <c r="AL1112" s="1" t="s">
        <v>439</v>
      </c>
    </row>
    <row r="1113" spans="1:38" ht="15" customHeight="1" x14ac:dyDescent="0.2">
      <c r="A1113" s="1" t="s">
        <v>19</v>
      </c>
      <c r="B1113" s="5" t="s">
        <v>18</v>
      </c>
      <c r="C1113" s="1" t="s">
        <v>37</v>
      </c>
      <c r="D1113" s="1" t="s">
        <v>63</v>
      </c>
      <c r="E1113" s="1" t="s">
        <v>35</v>
      </c>
      <c r="F1113" s="1" t="s">
        <v>62</v>
      </c>
      <c r="G1113" s="1" t="s">
        <v>61</v>
      </c>
      <c r="H1113" s="1" t="s">
        <v>60</v>
      </c>
      <c r="I1113" s="1" t="s">
        <v>438</v>
      </c>
      <c r="J1113" s="1">
        <v>2021</v>
      </c>
      <c r="K1113" s="1" t="s">
        <v>431</v>
      </c>
      <c r="L1113" s="1" t="s">
        <v>437</v>
      </c>
      <c r="N1113" s="1" t="s">
        <v>436</v>
      </c>
      <c r="P1113" s="1" t="s">
        <v>435</v>
      </c>
      <c r="Q1113" s="1" t="s">
        <v>27</v>
      </c>
      <c r="R1113" s="1" t="s">
        <v>26</v>
      </c>
      <c r="S1113" s="1" t="s">
        <v>434</v>
      </c>
      <c r="T1113" s="1" t="s">
        <v>433</v>
      </c>
      <c r="U1113" s="1">
        <v>1</v>
      </c>
      <c r="V1113" s="1" t="s">
        <v>432</v>
      </c>
      <c r="W1113" s="1" t="s">
        <v>431</v>
      </c>
      <c r="X1113" s="1" t="s">
        <v>430</v>
      </c>
      <c r="Y1113" s="3">
        <v>44560</v>
      </c>
      <c r="Z1113" s="1">
        <v>2021</v>
      </c>
      <c r="AA1113" s="2">
        <v>4798555.76</v>
      </c>
      <c r="AB1113" s="2"/>
      <c r="AC1113" s="2">
        <v>3598916.82</v>
      </c>
      <c r="AD1113" s="1">
        <v>0</v>
      </c>
      <c r="AG1113" s="1" t="s">
        <v>21</v>
      </c>
      <c r="AH1113" s="1" t="s">
        <v>51</v>
      </c>
      <c r="AI1113" s="2">
        <v>3598916.82</v>
      </c>
      <c r="AK1113" s="1"/>
      <c r="AL1113" s="1" t="s">
        <v>429</v>
      </c>
    </row>
    <row r="1114" spans="1:38" ht="15" customHeight="1" x14ac:dyDescent="0.2">
      <c r="A1114" s="1" t="s">
        <v>19</v>
      </c>
      <c r="B1114" s="5" t="s">
        <v>109</v>
      </c>
      <c r="C1114" s="1" t="s">
        <v>37</v>
      </c>
      <c r="D1114" s="1" t="s">
        <v>132</v>
      </c>
      <c r="E1114" s="1" t="s">
        <v>35</v>
      </c>
      <c r="G1114" s="1" t="s">
        <v>135</v>
      </c>
      <c r="H1114" s="1" t="s">
        <v>130</v>
      </c>
      <c r="I1114" s="1" t="s">
        <v>428</v>
      </c>
      <c r="J1114" s="1">
        <v>2020</v>
      </c>
      <c r="P1114" s="1" t="s">
        <v>128</v>
      </c>
      <c r="Q1114" s="1" t="s">
        <v>27</v>
      </c>
      <c r="R1114" s="1" t="s">
        <v>26</v>
      </c>
      <c r="S1114" s="1" t="s">
        <v>40</v>
      </c>
      <c r="T1114" s="1" t="s">
        <v>39</v>
      </c>
      <c r="U1114" s="1">
        <v>1</v>
      </c>
      <c r="V1114" s="1" t="s">
        <v>23</v>
      </c>
      <c r="Y1114" s="3">
        <v>44005</v>
      </c>
      <c r="Z1114" s="1">
        <v>2020</v>
      </c>
      <c r="AA1114" s="2"/>
      <c r="AB1114" s="2"/>
      <c r="AC1114" s="2">
        <v>35219.72</v>
      </c>
      <c r="AG1114" s="1" t="s">
        <v>21</v>
      </c>
      <c r="AI1114" s="2">
        <v>35219.72</v>
      </c>
      <c r="AK1114" s="1"/>
    </row>
    <row r="1115" spans="1:38" ht="15" customHeight="1" x14ac:dyDescent="0.2">
      <c r="A1115" s="1" t="s">
        <v>19</v>
      </c>
      <c r="B1115" s="5" t="s">
        <v>109</v>
      </c>
      <c r="C1115" s="1" t="s">
        <v>37</v>
      </c>
      <c r="D1115" s="1" t="s">
        <v>132</v>
      </c>
      <c r="E1115" s="1" t="s">
        <v>35</v>
      </c>
      <c r="G1115" s="1" t="s">
        <v>135</v>
      </c>
      <c r="H1115" s="1" t="s">
        <v>130</v>
      </c>
      <c r="I1115" s="1" t="s">
        <v>427</v>
      </c>
      <c r="J1115" s="1">
        <v>2020</v>
      </c>
      <c r="P1115" s="1" t="s">
        <v>128</v>
      </c>
      <c r="Q1115" s="1" t="s">
        <v>27</v>
      </c>
      <c r="R1115" s="1" t="s">
        <v>26</v>
      </c>
      <c r="S1115" s="1" t="s">
        <v>40</v>
      </c>
      <c r="T1115" s="1" t="s">
        <v>39</v>
      </c>
      <c r="U1115" s="1">
        <v>1</v>
      </c>
      <c r="V1115" s="1" t="s">
        <v>23</v>
      </c>
      <c r="Y1115" s="3">
        <v>44005</v>
      </c>
      <c r="Z1115" s="1">
        <v>2020</v>
      </c>
      <c r="AA1115" s="2"/>
      <c r="AB1115" s="2"/>
      <c r="AC1115" s="2">
        <v>14501.13</v>
      </c>
      <c r="AG1115" s="1" t="s">
        <v>21</v>
      </c>
      <c r="AI1115" s="2">
        <v>14501.13</v>
      </c>
      <c r="AK1115" s="1"/>
    </row>
    <row r="1116" spans="1:38" ht="15" customHeight="1" x14ac:dyDescent="0.2">
      <c r="A1116" s="1" t="s">
        <v>19</v>
      </c>
      <c r="B1116" s="5" t="s">
        <v>109</v>
      </c>
      <c r="C1116" s="1" t="s">
        <v>37</v>
      </c>
      <c r="D1116" s="1" t="s">
        <v>132</v>
      </c>
      <c r="E1116" s="1" t="s">
        <v>35</v>
      </c>
      <c r="G1116" s="1" t="s">
        <v>131</v>
      </c>
      <c r="H1116" s="1" t="s">
        <v>130</v>
      </c>
      <c r="I1116" s="1" t="s">
        <v>426</v>
      </c>
      <c r="J1116" s="1">
        <v>2018</v>
      </c>
      <c r="P1116" s="1" t="s">
        <v>136</v>
      </c>
      <c r="Q1116" s="1" t="s">
        <v>27</v>
      </c>
      <c r="R1116" s="1" t="s">
        <v>26</v>
      </c>
      <c r="S1116" s="1" t="s">
        <v>91</v>
      </c>
      <c r="T1116" s="1" t="s">
        <v>90</v>
      </c>
      <c r="U1116" s="1">
        <v>1</v>
      </c>
      <c r="V1116" s="1" t="s">
        <v>23</v>
      </c>
      <c r="Y1116" s="3">
        <v>43465</v>
      </c>
      <c r="Z1116" s="1">
        <v>2018</v>
      </c>
      <c r="AA1116" s="2"/>
      <c r="AB1116" s="2"/>
      <c r="AC1116" s="2">
        <v>236100.61</v>
      </c>
      <c r="AG1116" s="1" t="s">
        <v>21</v>
      </c>
      <c r="AI1116" s="2">
        <v>236100.61</v>
      </c>
      <c r="AK1116" s="1"/>
      <c r="AL1116" s="1" t="s">
        <v>127</v>
      </c>
    </row>
    <row r="1117" spans="1:38" ht="15" customHeight="1" x14ac:dyDescent="0.25">
      <c r="A1117" s="1" t="s">
        <v>19</v>
      </c>
      <c r="B1117" s="5" t="s">
        <v>109</v>
      </c>
      <c r="C1117" s="1" t="s">
        <v>37</v>
      </c>
      <c r="D1117" s="1" t="s">
        <v>132</v>
      </c>
      <c r="E1117" s="1" t="s">
        <v>35</v>
      </c>
      <c r="G1117" s="1" t="s">
        <v>131</v>
      </c>
      <c r="H1117" s="1" t="s">
        <v>130</v>
      </c>
      <c r="I1117" s="1" t="s">
        <v>425</v>
      </c>
      <c r="J1117" s="1">
        <v>2021</v>
      </c>
      <c r="P1117" s="1" t="s">
        <v>133</v>
      </c>
      <c r="Q1117" s="1" t="s">
        <v>27</v>
      </c>
      <c r="R1117" s="1" t="s">
        <v>26</v>
      </c>
      <c r="S1117" s="10" t="s">
        <v>68</v>
      </c>
      <c r="T1117" s="1" t="s">
        <v>67</v>
      </c>
      <c r="U1117" s="1">
        <v>1</v>
      </c>
      <c r="V1117" s="1" t="s">
        <v>23</v>
      </c>
      <c r="Y1117" s="3">
        <v>44256</v>
      </c>
      <c r="Z1117" s="1">
        <v>2021</v>
      </c>
      <c r="AA1117" s="2"/>
      <c r="AB1117" s="2"/>
      <c r="AC1117" s="2">
        <v>154561.47</v>
      </c>
      <c r="AG1117" s="1" t="s">
        <v>21</v>
      </c>
      <c r="AI1117" s="2">
        <v>154561.47</v>
      </c>
      <c r="AK1117" s="1"/>
      <c r="AL1117" s="1" t="s">
        <v>127</v>
      </c>
    </row>
    <row r="1118" spans="1:38" ht="15" customHeight="1" x14ac:dyDescent="0.25">
      <c r="A1118" s="1" t="s">
        <v>19</v>
      </c>
      <c r="B1118" s="5" t="s">
        <v>109</v>
      </c>
      <c r="C1118" s="1" t="s">
        <v>37</v>
      </c>
      <c r="D1118" s="1" t="s">
        <v>132</v>
      </c>
      <c r="E1118" s="1" t="s">
        <v>35</v>
      </c>
      <c r="G1118" s="1" t="s">
        <v>131</v>
      </c>
      <c r="H1118" s="1" t="s">
        <v>130</v>
      </c>
      <c r="I1118" s="1" t="s">
        <v>424</v>
      </c>
      <c r="J1118" s="1">
        <v>2019</v>
      </c>
      <c r="P1118" s="1" t="s">
        <v>133</v>
      </c>
      <c r="Q1118" s="1" t="s">
        <v>27</v>
      </c>
      <c r="R1118" s="1" t="s">
        <v>26</v>
      </c>
      <c r="S1118" s="10" t="s">
        <v>68</v>
      </c>
      <c r="T1118" s="1" t="s">
        <v>67</v>
      </c>
      <c r="U1118" s="1">
        <v>1</v>
      </c>
      <c r="V1118" s="1" t="s">
        <v>23</v>
      </c>
      <c r="Y1118" s="3">
        <v>43466</v>
      </c>
      <c r="Z1118" s="1">
        <v>2019</v>
      </c>
      <c r="AA1118" s="2"/>
      <c r="AB1118" s="2"/>
      <c r="AC1118" s="2">
        <v>510103.52</v>
      </c>
      <c r="AG1118" s="1" t="s">
        <v>21</v>
      </c>
      <c r="AI1118" s="2">
        <v>510103.52</v>
      </c>
      <c r="AK1118" s="1"/>
      <c r="AL1118" s="1" t="s">
        <v>127</v>
      </c>
    </row>
    <row r="1119" spans="1:38" ht="15" customHeight="1" x14ac:dyDescent="0.2">
      <c r="A1119" s="1" t="s">
        <v>19</v>
      </c>
      <c r="B1119" s="5" t="s">
        <v>109</v>
      </c>
      <c r="C1119" s="1" t="s">
        <v>37</v>
      </c>
      <c r="D1119" s="1" t="s">
        <v>132</v>
      </c>
      <c r="E1119" s="1" t="s">
        <v>35</v>
      </c>
      <c r="G1119" s="1" t="s">
        <v>131</v>
      </c>
      <c r="H1119" s="1" t="s">
        <v>130</v>
      </c>
      <c r="I1119" s="1" t="s">
        <v>423</v>
      </c>
      <c r="J1119" s="1">
        <v>2018</v>
      </c>
      <c r="P1119" s="1" t="s">
        <v>136</v>
      </c>
      <c r="Q1119" s="1" t="s">
        <v>27</v>
      </c>
      <c r="R1119" s="1" t="s">
        <v>26</v>
      </c>
      <c r="S1119" s="1" t="s">
        <v>91</v>
      </c>
      <c r="T1119" s="1" t="s">
        <v>90</v>
      </c>
      <c r="U1119" s="1">
        <v>1</v>
      </c>
      <c r="V1119" s="1" t="s">
        <v>23</v>
      </c>
      <c r="Y1119" s="3">
        <v>43461</v>
      </c>
      <c r="Z1119" s="1">
        <v>2018</v>
      </c>
      <c r="AA1119" s="2"/>
      <c r="AB1119" s="2"/>
      <c r="AC1119" s="2">
        <v>367714.75</v>
      </c>
      <c r="AG1119" s="1" t="s">
        <v>21</v>
      </c>
      <c r="AI1119" s="2">
        <v>367714.75</v>
      </c>
      <c r="AK1119" s="1"/>
      <c r="AL1119" s="1" t="s">
        <v>127</v>
      </c>
    </row>
    <row r="1120" spans="1:38" ht="15" customHeight="1" x14ac:dyDescent="0.25">
      <c r="A1120" s="1" t="s">
        <v>19</v>
      </c>
      <c r="B1120" s="5" t="s">
        <v>109</v>
      </c>
      <c r="C1120" s="1" t="s">
        <v>37</v>
      </c>
      <c r="D1120" s="1" t="s">
        <v>132</v>
      </c>
      <c r="E1120" s="1" t="s">
        <v>35</v>
      </c>
      <c r="G1120" s="1" t="s">
        <v>131</v>
      </c>
      <c r="H1120" s="1" t="s">
        <v>130</v>
      </c>
      <c r="I1120" s="1" t="s">
        <v>422</v>
      </c>
      <c r="J1120" s="1">
        <v>2019</v>
      </c>
      <c r="P1120" s="1" t="s">
        <v>133</v>
      </c>
      <c r="Q1120" s="1" t="s">
        <v>27</v>
      </c>
      <c r="R1120" s="1" t="s">
        <v>26</v>
      </c>
      <c r="S1120" s="10" t="s">
        <v>68</v>
      </c>
      <c r="T1120" s="1" t="s">
        <v>67</v>
      </c>
      <c r="U1120" s="1">
        <v>1</v>
      </c>
      <c r="V1120" s="1" t="s">
        <v>23</v>
      </c>
      <c r="Y1120" s="3">
        <v>43466</v>
      </c>
      <c r="Z1120" s="1">
        <v>2019</v>
      </c>
      <c r="AA1120" s="2"/>
      <c r="AB1120" s="2"/>
      <c r="AC1120" s="2">
        <v>539143.85</v>
      </c>
      <c r="AG1120" s="1" t="s">
        <v>21</v>
      </c>
      <c r="AI1120" s="2">
        <v>539143.85</v>
      </c>
      <c r="AK1120" s="1"/>
      <c r="AL1120" s="1" t="s">
        <v>127</v>
      </c>
    </row>
    <row r="1121" spans="1:38" ht="15" customHeight="1" x14ac:dyDescent="0.2">
      <c r="A1121" s="1" t="s">
        <v>19</v>
      </c>
      <c r="B1121" s="5" t="s">
        <v>109</v>
      </c>
      <c r="C1121" s="1" t="s">
        <v>37</v>
      </c>
      <c r="D1121" s="1" t="s">
        <v>132</v>
      </c>
      <c r="E1121" s="1" t="s">
        <v>35</v>
      </c>
      <c r="G1121" s="1" t="s">
        <v>131</v>
      </c>
      <c r="H1121" s="1" t="s">
        <v>130</v>
      </c>
      <c r="I1121" s="1" t="s">
        <v>421</v>
      </c>
      <c r="J1121" s="1">
        <v>2018</v>
      </c>
      <c r="P1121" s="1" t="s">
        <v>136</v>
      </c>
      <c r="Q1121" s="1" t="s">
        <v>27</v>
      </c>
      <c r="R1121" s="1" t="s">
        <v>26</v>
      </c>
      <c r="S1121" s="1" t="s">
        <v>91</v>
      </c>
      <c r="T1121" s="1" t="s">
        <v>90</v>
      </c>
      <c r="U1121" s="1">
        <v>1</v>
      </c>
      <c r="V1121" s="1" t="s">
        <v>23</v>
      </c>
      <c r="Y1121" s="3">
        <v>43461</v>
      </c>
      <c r="Z1121" s="1">
        <v>2018</v>
      </c>
      <c r="AA1121" s="2"/>
      <c r="AB1121" s="2"/>
      <c r="AC1121" s="2">
        <v>615266.37</v>
      </c>
      <c r="AG1121" s="1" t="s">
        <v>21</v>
      </c>
      <c r="AI1121" s="2">
        <v>615266.37</v>
      </c>
      <c r="AK1121" s="1"/>
      <c r="AL1121" s="1" t="s">
        <v>127</v>
      </c>
    </row>
    <row r="1122" spans="1:38" ht="15" customHeight="1" x14ac:dyDescent="0.2">
      <c r="A1122" s="1" t="s">
        <v>19</v>
      </c>
      <c r="B1122" s="5" t="s">
        <v>109</v>
      </c>
      <c r="C1122" s="1" t="s">
        <v>37</v>
      </c>
      <c r="D1122" s="1" t="s">
        <v>132</v>
      </c>
      <c r="E1122" s="1" t="s">
        <v>35</v>
      </c>
      <c r="G1122" s="1" t="s">
        <v>131</v>
      </c>
      <c r="H1122" s="1" t="s">
        <v>130</v>
      </c>
      <c r="I1122" s="1" t="s">
        <v>420</v>
      </c>
      <c r="J1122" s="1">
        <v>2018</v>
      </c>
      <c r="P1122" s="1" t="s">
        <v>136</v>
      </c>
      <c r="Q1122" s="1" t="s">
        <v>27</v>
      </c>
      <c r="R1122" s="1" t="s">
        <v>26</v>
      </c>
      <c r="S1122" s="1" t="s">
        <v>91</v>
      </c>
      <c r="T1122" s="1" t="s">
        <v>90</v>
      </c>
      <c r="U1122" s="1">
        <v>1</v>
      </c>
      <c r="V1122" s="1" t="s">
        <v>23</v>
      </c>
      <c r="Y1122" s="3">
        <v>43461</v>
      </c>
      <c r="Z1122" s="1">
        <v>2018</v>
      </c>
      <c r="AA1122" s="2"/>
      <c r="AB1122" s="2"/>
      <c r="AC1122" s="2">
        <v>331093.86</v>
      </c>
      <c r="AG1122" s="1" t="s">
        <v>21</v>
      </c>
      <c r="AI1122" s="2">
        <v>331093.86</v>
      </c>
      <c r="AK1122" s="1"/>
      <c r="AL1122" s="1" t="s">
        <v>127</v>
      </c>
    </row>
    <row r="1123" spans="1:38" ht="15" customHeight="1" x14ac:dyDescent="0.2">
      <c r="A1123" s="1" t="s">
        <v>19</v>
      </c>
      <c r="B1123" s="5" t="s">
        <v>109</v>
      </c>
      <c r="C1123" s="1" t="s">
        <v>37</v>
      </c>
      <c r="D1123" s="1" t="s">
        <v>132</v>
      </c>
      <c r="E1123" s="1" t="s">
        <v>35</v>
      </c>
      <c r="G1123" s="1" t="s">
        <v>131</v>
      </c>
      <c r="H1123" s="1" t="s">
        <v>130</v>
      </c>
      <c r="I1123" s="1" t="s">
        <v>419</v>
      </c>
      <c r="J1123" s="1">
        <v>2018</v>
      </c>
      <c r="P1123" s="1" t="s">
        <v>128</v>
      </c>
      <c r="Q1123" s="1" t="s">
        <v>27</v>
      </c>
      <c r="R1123" s="1" t="s">
        <v>26</v>
      </c>
      <c r="S1123" s="1" t="s">
        <v>40</v>
      </c>
      <c r="T1123" s="1" t="s">
        <v>39</v>
      </c>
      <c r="U1123" s="1">
        <v>1</v>
      </c>
      <c r="V1123" s="1" t="s">
        <v>23</v>
      </c>
      <c r="Y1123" s="3">
        <v>43463</v>
      </c>
      <c r="Z1123" s="1">
        <v>2018</v>
      </c>
      <c r="AA1123" s="2"/>
      <c r="AB1123" s="2"/>
      <c r="AC1123" s="2">
        <v>418564.84</v>
      </c>
      <c r="AG1123" s="1" t="s">
        <v>21</v>
      </c>
      <c r="AI1123" s="2">
        <v>418564.84</v>
      </c>
      <c r="AK1123" s="1"/>
      <c r="AL1123" s="1" t="s">
        <v>127</v>
      </c>
    </row>
    <row r="1124" spans="1:38" ht="15" customHeight="1" x14ac:dyDescent="0.25">
      <c r="A1124" s="1" t="s">
        <v>19</v>
      </c>
      <c r="B1124" s="5" t="s">
        <v>109</v>
      </c>
      <c r="C1124" s="1" t="s">
        <v>37</v>
      </c>
      <c r="D1124" s="1" t="s">
        <v>132</v>
      </c>
      <c r="E1124" s="1" t="s">
        <v>35</v>
      </c>
      <c r="G1124" s="1" t="s">
        <v>131</v>
      </c>
      <c r="H1124" s="1" t="s">
        <v>130</v>
      </c>
      <c r="I1124" s="1" t="s">
        <v>418</v>
      </c>
      <c r="J1124" s="1">
        <v>2019</v>
      </c>
      <c r="P1124" s="1" t="s">
        <v>133</v>
      </c>
      <c r="Q1124" s="1" t="s">
        <v>27</v>
      </c>
      <c r="R1124" s="1" t="s">
        <v>26</v>
      </c>
      <c r="S1124" s="10" t="s">
        <v>68</v>
      </c>
      <c r="T1124" s="1" t="s">
        <v>67</v>
      </c>
      <c r="U1124" s="1">
        <v>1</v>
      </c>
      <c r="V1124" s="1" t="s">
        <v>23</v>
      </c>
      <c r="Y1124" s="3">
        <v>43466</v>
      </c>
      <c r="Z1124" s="1">
        <v>2019</v>
      </c>
      <c r="AA1124" s="2"/>
      <c r="AB1124" s="2"/>
      <c r="AC1124" s="2">
        <v>517639.38</v>
      </c>
      <c r="AG1124" s="1" t="s">
        <v>21</v>
      </c>
      <c r="AI1124" s="2">
        <v>517639.38</v>
      </c>
      <c r="AK1124" s="1"/>
      <c r="AL1124" s="1" t="s">
        <v>127</v>
      </c>
    </row>
    <row r="1125" spans="1:38" ht="15" customHeight="1" x14ac:dyDescent="0.25">
      <c r="A1125" s="1" t="s">
        <v>19</v>
      </c>
      <c r="B1125" s="5" t="s">
        <v>109</v>
      </c>
      <c r="C1125" s="1" t="s">
        <v>37</v>
      </c>
      <c r="D1125" s="1" t="s">
        <v>132</v>
      </c>
      <c r="E1125" s="1" t="s">
        <v>35</v>
      </c>
      <c r="G1125" s="1" t="s">
        <v>131</v>
      </c>
      <c r="H1125" s="1" t="s">
        <v>130</v>
      </c>
      <c r="I1125" s="1" t="s">
        <v>417</v>
      </c>
      <c r="J1125" s="1">
        <v>2019</v>
      </c>
      <c r="P1125" s="1" t="s">
        <v>133</v>
      </c>
      <c r="Q1125" s="1" t="s">
        <v>27</v>
      </c>
      <c r="R1125" s="1" t="s">
        <v>26</v>
      </c>
      <c r="S1125" s="10" t="s">
        <v>68</v>
      </c>
      <c r="T1125" s="1" t="s">
        <v>67</v>
      </c>
      <c r="U1125" s="1">
        <v>1</v>
      </c>
      <c r="V1125" s="1" t="s">
        <v>23</v>
      </c>
      <c r="Y1125" s="3">
        <v>43466</v>
      </c>
      <c r="Z1125" s="1">
        <v>2019</v>
      </c>
      <c r="AA1125" s="2"/>
      <c r="AB1125" s="2"/>
      <c r="AC1125" s="2">
        <v>630078.22</v>
      </c>
      <c r="AG1125" s="1" t="s">
        <v>21</v>
      </c>
      <c r="AI1125" s="2">
        <v>630078.22</v>
      </c>
      <c r="AK1125" s="1"/>
      <c r="AL1125" s="1" t="s">
        <v>127</v>
      </c>
    </row>
    <row r="1126" spans="1:38" ht="15" customHeight="1" x14ac:dyDescent="0.2">
      <c r="A1126" s="1" t="s">
        <v>19</v>
      </c>
      <c r="B1126" s="5" t="s">
        <v>109</v>
      </c>
      <c r="C1126" s="1" t="s">
        <v>37</v>
      </c>
      <c r="D1126" s="1" t="s">
        <v>132</v>
      </c>
      <c r="E1126" s="1" t="s">
        <v>35</v>
      </c>
      <c r="G1126" s="1" t="s">
        <v>131</v>
      </c>
      <c r="H1126" s="1" t="s">
        <v>130</v>
      </c>
      <c r="I1126" s="1" t="s">
        <v>416</v>
      </c>
      <c r="J1126" s="1">
        <v>2018</v>
      </c>
      <c r="P1126" s="1" t="s">
        <v>136</v>
      </c>
      <c r="Q1126" s="1" t="s">
        <v>27</v>
      </c>
      <c r="R1126" s="1" t="s">
        <v>26</v>
      </c>
      <c r="S1126" s="1" t="s">
        <v>91</v>
      </c>
      <c r="T1126" s="1" t="s">
        <v>90</v>
      </c>
      <c r="U1126" s="1">
        <v>1</v>
      </c>
      <c r="V1126" s="1" t="s">
        <v>23</v>
      </c>
      <c r="Y1126" s="3">
        <v>43461</v>
      </c>
      <c r="Z1126" s="1">
        <v>2018</v>
      </c>
      <c r="AA1126" s="2"/>
      <c r="AB1126" s="2"/>
      <c r="AC1126" s="2">
        <v>348148.8600000001</v>
      </c>
      <c r="AG1126" s="1" t="s">
        <v>21</v>
      </c>
      <c r="AI1126" s="2">
        <v>348148.8600000001</v>
      </c>
      <c r="AK1126" s="1"/>
      <c r="AL1126" s="1" t="s">
        <v>127</v>
      </c>
    </row>
    <row r="1127" spans="1:38" ht="15" customHeight="1" x14ac:dyDescent="0.25">
      <c r="A1127" s="1" t="s">
        <v>19</v>
      </c>
      <c r="B1127" s="5" t="s">
        <v>109</v>
      </c>
      <c r="C1127" s="1" t="s">
        <v>37</v>
      </c>
      <c r="D1127" s="1" t="s">
        <v>132</v>
      </c>
      <c r="E1127" s="1" t="s">
        <v>35</v>
      </c>
      <c r="G1127" s="1" t="s">
        <v>131</v>
      </c>
      <c r="H1127" s="1" t="s">
        <v>130</v>
      </c>
      <c r="I1127" s="1" t="s">
        <v>415</v>
      </c>
      <c r="J1127" s="1">
        <v>2019</v>
      </c>
      <c r="P1127" s="1" t="s">
        <v>133</v>
      </c>
      <c r="Q1127" s="1" t="s">
        <v>27</v>
      </c>
      <c r="R1127" s="1" t="s">
        <v>26</v>
      </c>
      <c r="S1127" s="10" t="s">
        <v>68</v>
      </c>
      <c r="T1127" s="1" t="s">
        <v>67</v>
      </c>
      <c r="U1127" s="1">
        <v>1</v>
      </c>
      <c r="V1127" s="1" t="s">
        <v>23</v>
      </c>
      <c r="Y1127" s="3">
        <v>43466</v>
      </c>
      <c r="Z1127" s="1">
        <v>2019</v>
      </c>
      <c r="AA1127" s="2"/>
      <c r="AB1127" s="2"/>
      <c r="AC1127" s="2">
        <v>690178.05</v>
      </c>
      <c r="AG1127" s="1" t="s">
        <v>21</v>
      </c>
      <c r="AI1127" s="2">
        <v>690178.05</v>
      </c>
      <c r="AK1127" s="1"/>
      <c r="AL1127" s="1" t="s">
        <v>127</v>
      </c>
    </row>
    <row r="1128" spans="1:38" ht="15" customHeight="1" x14ac:dyDescent="0.2">
      <c r="A1128" s="1" t="s">
        <v>19</v>
      </c>
      <c r="B1128" s="5" t="s">
        <v>109</v>
      </c>
      <c r="C1128" s="1" t="s">
        <v>37</v>
      </c>
      <c r="D1128" s="1" t="s">
        <v>132</v>
      </c>
      <c r="E1128" s="1" t="s">
        <v>35</v>
      </c>
      <c r="G1128" s="1" t="s">
        <v>131</v>
      </c>
      <c r="H1128" s="1" t="s">
        <v>130</v>
      </c>
      <c r="I1128" s="1" t="s">
        <v>414</v>
      </c>
      <c r="J1128" s="1">
        <v>2018</v>
      </c>
      <c r="P1128" s="1" t="s">
        <v>136</v>
      </c>
      <c r="Q1128" s="1" t="s">
        <v>27</v>
      </c>
      <c r="R1128" s="1" t="s">
        <v>26</v>
      </c>
      <c r="S1128" s="1" t="s">
        <v>91</v>
      </c>
      <c r="T1128" s="1" t="s">
        <v>90</v>
      </c>
      <c r="U1128" s="1">
        <v>1</v>
      </c>
      <c r="V1128" s="1" t="s">
        <v>23</v>
      </c>
      <c r="Y1128" s="3">
        <v>43465</v>
      </c>
      <c r="Z1128" s="1">
        <v>2018</v>
      </c>
      <c r="AA1128" s="2"/>
      <c r="AB1128" s="2"/>
      <c r="AC1128" s="2">
        <v>510279.38</v>
      </c>
      <c r="AG1128" s="1" t="s">
        <v>21</v>
      </c>
      <c r="AI1128" s="2">
        <v>510279.38</v>
      </c>
      <c r="AK1128" s="1"/>
      <c r="AL1128" s="1" t="s">
        <v>127</v>
      </c>
    </row>
    <row r="1129" spans="1:38" ht="15" customHeight="1" x14ac:dyDescent="0.2">
      <c r="A1129" s="1" t="s">
        <v>19</v>
      </c>
      <c r="B1129" s="5" t="s">
        <v>109</v>
      </c>
      <c r="C1129" s="1" t="s">
        <v>37</v>
      </c>
      <c r="D1129" s="1" t="s">
        <v>132</v>
      </c>
      <c r="E1129" s="1" t="s">
        <v>35</v>
      </c>
      <c r="G1129" s="1" t="s">
        <v>131</v>
      </c>
      <c r="H1129" s="1" t="s">
        <v>130</v>
      </c>
      <c r="I1129" s="1" t="s">
        <v>413</v>
      </c>
      <c r="J1129" s="1">
        <v>2018</v>
      </c>
      <c r="P1129" s="1" t="s">
        <v>128</v>
      </c>
      <c r="Q1129" s="1" t="s">
        <v>27</v>
      </c>
      <c r="R1129" s="1" t="s">
        <v>26</v>
      </c>
      <c r="S1129" s="1" t="s">
        <v>40</v>
      </c>
      <c r="T1129" s="1" t="s">
        <v>39</v>
      </c>
      <c r="U1129" s="1">
        <v>1</v>
      </c>
      <c r="V1129" s="1" t="s">
        <v>23</v>
      </c>
      <c r="Y1129" s="3">
        <v>43463</v>
      </c>
      <c r="Z1129" s="1">
        <v>2018</v>
      </c>
      <c r="AA1129" s="2"/>
      <c r="AB1129" s="2"/>
      <c r="AC1129" s="2">
        <v>797698.27999999991</v>
      </c>
      <c r="AG1129" s="1" t="s">
        <v>21</v>
      </c>
      <c r="AI1129" s="2">
        <v>797698.27999999991</v>
      </c>
      <c r="AK1129" s="1"/>
      <c r="AL1129" s="1" t="s">
        <v>127</v>
      </c>
    </row>
    <row r="1130" spans="1:38" ht="15" customHeight="1" x14ac:dyDescent="0.2">
      <c r="A1130" s="1" t="s">
        <v>19</v>
      </c>
      <c r="B1130" s="5" t="s">
        <v>109</v>
      </c>
      <c r="C1130" s="1" t="s">
        <v>37</v>
      </c>
      <c r="D1130" s="1" t="s">
        <v>132</v>
      </c>
      <c r="E1130" s="1" t="s">
        <v>35</v>
      </c>
      <c r="G1130" s="1" t="s">
        <v>131</v>
      </c>
      <c r="H1130" s="1" t="s">
        <v>130</v>
      </c>
      <c r="I1130" s="1" t="s">
        <v>412</v>
      </c>
      <c r="J1130" s="1">
        <v>2018</v>
      </c>
      <c r="P1130" s="1" t="s">
        <v>128</v>
      </c>
      <c r="Q1130" s="1" t="s">
        <v>27</v>
      </c>
      <c r="R1130" s="1" t="s">
        <v>26</v>
      </c>
      <c r="S1130" s="1" t="s">
        <v>40</v>
      </c>
      <c r="T1130" s="1" t="s">
        <v>39</v>
      </c>
      <c r="U1130" s="1">
        <v>1</v>
      </c>
      <c r="V1130" s="1" t="s">
        <v>23</v>
      </c>
      <c r="Y1130" s="3">
        <v>43463</v>
      </c>
      <c r="Z1130" s="1">
        <v>2018</v>
      </c>
      <c r="AA1130" s="2"/>
      <c r="AB1130" s="2"/>
      <c r="AC1130" s="2">
        <v>454854.33000000007</v>
      </c>
      <c r="AG1130" s="1" t="s">
        <v>21</v>
      </c>
      <c r="AI1130" s="2">
        <v>454854.33000000007</v>
      </c>
      <c r="AK1130" s="1"/>
      <c r="AL1130" s="1" t="s">
        <v>127</v>
      </c>
    </row>
    <row r="1131" spans="1:38" ht="15" customHeight="1" x14ac:dyDescent="0.2">
      <c r="A1131" s="1" t="s">
        <v>19</v>
      </c>
      <c r="B1131" s="5" t="s">
        <v>109</v>
      </c>
      <c r="C1131" s="1" t="s">
        <v>37</v>
      </c>
      <c r="D1131" s="1" t="s">
        <v>132</v>
      </c>
      <c r="E1131" s="1" t="s">
        <v>35</v>
      </c>
      <c r="G1131" s="1" t="s">
        <v>131</v>
      </c>
      <c r="H1131" s="1" t="s">
        <v>130</v>
      </c>
      <c r="I1131" s="1" t="s">
        <v>411</v>
      </c>
      <c r="J1131" s="1">
        <v>2018</v>
      </c>
      <c r="P1131" s="1" t="s">
        <v>128</v>
      </c>
      <c r="Q1131" s="1" t="s">
        <v>27</v>
      </c>
      <c r="R1131" s="1" t="s">
        <v>26</v>
      </c>
      <c r="S1131" s="1" t="s">
        <v>40</v>
      </c>
      <c r="T1131" s="1" t="s">
        <v>39</v>
      </c>
      <c r="U1131" s="1">
        <v>1</v>
      </c>
      <c r="V1131" s="1" t="s">
        <v>23</v>
      </c>
      <c r="Y1131" s="3">
        <v>43463</v>
      </c>
      <c r="Z1131" s="1">
        <v>2018</v>
      </c>
      <c r="AA1131" s="2"/>
      <c r="AB1131" s="2"/>
      <c r="AC1131" s="2">
        <v>496191.79</v>
      </c>
      <c r="AG1131" s="1" t="s">
        <v>21</v>
      </c>
      <c r="AI1131" s="2">
        <v>496191.79</v>
      </c>
      <c r="AK1131" s="1"/>
      <c r="AL1131" s="1" t="s">
        <v>127</v>
      </c>
    </row>
    <row r="1132" spans="1:38" ht="15" customHeight="1" x14ac:dyDescent="0.2">
      <c r="A1132" s="1" t="s">
        <v>19</v>
      </c>
      <c r="B1132" s="5" t="s">
        <v>109</v>
      </c>
      <c r="C1132" s="1" t="s">
        <v>37</v>
      </c>
      <c r="D1132" s="1" t="s">
        <v>132</v>
      </c>
      <c r="E1132" s="1" t="s">
        <v>35</v>
      </c>
      <c r="G1132" s="1" t="s">
        <v>131</v>
      </c>
      <c r="H1132" s="1" t="s">
        <v>130</v>
      </c>
      <c r="I1132" s="1" t="s">
        <v>410</v>
      </c>
      <c r="J1132" s="1">
        <v>2018</v>
      </c>
      <c r="P1132" s="1" t="s">
        <v>136</v>
      </c>
      <c r="Q1132" s="1" t="s">
        <v>27</v>
      </c>
      <c r="R1132" s="1" t="s">
        <v>26</v>
      </c>
      <c r="S1132" s="1" t="s">
        <v>91</v>
      </c>
      <c r="T1132" s="1" t="s">
        <v>90</v>
      </c>
      <c r="U1132" s="1">
        <v>1</v>
      </c>
      <c r="V1132" s="1" t="s">
        <v>23</v>
      </c>
      <c r="Y1132" s="3">
        <v>43461</v>
      </c>
      <c r="Z1132" s="1">
        <v>2018</v>
      </c>
      <c r="AA1132" s="2"/>
      <c r="AB1132" s="2"/>
      <c r="AC1132" s="2">
        <v>621810.4</v>
      </c>
      <c r="AG1132" s="1" t="s">
        <v>21</v>
      </c>
      <c r="AI1132" s="2">
        <v>621810.4</v>
      </c>
      <c r="AK1132" s="1"/>
      <c r="AL1132" s="1" t="s">
        <v>127</v>
      </c>
    </row>
    <row r="1133" spans="1:38" ht="15" customHeight="1" x14ac:dyDescent="0.25">
      <c r="A1133" s="1" t="s">
        <v>19</v>
      </c>
      <c r="B1133" s="5" t="s">
        <v>109</v>
      </c>
      <c r="C1133" s="1" t="s">
        <v>37</v>
      </c>
      <c r="D1133" s="1" t="s">
        <v>132</v>
      </c>
      <c r="E1133" s="1" t="s">
        <v>35</v>
      </c>
      <c r="G1133" s="1" t="s">
        <v>131</v>
      </c>
      <c r="H1133" s="1" t="s">
        <v>130</v>
      </c>
      <c r="I1133" s="1" t="s">
        <v>409</v>
      </c>
      <c r="J1133" s="1">
        <v>2019</v>
      </c>
      <c r="P1133" s="1" t="s">
        <v>133</v>
      </c>
      <c r="Q1133" s="1" t="s">
        <v>27</v>
      </c>
      <c r="R1133" s="1" t="s">
        <v>26</v>
      </c>
      <c r="S1133" s="10" t="s">
        <v>68</v>
      </c>
      <c r="T1133" s="1" t="s">
        <v>67</v>
      </c>
      <c r="U1133" s="1">
        <v>1</v>
      </c>
      <c r="V1133" s="1" t="s">
        <v>23</v>
      </c>
      <c r="Y1133" s="3">
        <v>43466</v>
      </c>
      <c r="Z1133" s="1">
        <v>2019</v>
      </c>
      <c r="AA1133" s="2"/>
      <c r="AB1133" s="2"/>
      <c r="AC1133" s="2">
        <v>579070.05000000005</v>
      </c>
      <c r="AG1133" s="1" t="s">
        <v>21</v>
      </c>
      <c r="AI1133" s="2">
        <v>579070.05000000005</v>
      </c>
      <c r="AK1133" s="1"/>
      <c r="AL1133" s="1" t="s">
        <v>127</v>
      </c>
    </row>
    <row r="1134" spans="1:38" ht="15" customHeight="1" x14ac:dyDescent="0.2">
      <c r="A1134" s="1" t="s">
        <v>19</v>
      </c>
      <c r="B1134" s="5" t="s">
        <v>109</v>
      </c>
      <c r="C1134" s="1" t="s">
        <v>37</v>
      </c>
      <c r="D1134" s="1" t="s">
        <v>132</v>
      </c>
      <c r="E1134" s="1" t="s">
        <v>35</v>
      </c>
      <c r="G1134" s="1" t="s">
        <v>131</v>
      </c>
      <c r="H1134" s="1" t="s">
        <v>130</v>
      </c>
      <c r="I1134" s="1" t="s">
        <v>408</v>
      </c>
      <c r="J1134" s="1">
        <v>2018</v>
      </c>
      <c r="P1134" s="1" t="s">
        <v>136</v>
      </c>
      <c r="Q1134" s="1" t="s">
        <v>27</v>
      </c>
      <c r="R1134" s="1" t="s">
        <v>26</v>
      </c>
      <c r="S1134" s="1" t="s">
        <v>91</v>
      </c>
      <c r="T1134" s="1" t="s">
        <v>90</v>
      </c>
      <c r="U1134" s="1">
        <v>1</v>
      </c>
      <c r="V1134" s="1" t="s">
        <v>23</v>
      </c>
      <c r="Y1134" s="3">
        <v>43461</v>
      </c>
      <c r="Z1134" s="1">
        <v>2018</v>
      </c>
      <c r="AA1134" s="2"/>
      <c r="AB1134" s="2"/>
      <c r="AC1134" s="2">
        <v>536813.6</v>
      </c>
      <c r="AG1134" s="1" t="s">
        <v>21</v>
      </c>
      <c r="AI1134" s="2">
        <v>536813.6</v>
      </c>
      <c r="AK1134" s="1"/>
      <c r="AL1134" s="1" t="s">
        <v>127</v>
      </c>
    </row>
    <row r="1135" spans="1:38" ht="15" customHeight="1" x14ac:dyDescent="0.25">
      <c r="A1135" s="1" t="s">
        <v>19</v>
      </c>
      <c r="B1135" s="5" t="s">
        <v>109</v>
      </c>
      <c r="C1135" s="1" t="s">
        <v>37</v>
      </c>
      <c r="D1135" s="1" t="s">
        <v>132</v>
      </c>
      <c r="E1135" s="1" t="s">
        <v>35</v>
      </c>
      <c r="G1135" s="1" t="s">
        <v>131</v>
      </c>
      <c r="H1135" s="1" t="s">
        <v>130</v>
      </c>
      <c r="I1135" s="1" t="s">
        <v>407</v>
      </c>
      <c r="J1135" s="1">
        <v>2020</v>
      </c>
      <c r="P1135" s="1" t="s">
        <v>133</v>
      </c>
      <c r="Q1135" s="1" t="s">
        <v>27</v>
      </c>
      <c r="R1135" s="1" t="s">
        <v>26</v>
      </c>
      <c r="S1135" s="10" t="s">
        <v>68</v>
      </c>
      <c r="T1135" s="1" t="s">
        <v>67</v>
      </c>
      <c r="U1135" s="1">
        <v>1</v>
      </c>
      <c r="V1135" s="1" t="s">
        <v>23</v>
      </c>
      <c r="Y1135" s="3">
        <v>44105</v>
      </c>
      <c r="Z1135" s="1">
        <v>2020</v>
      </c>
      <c r="AA1135" s="2"/>
      <c r="AB1135" s="2"/>
      <c r="AC1135" s="2">
        <v>576937.52999999991</v>
      </c>
      <c r="AG1135" s="1" t="s">
        <v>21</v>
      </c>
      <c r="AI1135" s="2">
        <v>576937.52999999991</v>
      </c>
      <c r="AK1135" s="1"/>
      <c r="AL1135" s="1" t="s">
        <v>127</v>
      </c>
    </row>
    <row r="1136" spans="1:38" ht="15" customHeight="1" x14ac:dyDescent="0.2">
      <c r="A1136" s="1" t="s">
        <v>19</v>
      </c>
      <c r="B1136" s="5" t="s">
        <v>109</v>
      </c>
      <c r="C1136" s="1" t="s">
        <v>37</v>
      </c>
      <c r="D1136" s="1" t="s">
        <v>132</v>
      </c>
      <c r="E1136" s="1" t="s">
        <v>35</v>
      </c>
      <c r="G1136" s="1" t="s">
        <v>131</v>
      </c>
      <c r="H1136" s="1" t="s">
        <v>130</v>
      </c>
      <c r="I1136" s="1" t="s">
        <v>406</v>
      </c>
      <c r="J1136" s="1">
        <v>2018</v>
      </c>
      <c r="P1136" s="1" t="s">
        <v>128</v>
      </c>
      <c r="Q1136" s="1" t="s">
        <v>27</v>
      </c>
      <c r="R1136" s="1" t="s">
        <v>26</v>
      </c>
      <c r="S1136" s="1" t="s">
        <v>40</v>
      </c>
      <c r="T1136" s="1" t="s">
        <v>39</v>
      </c>
      <c r="U1136" s="1">
        <v>1</v>
      </c>
      <c r="V1136" s="1" t="s">
        <v>23</v>
      </c>
      <c r="Y1136" s="3">
        <v>43463</v>
      </c>
      <c r="Z1136" s="1">
        <v>2018</v>
      </c>
      <c r="AA1136" s="2"/>
      <c r="AB1136" s="2"/>
      <c r="AC1136" s="2">
        <v>448067.08999999997</v>
      </c>
      <c r="AG1136" s="1" t="s">
        <v>21</v>
      </c>
      <c r="AI1136" s="2">
        <v>448067.08999999997</v>
      </c>
      <c r="AK1136" s="1"/>
      <c r="AL1136" s="1" t="s">
        <v>127</v>
      </c>
    </row>
    <row r="1137" spans="1:38" ht="15" customHeight="1" x14ac:dyDescent="0.2">
      <c r="A1137" s="1" t="s">
        <v>19</v>
      </c>
      <c r="B1137" s="5" t="s">
        <v>109</v>
      </c>
      <c r="C1137" s="1" t="s">
        <v>37</v>
      </c>
      <c r="D1137" s="1" t="s">
        <v>132</v>
      </c>
      <c r="E1137" s="1" t="s">
        <v>35</v>
      </c>
      <c r="G1137" s="1" t="s">
        <v>131</v>
      </c>
      <c r="H1137" s="1" t="s">
        <v>130</v>
      </c>
      <c r="I1137" s="1" t="s">
        <v>405</v>
      </c>
      <c r="J1137" s="1">
        <v>2018</v>
      </c>
      <c r="P1137" s="1" t="s">
        <v>136</v>
      </c>
      <c r="Q1137" s="1" t="s">
        <v>27</v>
      </c>
      <c r="R1137" s="1" t="s">
        <v>26</v>
      </c>
      <c r="S1137" s="1" t="s">
        <v>91</v>
      </c>
      <c r="T1137" s="1" t="s">
        <v>90</v>
      </c>
      <c r="U1137" s="1">
        <v>1</v>
      </c>
      <c r="V1137" s="1" t="s">
        <v>23</v>
      </c>
      <c r="Y1137" s="3">
        <v>43461</v>
      </c>
      <c r="Z1137" s="1">
        <v>2018</v>
      </c>
      <c r="AA1137" s="2"/>
      <c r="AB1137" s="2"/>
      <c r="AC1137" s="2">
        <v>558185.55000000005</v>
      </c>
      <c r="AG1137" s="1" t="s">
        <v>21</v>
      </c>
      <c r="AI1137" s="2">
        <v>558185.55000000005</v>
      </c>
      <c r="AK1137" s="1"/>
      <c r="AL1137" s="1" t="s">
        <v>127</v>
      </c>
    </row>
    <row r="1138" spans="1:38" ht="15" customHeight="1" x14ac:dyDescent="0.2">
      <c r="A1138" s="1" t="s">
        <v>19</v>
      </c>
      <c r="B1138" s="5" t="s">
        <v>109</v>
      </c>
      <c r="C1138" s="1" t="s">
        <v>37</v>
      </c>
      <c r="D1138" s="1" t="s">
        <v>132</v>
      </c>
      <c r="E1138" s="1" t="s">
        <v>35</v>
      </c>
      <c r="G1138" s="1" t="s">
        <v>131</v>
      </c>
      <c r="H1138" s="1" t="s">
        <v>130</v>
      </c>
      <c r="I1138" s="1" t="s">
        <v>404</v>
      </c>
      <c r="J1138" s="1">
        <v>2018</v>
      </c>
      <c r="P1138" s="1" t="s">
        <v>136</v>
      </c>
      <c r="Q1138" s="1" t="s">
        <v>27</v>
      </c>
      <c r="R1138" s="1" t="s">
        <v>26</v>
      </c>
      <c r="S1138" s="1" t="s">
        <v>91</v>
      </c>
      <c r="T1138" s="1" t="s">
        <v>90</v>
      </c>
      <c r="U1138" s="1">
        <v>1</v>
      </c>
      <c r="V1138" s="1" t="s">
        <v>23</v>
      </c>
      <c r="Y1138" s="3">
        <v>43461</v>
      </c>
      <c r="Z1138" s="1">
        <v>2018</v>
      </c>
      <c r="AA1138" s="2"/>
      <c r="AB1138" s="2"/>
      <c r="AC1138" s="2">
        <v>447342.2</v>
      </c>
      <c r="AG1138" s="1" t="s">
        <v>21</v>
      </c>
      <c r="AI1138" s="2">
        <v>447342.2</v>
      </c>
      <c r="AK1138" s="1"/>
      <c r="AL1138" s="1" t="s">
        <v>127</v>
      </c>
    </row>
    <row r="1139" spans="1:38" ht="15" customHeight="1" x14ac:dyDescent="0.25">
      <c r="A1139" s="1" t="s">
        <v>19</v>
      </c>
      <c r="B1139" s="5" t="s">
        <v>109</v>
      </c>
      <c r="C1139" s="1" t="s">
        <v>37</v>
      </c>
      <c r="D1139" s="1" t="s">
        <v>132</v>
      </c>
      <c r="E1139" s="1" t="s">
        <v>35</v>
      </c>
      <c r="G1139" s="1" t="s">
        <v>131</v>
      </c>
      <c r="H1139" s="1" t="s">
        <v>130</v>
      </c>
      <c r="I1139" s="1" t="s">
        <v>403</v>
      </c>
      <c r="J1139" s="1">
        <v>2019</v>
      </c>
      <c r="P1139" s="1" t="s">
        <v>133</v>
      </c>
      <c r="Q1139" s="1" t="s">
        <v>27</v>
      </c>
      <c r="R1139" s="1" t="s">
        <v>26</v>
      </c>
      <c r="S1139" s="10" t="s">
        <v>68</v>
      </c>
      <c r="T1139" s="1" t="s">
        <v>67</v>
      </c>
      <c r="U1139" s="1">
        <v>1</v>
      </c>
      <c r="V1139" s="1" t="s">
        <v>23</v>
      </c>
      <c r="Y1139" s="3">
        <v>43466</v>
      </c>
      <c r="Z1139" s="1">
        <v>2019</v>
      </c>
      <c r="AA1139" s="2"/>
      <c r="AB1139" s="2"/>
      <c r="AC1139" s="2">
        <v>568854.85000000009</v>
      </c>
      <c r="AG1139" s="1" t="s">
        <v>21</v>
      </c>
      <c r="AI1139" s="2">
        <v>568854.85000000009</v>
      </c>
      <c r="AK1139" s="1"/>
      <c r="AL1139" s="1" t="s">
        <v>127</v>
      </c>
    </row>
    <row r="1140" spans="1:38" ht="15" customHeight="1" x14ac:dyDescent="0.2">
      <c r="A1140" s="1" t="s">
        <v>19</v>
      </c>
      <c r="B1140" s="5" t="s">
        <v>109</v>
      </c>
      <c r="C1140" s="1" t="s">
        <v>37</v>
      </c>
      <c r="D1140" s="1" t="s">
        <v>132</v>
      </c>
      <c r="E1140" s="1" t="s">
        <v>35</v>
      </c>
      <c r="G1140" s="1" t="s">
        <v>131</v>
      </c>
      <c r="H1140" s="1" t="s">
        <v>130</v>
      </c>
      <c r="I1140" s="1" t="s">
        <v>402</v>
      </c>
      <c r="J1140" s="1">
        <v>2018</v>
      </c>
      <c r="P1140" s="1" t="s">
        <v>136</v>
      </c>
      <c r="Q1140" s="1" t="s">
        <v>27</v>
      </c>
      <c r="R1140" s="1" t="s">
        <v>26</v>
      </c>
      <c r="S1140" s="1" t="s">
        <v>91</v>
      </c>
      <c r="T1140" s="1" t="s">
        <v>90</v>
      </c>
      <c r="U1140" s="1">
        <v>1</v>
      </c>
      <c r="V1140" s="1" t="s">
        <v>23</v>
      </c>
      <c r="Y1140" s="3">
        <v>43461</v>
      </c>
      <c r="Z1140" s="1">
        <v>2018</v>
      </c>
      <c r="AA1140" s="2"/>
      <c r="AB1140" s="2"/>
      <c r="AC1140" s="2">
        <v>473553.51000000013</v>
      </c>
      <c r="AG1140" s="1" t="s">
        <v>21</v>
      </c>
      <c r="AI1140" s="2">
        <v>473553.51000000013</v>
      </c>
      <c r="AK1140" s="1"/>
      <c r="AL1140" s="1" t="s">
        <v>127</v>
      </c>
    </row>
    <row r="1141" spans="1:38" ht="15" customHeight="1" x14ac:dyDescent="0.2">
      <c r="A1141" s="1" t="s">
        <v>19</v>
      </c>
      <c r="B1141" s="5" t="s">
        <v>109</v>
      </c>
      <c r="C1141" s="1" t="s">
        <v>37</v>
      </c>
      <c r="D1141" s="1" t="s">
        <v>132</v>
      </c>
      <c r="E1141" s="1" t="s">
        <v>35</v>
      </c>
      <c r="G1141" s="1" t="s">
        <v>131</v>
      </c>
      <c r="H1141" s="1" t="s">
        <v>130</v>
      </c>
      <c r="I1141" s="1" t="s">
        <v>401</v>
      </c>
      <c r="J1141" s="1">
        <v>2018</v>
      </c>
      <c r="P1141" s="1" t="s">
        <v>128</v>
      </c>
      <c r="Q1141" s="1" t="s">
        <v>27</v>
      </c>
      <c r="R1141" s="1" t="s">
        <v>26</v>
      </c>
      <c r="S1141" s="1" t="s">
        <v>40</v>
      </c>
      <c r="T1141" s="1" t="s">
        <v>39</v>
      </c>
      <c r="U1141" s="1">
        <v>1</v>
      </c>
      <c r="V1141" s="1" t="s">
        <v>23</v>
      </c>
      <c r="Y1141" s="3">
        <v>43463</v>
      </c>
      <c r="Z1141" s="1">
        <v>2018</v>
      </c>
      <c r="AA1141" s="2"/>
      <c r="AB1141" s="2"/>
      <c r="AC1141" s="2">
        <v>623887.96000000008</v>
      </c>
      <c r="AG1141" s="1" t="s">
        <v>21</v>
      </c>
      <c r="AI1141" s="2">
        <v>623887.96000000008</v>
      </c>
      <c r="AK1141" s="1"/>
      <c r="AL1141" s="1" t="s">
        <v>127</v>
      </c>
    </row>
    <row r="1142" spans="1:38" ht="15" customHeight="1" x14ac:dyDescent="0.2">
      <c r="A1142" s="1" t="s">
        <v>19</v>
      </c>
      <c r="B1142" s="5" t="s">
        <v>109</v>
      </c>
      <c r="C1142" s="1" t="s">
        <v>37</v>
      </c>
      <c r="D1142" s="1" t="s">
        <v>132</v>
      </c>
      <c r="E1142" s="1" t="s">
        <v>35</v>
      </c>
      <c r="G1142" s="1" t="s">
        <v>131</v>
      </c>
      <c r="H1142" s="1" t="s">
        <v>130</v>
      </c>
      <c r="I1142" s="1" t="s">
        <v>400</v>
      </c>
      <c r="J1142" s="1">
        <v>2018</v>
      </c>
      <c r="P1142" s="1" t="s">
        <v>128</v>
      </c>
      <c r="Q1142" s="1" t="s">
        <v>27</v>
      </c>
      <c r="R1142" s="1" t="s">
        <v>26</v>
      </c>
      <c r="S1142" s="1" t="s">
        <v>40</v>
      </c>
      <c r="T1142" s="1" t="s">
        <v>39</v>
      </c>
      <c r="U1142" s="1">
        <v>1</v>
      </c>
      <c r="V1142" s="1" t="s">
        <v>23</v>
      </c>
      <c r="Y1142" s="3">
        <v>43463</v>
      </c>
      <c r="Z1142" s="1">
        <v>2018</v>
      </c>
      <c r="AA1142" s="2"/>
      <c r="AB1142" s="2"/>
      <c r="AC1142" s="2">
        <v>631291.02</v>
      </c>
      <c r="AG1142" s="1" t="s">
        <v>21</v>
      </c>
      <c r="AI1142" s="2">
        <v>631291.02</v>
      </c>
      <c r="AK1142" s="1"/>
      <c r="AL1142" s="1" t="s">
        <v>127</v>
      </c>
    </row>
    <row r="1143" spans="1:38" ht="15" customHeight="1" x14ac:dyDescent="0.2">
      <c r="A1143" s="1" t="s">
        <v>19</v>
      </c>
      <c r="B1143" s="5" t="s">
        <v>109</v>
      </c>
      <c r="C1143" s="1" t="s">
        <v>37</v>
      </c>
      <c r="D1143" s="1" t="s">
        <v>132</v>
      </c>
      <c r="E1143" s="1" t="s">
        <v>35</v>
      </c>
      <c r="G1143" s="1" t="s">
        <v>131</v>
      </c>
      <c r="H1143" s="1" t="s">
        <v>130</v>
      </c>
      <c r="I1143" s="1" t="s">
        <v>399</v>
      </c>
      <c r="J1143" s="1">
        <v>2018</v>
      </c>
      <c r="P1143" s="1" t="s">
        <v>128</v>
      </c>
      <c r="Q1143" s="1" t="s">
        <v>27</v>
      </c>
      <c r="R1143" s="1" t="s">
        <v>26</v>
      </c>
      <c r="S1143" s="1" t="s">
        <v>40</v>
      </c>
      <c r="T1143" s="1" t="s">
        <v>39</v>
      </c>
      <c r="U1143" s="1">
        <v>1</v>
      </c>
      <c r="V1143" s="1" t="s">
        <v>23</v>
      </c>
      <c r="Y1143" s="3">
        <v>43463</v>
      </c>
      <c r="Z1143" s="1">
        <v>2018</v>
      </c>
      <c r="AA1143" s="2"/>
      <c r="AB1143" s="2"/>
      <c r="AC1143" s="2">
        <v>553497.30000000005</v>
      </c>
      <c r="AG1143" s="1" t="s">
        <v>21</v>
      </c>
      <c r="AI1143" s="2">
        <v>553497.30000000005</v>
      </c>
      <c r="AK1143" s="1"/>
      <c r="AL1143" s="1" t="s">
        <v>127</v>
      </c>
    </row>
    <row r="1144" spans="1:38" ht="15" customHeight="1" x14ac:dyDescent="0.25">
      <c r="A1144" s="1" t="s">
        <v>19</v>
      </c>
      <c r="B1144" s="5" t="s">
        <v>109</v>
      </c>
      <c r="C1144" s="1" t="s">
        <v>37</v>
      </c>
      <c r="D1144" s="1" t="s">
        <v>132</v>
      </c>
      <c r="E1144" s="1" t="s">
        <v>35</v>
      </c>
      <c r="G1144" s="1" t="s">
        <v>131</v>
      </c>
      <c r="H1144" s="1" t="s">
        <v>130</v>
      </c>
      <c r="I1144" s="1" t="s">
        <v>398</v>
      </c>
      <c r="J1144" s="1">
        <v>2019</v>
      </c>
      <c r="P1144" s="1" t="s">
        <v>133</v>
      </c>
      <c r="Q1144" s="1" t="s">
        <v>27</v>
      </c>
      <c r="R1144" s="1" t="s">
        <v>26</v>
      </c>
      <c r="S1144" s="10" t="s">
        <v>68</v>
      </c>
      <c r="T1144" s="1" t="s">
        <v>67</v>
      </c>
      <c r="U1144" s="1">
        <v>1</v>
      </c>
      <c r="V1144" s="1" t="s">
        <v>23</v>
      </c>
      <c r="Y1144" s="3">
        <v>43466</v>
      </c>
      <c r="Z1144" s="1">
        <v>2019</v>
      </c>
      <c r="AA1144" s="2"/>
      <c r="AB1144" s="2"/>
      <c r="AC1144" s="2">
        <v>584046.54999999993</v>
      </c>
      <c r="AG1144" s="1" t="s">
        <v>21</v>
      </c>
      <c r="AI1144" s="2">
        <v>584046.54999999993</v>
      </c>
      <c r="AK1144" s="1"/>
      <c r="AL1144" s="1" t="s">
        <v>127</v>
      </c>
    </row>
    <row r="1145" spans="1:38" ht="15" customHeight="1" x14ac:dyDescent="0.2">
      <c r="A1145" s="1" t="s">
        <v>19</v>
      </c>
      <c r="B1145" s="5" t="s">
        <v>109</v>
      </c>
      <c r="C1145" s="1" t="s">
        <v>37</v>
      </c>
      <c r="D1145" s="1" t="s">
        <v>132</v>
      </c>
      <c r="E1145" s="1" t="s">
        <v>35</v>
      </c>
      <c r="G1145" s="1" t="s">
        <v>131</v>
      </c>
      <c r="H1145" s="1" t="s">
        <v>130</v>
      </c>
      <c r="I1145" s="1" t="s">
        <v>397</v>
      </c>
      <c r="J1145" s="1">
        <v>2018</v>
      </c>
      <c r="P1145" s="1" t="s">
        <v>136</v>
      </c>
      <c r="Q1145" s="1" t="s">
        <v>27</v>
      </c>
      <c r="R1145" s="1" t="s">
        <v>26</v>
      </c>
      <c r="S1145" s="1" t="s">
        <v>91</v>
      </c>
      <c r="T1145" s="1" t="s">
        <v>90</v>
      </c>
      <c r="U1145" s="1">
        <v>1</v>
      </c>
      <c r="V1145" s="1" t="s">
        <v>23</v>
      </c>
      <c r="Y1145" s="3">
        <v>43461</v>
      </c>
      <c r="Z1145" s="1">
        <v>2018</v>
      </c>
      <c r="AA1145" s="2"/>
      <c r="AB1145" s="2"/>
      <c r="AC1145" s="2">
        <v>547951.24</v>
      </c>
      <c r="AG1145" s="1" t="s">
        <v>21</v>
      </c>
      <c r="AI1145" s="2">
        <v>547951.24</v>
      </c>
      <c r="AK1145" s="1"/>
      <c r="AL1145" s="1" t="s">
        <v>127</v>
      </c>
    </row>
    <row r="1146" spans="1:38" ht="15" customHeight="1" x14ac:dyDescent="0.2">
      <c r="A1146" s="1" t="s">
        <v>19</v>
      </c>
      <c r="B1146" s="5" t="s">
        <v>109</v>
      </c>
      <c r="C1146" s="1" t="s">
        <v>37</v>
      </c>
      <c r="D1146" s="1" t="s">
        <v>132</v>
      </c>
      <c r="E1146" s="1" t="s">
        <v>35</v>
      </c>
      <c r="G1146" s="1" t="s">
        <v>131</v>
      </c>
      <c r="H1146" s="1" t="s">
        <v>130</v>
      </c>
      <c r="I1146" s="1" t="s">
        <v>396</v>
      </c>
      <c r="J1146" s="1">
        <v>2018</v>
      </c>
      <c r="P1146" s="1" t="s">
        <v>128</v>
      </c>
      <c r="Q1146" s="1" t="s">
        <v>27</v>
      </c>
      <c r="R1146" s="1" t="s">
        <v>26</v>
      </c>
      <c r="S1146" s="1" t="s">
        <v>40</v>
      </c>
      <c r="T1146" s="1" t="s">
        <v>39</v>
      </c>
      <c r="U1146" s="1">
        <v>1</v>
      </c>
      <c r="V1146" s="1" t="s">
        <v>23</v>
      </c>
      <c r="Y1146" s="3">
        <v>43463</v>
      </c>
      <c r="Z1146" s="1">
        <v>2018</v>
      </c>
      <c r="AA1146" s="2"/>
      <c r="AB1146" s="2"/>
      <c r="AC1146" s="2">
        <v>598766.01</v>
      </c>
      <c r="AG1146" s="1" t="s">
        <v>21</v>
      </c>
      <c r="AI1146" s="2">
        <v>598766.01</v>
      </c>
      <c r="AK1146" s="1"/>
      <c r="AL1146" s="1" t="s">
        <v>127</v>
      </c>
    </row>
    <row r="1147" spans="1:38" ht="15" customHeight="1" x14ac:dyDescent="0.2">
      <c r="A1147" s="1" t="s">
        <v>19</v>
      </c>
      <c r="B1147" s="5" t="s">
        <v>109</v>
      </c>
      <c r="C1147" s="1" t="s">
        <v>37</v>
      </c>
      <c r="D1147" s="1" t="s">
        <v>132</v>
      </c>
      <c r="E1147" s="1" t="s">
        <v>35</v>
      </c>
      <c r="G1147" s="1" t="s">
        <v>131</v>
      </c>
      <c r="H1147" s="1" t="s">
        <v>130</v>
      </c>
      <c r="I1147" s="1" t="s">
        <v>395</v>
      </c>
      <c r="J1147" s="1">
        <v>2018</v>
      </c>
      <c r="P1147" s="1" t="s">
        <v>136</v>
      </c>
      <c r="Q1147" s="1" t="s">
        <v>27</v>
      </c>
      <c r="R1147" s="1" t="s">
        <v>26</v>
      </c>
      <c r="S1147" s="1" t="s">
        <v>91</v>
      </c>
      <c r="T1147" s="1" t="s">
        <v>90</v>
      </c>
      <c r="U1147" s="1">
        <v>1</v>
      </c>
      <c r="V1147" s="1" t="s">
        <v>23</v>
      </c>
      <c r="Y1147" s="3">
        <v>43461</v>
      </c>
      <c r="Z1147" s="1">
        <v>2018</v>
      </c>
      <c r="AA1147" s="2"/>
      <c r="AB1147" s="2"/>
      <c r="AC1147" s="2">
        <v>395745.38</v>
      </c>
      <c r="AG1147" s="1" t="s">
        <v>21</v>
      </c>
      <c r="AI1147" s="2">
        <v>395745.38</v>
      </c>
      <c r="AK1147" s="1"/>
      <c r="AL1147" s="1" t="s">
        <v>127</v>
      </c>
    </row>
    <row r="1148" spans="1:38" ht="15" customHeight="1" x14ac:dyDescent="0.25">
      <c r="A1148" s="1" t="s">
        <v>19</v>
      </c>
      <c r="B1148" s="5" t="s">
        <v>109</v>
      </c>
      <c r="C1148" s="1" t="s">
        <v>37</v>
      </c>
      <c r="D1148" s="1" t="s">
        <v>132</v>
      </c>
      <c r="E1148" s="1" t="s">
        <v>35</v>
      </c>
      <c r="G1148" s="1" t="s">
        <v>131</v>
      </c>
      <c r="H1148" s="1" t="s">
        <v>130</v>
      </c>
      <c r="I1148" s="1" t="s">
        <v>394</v>
      </c>
      <c r="J1148" s="1">
        <v>2019</v>
      </c>
      <c r="P1148" s="1" t="s">
        <v>133</v>
      </c>
      <c r="Q1148" s="1" t="s">
        <v>27</v>
      </c>
      <c r="R1148" s="1" t="s">
        <v>26</v>
      </c>
      <c r="S1148" s="10" t="s">
        <v>68</v>
      </c>
      <c r="T1148" s="1" t="s">
        <v>67</v>
      </c>
      <c r="U1148" s="1">
        <v>1</v>
      </c>
      <c r="V1148" s="1" t="s">
        <v>23</v>
      </c>
      <c r="Y1148" s="3">
        <v>43525</v>
      </c>
      <c r="Z1148" s="1">
        <v>2019</v>
      </c>
      <c r="AA1148" s="2"/>
      <c r="AB1148" s="2"/>
      <c r="AC1148" s="2">
        <v>750766.86999999988</v>
      </c>
      <c r="AG1148" s="1" t="s">
        <v>21</v>
      </c>
      <c r="AI1148" s="2">
        <v>750766.86999999988</v>
      </c>
      <c r="AK1148" s="1"/>
      <c r="AL1148" s="1" t="s">
        <v>127</v>
      </c>
    </row>
    <row r="1149" spans="1:38" ht="15" customHeight="1" x14ac:dyDescent="0.2">
      <c r="A1149" s="1" t="s">
        <v>19</v>
      </c>
      <c r="B1149" s="5" t="s">
        <v>109</v>
      </c>
      <c r="C1149" s="1" t="s">
        <v>37</v>
      </c>
      <c r="D1149" s="1" t="s">
        <v>132</v>
      </c>
      <c r="E1149" s="1" t="s">
        <v>35</v>
      </c>
      <c r="G1149" s="1" t="s">
        <v>131</v>
      </c>
      <c r="H1149" s="1" t="s">
        <v>130</v>
      </c>
      <c r="I1149" s="1" t="s">
        <v>393</v>
      </c>
      <c r="J1149" s="1">
        <v>2018</v>
      </c>
      <c r="P1149" s="1" t="s">
        <v>128</v>
      </c>
      <c r="Q1149" s="1" t="s">
        <v>27</v>
      </c>
      <c r="R1149" s="1" t="s">
        <v>26</v>
      </c>
      <c r="S1149" s="1" t="s">
        <v>40</v>
      </c>
      <c r="T1149" s="1" t="s">
        <v>39</v>
      </c>
      <c r="U1149" s="1">
        <v>1</v>
      </c>
      <c r="V1149" s="1" t="s">
        <v>23</v>
      </c>
      <c r="Y1149" s="3">
        <v>43463</v>
      </c>
      <c r="Z1149" s="1">
        <v>2018</v>
      </c>
      <c r="AA1149" s="2"/>
      <c r="AB1149" s="2"/>
      <c r="AC1149" s="2">
        <v>591019.15</v>
      </c>
      <c r="AG1149" s="1" t="s">
        <v>21</v>
      </c>
      <c r="AI1149" s="2">
        <v>591019.15</v>
      </c>
      <c r="AK1149" s="1"/>
      <c r="AL1149" s="1" t="s">
        <v>127</v>
      </c>
    </row>
    <row r="1150" spans="1:38" ht="15" customHeight="1" x14ac:dyDescent="0.2">
      <c r="A1150" s="1" t="s">
        <v>19</v>
      </c>
      <c r="B1150" s="5" t="s">
        <v>109</v>
      </c>
      <c r="C1150" s="1" t="s">
        <v>37</v>
      </c>
      <c r="D1150" s="1" t="s">
        <v>132</v>
      </c>
      <c r="E1150" s="1" t="s">
        <v>35</v>
      </c>
      <c r="G1150" s="1" t="s">
        <v>131</v>
      </c>
      <c r="H1150" s="1" t="s">
        <v>130</v>
      </c>
      <c r="I1150" s="1" t="s">
        <v>392</v>
      </c>
      <c r="J1150" s="1">
        <v>2018</v>
      </c>
      <c r="P1150" s="1" t="s">
        <v>136</v>
      </c>
      <c r="Q1150" s="1" t="s">
        <v>27</v>
      </c>
      <c r="R1150" s="1" t="s">
        <v>26</v>
      </c>
      <c r="S1150" s="1" t="s">
        <v>91</v>
      </c>
      <c r="T1150" s="1" t="s">
        <v>90</v>
      </c>
      <c r="U1150" s="1">
        <v>1</v>
      </c>
      <c r="V1150" s="1" t="s">
        <v>23</v>
      </c>
      <c r="Y1150" s="3">
        <v>43461</v>
      </c>
      <c r="Z1150" s="1">
        <v>2018</v>
      </c>
      <c r="AA1150" s="2"/>
      <c r="AB1150" s="2"/>
      <c r="AC1150" s="2">
        <v>493573.08999999997</v>
      </c>
      <c r="AG1150" s="1" t="s">
        <v>21</v>
      </c>
      <c r="AI1150" s="2">
        <v>493573.08999999997</v>
      </c>
      <c r="AK1150" s="1"/>
      <c r="AL1150" s="1" t="s">
        <v>127</v>
      </c>
    </row>
    <row r="1151" spans="1:38" ht="15" customHeight="1" x14ac:dyDescent="0.2">
      <c r="A1151" s="1" t="s">
        <v>19</v>
      </c>
      <c r="B1151" s="5" t="s">
        <v>109</v>
      </c>
      <c r="C1151" s="1" t="s">
        <v>37</v>
      </c>
      <c r="D1151" s="1" t="s">
        <v>132</v>
      </c>
      <c r="E1151" s="1" t="s">
        <v>35</v>
      </c>
      <c r="G1151" s="1" t="s">
        <v>131</v>
      </c>
      <c r="H1151" s="1" t="s">
        <v>130</v>
      </c>
      <c r="I1151" s="1" t="s">
        <v>391</v>
      </c>
      <c r="J1151" s="1">
        <v>2018</v>
      </c>
      <c r="P1151" s="1" t="s">
        <v>136</v>
      </c>
      <c r="Q1151" s="1" t="s">
        <v>27</v>
      </c>
      <c r="R1151" s="1" t="s">
        <v>26</v>
      </c>
      <c r="S1151" s="1" t="s">
        <v>91</v>
      </c>
      <c r="T1151" s="1" t="s">
        <v>90</v>
      </c>
      <c r="U1151" s="1">
        <v>1</v>
      </c>
      <c r="V1151" s="1" t="s">
        <v>23</v>
      </c>
      <c r="Y1151" s="3">
        <v>43461</v>
      </c>
      <c r="Z1151" s="1">
        <v>2018</v>
      </c>
      <c r="AA1151" s="2"/>
      <c r="AB1151" s="2"/>
      <c r="AC1151" s="2">
        <v>388040.26</v>
      </c>
      <c r="AG1151" s="1" t="s">
        <v>21</v>
      </c>
      <c r="AI1151" s="2">
        <v>388040.26</v>
      </c>
      <c r="AK1151" s="1"/>
      <c r="AL1151" s="1" t="s">
        <v>127</v>
      </c>
    </row>
    <row r="1152" spans="1:38" ht="15" customHeight="1" x14ac:dyDescent="0.25">
      <c r="A1152" s="1" t="s">
        <v>19</v>
      </c>
      <c r="B1152" s="5" t="s">
        <v>109</v>
      </c>
      <c r="C1152" s="1" t="s">
        <v>37</v>
      </c>
      <c r="D1152" s="1" t="s">
        <v>132</v>
      </c>
      <c r="E1152" s="1" t="s">
        <v>35</v>
      </c>
      <c r="G1152" s="1" t="s">
        <v>131</v>
      </c>
      <c r="H1152" s="1" t="s">
        <v>130</v>
      </c>
      <c r="I1152" s="1" t="s">
        <v>390</v>
      </c>
      <c r="J1152" s="1">
        <v>2019</v>
      </c>
      <c r="P1152" s="1" t="s">
        <v>133</v>
      </c>
      <c r="Q1152" s="1" t="s">
        <v>27</v>
      </c>
      <c r="R1152" s="1" t="s">
        <v>26</v>
      </c>
      <c r="S1152" s="10" t="s">
        <v>68</v>
      </c>
      <c r="T1152" s="1" t="s">
        <v>67</v>
      </c>
      <c r="U1152" s="1">
        <v>1</v>
      </c>
      <c r="V1152" s="1" t="s">
        <v>23</v>
      </c>
      <c r="Y1152" s="3">
        <v>43525</v>
      </c>
      <c r="Z1152" s="1">
        <v>2019</v>
      </c>
      <c r="AA1152" s="2"/>
      <c r="AB1152" s="2"/>
      <c r="AC1152" s="2">
        <v>704892.09</v>
      </c>
      <c r="AG1152" s="1" t="s">
        <v>21</v>
      </c>
      <c r="AI1152" s="2">
        <v>704892.09</v>
      </c>
      <c r="AK1152" s="1"/>
      <c r="AL1152" s="1" t="s">
        <v>127</v>
      </c>
    </row>
    <row r="1153" spans="1:38" ht="15" customHeight="1" x14ac:dyDescent="0.25">
      <c r="A1153" s="1" t="s">
        <v>19</v>
      </c>
      <c r="B1153" s="5" t="s">
        <v>109</v>
      </c>
      <c r="C1153" s="1" t="s">
        <v>37</v>
      </c>
      <c r="D1153" s="1" t="s">
        <v>132</v>
      </c>
      <c r="E1153" s="1" t="s">
        <v>35</v>
      </c>
      <c r="G1153" s="1" t="s">
        <v>131</v>
      </c>
      <c r="H1153" s="1" t="s">
        <v>130</v>
      </c>
      <c r="I1153" s="1" t="s">
        <v>389</v>
      </c>
      <c r="J1153" s="1">
        <v>2019</v>
      </c>
      <c r="P1153" s="1" t="s">
        <v>133</v>
      </c>
      <c r="Q1153" s="1" t="s">
        <v>27</v>
      </c>
      <c r="R1153" s="1" t="s">
        <v>26</v>
      </c>
      <c r="S1153" s="10" t="s">
        <v>68</v>
      </c>
      <c r="T1153" s="1" t="s">
        <v>67</v>
      </c>
      <c r="U1153" s="1">
        <v>1</v>
      </c>
      <c r="V1153" s="1" t="s">
        <v>23</v>
      </c>
      <c r="Y1153" s="3">
        <v>43709</v>
      </c>
      <c r="Z1153" s="1">
        <v>2019</v>
      </c>
      <c r="AA1153" s="2"/>
      <c r="AB1153" s="2"/>
      <c r="AC1153" s="2">
        <v>800577.8</v>
      </c>
      <c r="AG1153" s="1" t="s">
        <v>21</v>
      </c>
      <c r="AI1153" s="2">
        <v>800577.8</v>
      </c>
      <c r="AK1153" s="1"/>
      <c r="AL1153" s="1" t="s">
        <v>127</v>
      </c>
    </row>
    <row r="1154" spans="1:38" ht="15" customHeight="1" x14ac:dyDescent="0.2">
      <c r="A1154" s="1" t="s">
        <v>19</v>
      </c>
      <c r="B1154" s="5" t="s">
        <v>109</v>
      </c>
      <c r="C1154" s="1" t="s">
        <v>37</v>
      </c>
      <c r="D1154" s="1" t="s">
        <v>132</v>
      </c>
      <c r="E1154" s="1" t="s">
        <v>35</v>
      </c>
      <c r="G1154" s="1" t="s">
        <v>131</v>
      </c>
      <c r="H1154" s="1" t="s">
        <v>130</v>
      </c>
      <c r="I1154" s="1" t="s">
        <v>388</v>
      </c>
      <c r="J1154" s="1">
        <v>2018</v>
      </c>
      <c r="P1154" s="1" t="s">
        <v>136</v>
      </c>
      <c r="Q1154" s="1" t="s">
        <v>27</v>
      </c>
      <c r="R1154" s="1" t="s">
        <v>26</v>
      </c>
      <c r="S1154" s="1" t="s">
        <v>91</v>
      </c>
      <c r="T1154" s="1" t="s">
        <v>90</v>
      </c>
      <c r="U1154" s="1">
        <v>1</v>
      </c>
      <c r="V1154" s="1" t="s">
        <v>23</v>
      </c>
      <c r="Y1154" s="3">
        <v>43461</v>
      </c>
      <c r="Z1154" s="1">
        <v>2018</v>
      </c>
      <c r="AA1154" s="2"/>
      <c r="AB1154" s="2"/>
      <c r="AC1154" s="2">
        <v>430069.95999999996</v>
      </c>
      <c r="AG1154" s="1" t="s">
        <v>21</v>
      </c>
      <c r="AI1154" s="2">
        <v>430069.95999999996</v>
      </c>
      <c r="AK1154" s="1"/>
      <c r="AL1154" s="1" t="s">
        <v>127</v>
      </c>
    </row>
    <row r="1155" spans="1:38" ht="15" customHeight="1" x14ac:dyDescent="0.25">
      <c r="A1155" s="1" t="s">
        <v>19</v>
      </c>
      <c r="B1155" s="5" t="s">
        <v>109</v>
      </c>
      <c r="C1155" s="1" t="s">
        <v>37</v>
      </c>
      <c r="D1155" s="1" t="s">
        <v>132</v>
      </c>
      <c r="E1155" s="1" t="s">
        <v>35</v>
      </c>
      <c r="G1155" s="1" t="s">
        <v>131</v>
      </c>
      <c r="H1155" s="1" t="s">
        <v>130</v>
      </c>
      <c r="I1155" s="1" t="s">
        <v>387</v>
      </c>
      <c r="J1155" s="1">
        <v>2019</v>
      </c>
      <c r="P1155" s="1" t="s">
        <v>133</v>
      </c>
      <c r="Q1155" s="1" t="s">
        <v>27</v>
      </c>
      <c r="R1155" s="1" t="s">
        <v>26</v>
      </c>
      <c r="S1155" s="10" t="s">
        <v>68</v>
      </c>
      <c r="T1155" s="1" t="s">
        <v>67</v>
      </c>
      <c r="U1155" s="1">
        <v>1</v>
      </c>
      <c r="V1155" s="1" t="s">
        <v>23</v>
      </c>
      <c r="Y1155" s="3">
        <v>43534</v>
      </c>
      <c r="Z1155" s="1">
        <v>2019</v>
      </c>
      <c r="AA1155" s="2"/>
      <c r="AB1155" s="2"/>
      <c r="AC1155" s="2">
        <v>638515.54</v>
      </c>
      <c r="AG1155" s="1" t="s">
        <v>21</v>
      </c>
      <c r="AI1155" s="2">
        <v>638515.54</v>
      </c>
      <c r="AK1155" s="1"/>
      <c r="AL1155" s="1" t="s">
        <v>127</v>
      </c>
    </row>
    <row r="1156" spans="1:38" ht="15" customHeight="1" x14ac:dyDescent="0.25">
      <c r="A1156" s="1" t="s">
        <v>19</v>
      </c>
      <c r="B1156" s="5" t="s">
        <v>109</v>
      </c>
      <c r="C1156" s="1" t="s">
        <v>37</v>
      </c>
      <c r="D1156" s="1" t="s">
        <v>132</v>
      </c>
      <c r="E1156" s="1" t="s">
        <v>35</v>
      </c>
      <c r="G1156" s="1" t="s">
        <v>131</v>
      </c>
      <c r="H1156" s="1" t="s">
        <v>130</v>
      </c>
      <c r="I1156" s="1" t="s">
        <v>386</v>
      </c>
      <c r="J1156" s="1">
        <v>2021</v>
      </c>
      <c r="P1156" s="1" t="s">
        <v>133</v>
      </c>
      <c r="Q1156" s="1" t="s">
        <v>27</v>
      </c>
      <c r="R1156" s="1" t="s">
        <v>26</v>
      </c>
      <c r="S1156" s="10" t="s">
        <v>68</v>
      </c>
      <c r="T1156" s="1" t="s">
        <v>67</v>
      </c>
      <c r="U1156" s="1">
        <v>1</v>
      </c>
      <c r="V1156" s="1" t="s">
        <v>23</v>
      </c>
      <c r="Y1156" s="3">
        <v>44197</v>
      </c>
      <c r="Z1156" s="1">
        <v>2021</v>
      </c>
      <c r="AA1156" s="2"/>
      <c r="AB1156" s="2"/>
      <c r="AC1156" s="2">
        <v>652581.77999999991</v>
      </c>
      <c r="AG1156" s="1" t="s">
        <v>21</v>
      </c>
      <c r="AI1156" s="2">
        <v>652581.77999999991</v>
      </c>
      <c r="AK1156" s="1"/>
      <c r="AL1156" s="1" t="s">
        <v>127</v>
      </c>
    </row>
    <row r="1157" spans="1:38" ht="15" customHeight="1" x14ac:dyDescent="0.2">
      <c r="A1157" s="1" t="s">
        <v>19</v>
      </c>
      <c r="B1157" s="5" t="s">
        <v>109</v>
      </c>
      <c r="C1157" s="1" t="s">
        <v>37</v>
      </c>
      <c r="D1157" s="1" t="s">
        <v>132</v>
      </c>
      <c r="E1157" s="1" t="s">
        <v>35</v>
      </c>
      <c r="G1157" s="1" t="s">
        <v>131</v>
      </c>
      <c r="H1157" s="1" t="s">
        <v>130</v>
      </c>
      <c r="I1157" s="1" t="s">
        <v>385</v>
      </c>
      <c r="J1157" s="1">
        <v>2018</v>
      </c>
      <c r="P1157" s="1" t="s">
        <v>128</v>
      </c>
      <c r="Q1157" s="1" t="s">
        <v>27</v>
      </c>
      <c r="R1157" s="1" t="s">
        <v>26</v>
      </c>
      <c r="S1157" s="1" t="s">
        <v>40</v>
      </c>
      <c r="T1157" s="1" t="s">
        <v>39</v>
      </c>
      <c r="U1157" s="1">
        <v>1</v>
      </c>
      <c r="V1157" s="1" t="s">
        <v>23</v>
      </c>
      <c r="Y1157" s="3">
        <v>43463</v>
      </c>
      <c r="Z1157" s="1">
        <v>2018</v>
      </c>
      <c r="AA1157" s="2"/>
      <c r="AB1157" s="2"/>
      <c r="AC1157" s="2">
        <v>783826.37999999977</v>
      </c>
      <c r="AG1157" s="1" t="s">
        <v>21</v>
      </c>
      <c r="AI1157" s="2">
        <v>783826.37999999977</v>
      </c>
      <c r="AK1157" s="1"/>
      <c r="AL1157" s="1" t="s">
        <v>127</v>
      </c>
    </row>
    <row r="1158" spans="1:38" ht="15" customHeight="1" x14ac:dyDescent="0.25">
      <c r="A1158" s="1" t="s">
        <v>19</v>
      </c>
      <c r="B1158" s="5" t="s">
        <v>109</v>
      </c>
      <c r="C1158" s="1" t="s">
        <v>37</v>
      </c>
      <c r="D1158" s="1" t="s">
        <v>132</v>
      </c>
      <c r="E1158" s="1" t="s">
        <v>35</v>
      </c>
      <c r="G1158" s="1" t="s">
        <v>131</v>
      </c>
      <c r="H1158" s="1" t="s">
        <v>130</v>
      </c>
      <c r="I1158" s="1" t="s">
        <v>384</v>
      </c>
      <c r="J1158" s="1">
        <v>2019</v>
      </c>
      <c r="P1158" s="1" t="s">
        <v>133</v>
      </c>
      <c r="Q1158" s="1" t="s">
        <v>27</v>
      </c>
      <c r="R1158" s="1" t="s">
        <v>26</v>
      </c>
      <c r="S1158" s="10" t="s">
        <v>68</v>
      </c>
      <c r="T1158" s="1" t="s">
        <v>67</v>
      </c>
      <c r="U1158" s="1">
        <v>1</v>
      </c>
      <c r="V1158" s="1" t="s">
        <v>23</v>
      </c>
      <c r="Y1158" s="3">
        <v>43525</v>
      </c>
      <c r="Z1158" s="1">
        <v>2019</v>
      </c>
      <c r="AA1158" s="2"/>
      <c r="AB1158" s="2"/>
      <c r="AC1158" s="2">
        <v>712016.69</v>
      </c>
      <c r="AG1158" s="1" t="s">
        <v>21</v>
      </c>
      <c r="AI1158" s="2">
        <v>712016.69</v>
      </c>
      <c r="AK1158" s="1"/>
      <c r="AL1158" s="1" t="s">
        <v>127</v>
      </c>
    </row>
    <row r="1159" spans="1:38" ht="15" customHeight="1" x14ac:dyDescent="0.25">
      <c r="A1159" s="1" t="s">
        <v>19</v>
      </c>
      <c r="B1159" s="5" t="s">
        <v>109</v>
      </c>
      <c r="C1159" s="1" t="s">
        <v>37</v>
      </c>
      <c r="D1159" s="1" t="s">
        <v>132</v>
      </c>
      <c r="E1159" s="1" t="s">
        <v>35</v>
      </c>
      <c r="G1159" s="1" t="s">
        <v>131</v>
      </c>
      <c r="H1159" s="1" t="s">
        <v>130</v>
      </c>
      <c r="I1159" s="1" t="s">
        <v>383</v>
      </c>
      <c r="J1159" s="1">
        <v>2019</v>
      </c>
      <c r="P1159" s="1" t="s">
        <v>133</v>
      </c>
      <c r="Q1159" s="1" t="s">
        <v>27</v>
      </c>
      <c r="R1159" s="1" t="s">
        <v>26</v>
      </c>
      <c r="S1159" s="10" t="s">
        <v>68</v>
      </c>
      <c r="T1159" s="1" t="s">
        <v>67</v>
      </c>
      <c r="U1159" s="1">
        <v>1</v>
      </c>
      <c r="V1159" s="1" t="s">
        <v>23</v>
      </c>
      <c r="Y1159" s="3">
        <v>43466</v>
      </c>
      <c r="Z1159" s="1">
        <v>2019</v>
      </c>
      <c r="AA1159" s="2"/>
      <c r="AB1159" s="2"/>
      <c r="AC1159" s="2">
        <v>807426.01999999979</v>
      </c>
      <c r="AG1159" s="1" t="s">
        <v>21</v>
      </c>
      <c r="AI1159" s="2">
        <v>807426.01999999979</v>
      </c>
      <c r="AK1159" s="1"/>
      <c r="AL1159" s="1" t="s">
        <v>127</v>
      </c>
    </row>
    <row r="1160" spans="1:38" ht="15" customHeight="1" x14ac:dyDescent="0.25">
      <c r="A1160" s="1" t="s">
        <v>19</v>
      </c>
      <c r="B1160" s="5" t="s">
        <v>109</v>
      </c>
      <c r="C1160" s="1" t="s">
        <v>37</v>
      </c>
      <c r="D1160" s="1" t="s">
        <v>132</v>
      </c>
      <c r="E1160" s="1" t="s">
        <v>35</v>
      </c>
      <c r="G1160" s="1" t="s">
        <v>131</v>
      </c>
      <c r="H1160" s="1" t="s">
        <v>130</v>
      </c>
      <c r="I1160" s="1" t="s">
        <v>382</v>
      </c>
      <c r="J1160" s="1">
        <v>2021</v>
      </c>
      <c r="P1160" s="1" t="s">
        <v>133</v>
      </c>
      <c r="Q1160" s="1" t="s">
        <v>27</v>
      </c>
      <c r="R1160" s="1" t="s">
        <v>26</v>
      </c>
      <c r="S1160" s="10" t="s">
        <v>68</v>
      </c>
      <c r="T1160" s="1" t="s">
        <v>67</v>
      </c>
      <c r="U1160" s="1">
        <v>1</v>
      </c>
      <c r="V1160" s="1" t="s">
        <v>23</v>
      </c>
      <c r="Y1160" s="3">
        <v>44378</v>
      </c>
      <c r="Z1160" s="1">
        <v>2021</v>
      </c>
      <c r="AA1160" s="2"/>
      <c r="AB1160" s="2"/>
      <c r="AC1160" s="2">
        <v>981344.75</v>
      </c>
      <c r="AG1160" s="1" t="s">
        <v>21</v>
      </c>
      <c r="AI1160" s="2">
        <v>981344.75</v>
      </c>
      <c r="AK1160" s="1"/>
      <c r="AL1160" s="1" t="s">
        <v>127</v>
      </c>
    </row>
    <row r="1161" spans="1:38" ht="15" customHeight="1" x14ac:dyDescent="0.25">
      <c r="A1161" s="1" t="s">
        <v>19</v>
      </c>
      <c r="B1161" s="5" t="s">
        <v>109</v>
      </c>
      <c r="C1161" s="1" t="s">
        <v>37</v>
      </c>
      <c r="D1161" s="1" t="s">
        <v>132</v>
      </c>
      <c r="E1161" s="1" t="s">
        <v>35</v>
      </c>
      <c r="G1161" s="1" t="s">
        <v>131</v>
      </c>
      <c r="H1161" s="1" t="s">
        <v>130</v>
      </c>
      <c r="I1161" s="1" t="s">
        <v>381</v>
      </c>
      <c r="J1161" s="1">
        <v>2020</v>
      </c>
      <c r="P1161" s="1" t="s">
        <v>133</v>
      </c>
      <c r="Q1161" s="1" t="s">
        <v>27</v>
      </c>
      <c r="R1161" s="1" t="s">
        <v>26</v>
      </c>
      <c r="S1161" s="10" t="s">
        <v>68</v>
      </c>
      <c r="T1161" s="1" t="s">
        <v>67</v>
      </c>
      <c r="U1161" s="1">
        <v>1</v>
      </c>
      <c r="V1161" s="1" t="s">
        <v>23</v>
      </c>
      <c r="Y1161" s="3">
        <v>44166</v>
      </c>
      <c r="Z1161" s="1">
        <v>2020</v>
      </c>
      <c r="AA1161" s="2"/>
      <c r="AB1161" s="2"/>
      <c r="AC1161" s="2">
        <v>619996.40999999992</v>
      </c>
      <c r="AG1161" s="1" t="s">
        <v>21</v>
      </c>
      <c r="AI1161" s="2">
        <v>619996.40999999992</v>
      </c>
      <c r="AK1161" s="1"/>
      <c r="AL1161" s="1" t="s">
        <v>127</v>
      </c>
    </row>
    <row r="1162" spans="1:38" ht="15" customHeight="1" x14ac:dyDescent="0.25">
      <c r="A1162" s="1" t="s">
        <v>19</v>
      </c>
      <c r="B1162" s="5" t="s">
        <v>109</v>
      </c>
      <c r="C1162" s="1" t="s">
        <v>37</v>
      </c>
      <c r="D1162" s="1" t="s">
        <v>132</v>
      </c>
      <c r="E1162" s="1" t="s">
        <v>35</v>
      </c>
      <c r="G1162" s="1" t="s">
        <v>131</v>
      </c>
      <c r="H1162" s="1" t="s">
        <v>130</v>
      </c>
      <c r="I1162" s="1" t="s">
        <v>380</v>
      </c>
      <c r="J1162" s="1">
        <v>2019</v>
      </c>
      <c r="P1162" s="1" t="s">
        <v>133</v>
      </c>
      <c r="Q1162" s="1" t="s">
        <v>27</v>
      </c>
      <c r="R1162" s="1" t="s">
        <v>26</v>
      </c>
      <c r="S1162" s="10" t="s">
        <v>68</v>
      </c>
      <c r="T1162" s="1" t="s">
        <v>67</v>
      </c>
      <c r="U1162" s="1">
        <v>1</v>
      </c>
      <c r="V1162" s="1" t="s">
        <v>23</v>
      </c>
      <c r="Y1162" s="3">
        <v>43466</v>
      </c>
      <c r="Z1162" s="1">
        <v>2019</v>
      </c>
      <c r="AA1162" s="2"/>
      <c r="AB1162" s="2"/>
      <c r="AC1162" s="2">
        <v>800049.55</v>
      </c>
      <c r="AG1162" s="1" t="s">
        <v>21</v>
      </c>
      <c r="AI1162" s="2">
        <v>800049.55</v>
      </c>
      <c r="AK1162" s="1"/>
      <c r="AL1162" s="1" t="s">
        <v>127</v>
      </c>
    </row>
    <row r="1163" spans="1:38" ht="15" customHeight="1" x14ac:dyDescent="0.25">
      <c r="A1163" s="1" t="s">
        <v>19</v>
      </c>
      <c r="B1163" s="5" t="s">
        <v>109</v>
      </c>
      <c r="C1163" s="1" t="s">
        <v>37</v>
      </c>
      <c r="D1163" s="1" t="s">
        <v>132</v>
      </c>
      <c r="E1163" s="1" t="s">
        <v>35</v>
      </c>
      <c r="G1163" s="1" t="s">
        <v>131</v>
      </c>
      <c r="H1163" s="1" t="s">
        <v>130</v>
      </c>
      <c r="I1163" s="1" t="s">
        <v>379</v>
      </c>
      <c r="J1163" s="1">
        <v>2021</v>
      </c>
      <c r="P1163" s="1" t="s">
        <v>133</v>
      </c>
      <c r="Q1163" s="1" t="s">
        <v>27</v>
      </c>
      <c r="R1163" s="1" t="s">
        <v>26</v>
      </c>
      <c r="S1163" s="10" t="s">
        <v>68</v>
      </c>
      <c r="T1163" s="1" t="s">
        <v>67</v>
      </c>
      <c r="U1163" s="1">
        <v>1</v>
      </c>
      <c r="V1163" s="1" t="s">
        <v>23</v>
      </c>
      <c r="Y1163" s="3">
        <v>44317</v>
      </c>
      <c r="Z1163" s="1">
        <v>2021</v>
      </c>
      <c r="AA1163" s="2"/>
      <c r="AB1163" s="2"/>
      <c r="AC1163" s="2">
        <v>874768.7300000001</v>
      </c>
      <c r="AG1163" s="1" t="s">
        <v>21</v>
      </c>
      <c r="AI1163" s="2">
        <v>874768.7300000001</v>
      </c>
      <c r="AK1163" s="1"/>
      <c r="AL1163" s="1" t="s">
        <v>127</v>
      </c>
    </row>
    <row r="1164" spans="1:38" ht="15" customHeight="1" x14ac:dyDescent="0.25">
      <c r="A1164" s="1" t="s">
        <v>19</v>
      </c>
      <c r="B1164" s="5" t="s">
        <v>109</v>
      </c>
      <c r="C1164" s="1" t="s">
        <v>37</v>
      </c>
      <c r="D1164" s="1" t="s">
        <v>132</v>
      </c>
      <c r="E1164" s="1" t="s">
        <v>35</v>
      </c>
      <c r="G1164" s="1" t="s">
        <v>131</v>
      </c>
      <c r="H1164" s="1" t="s">
        <v>130</v>
      </c>
      <c r="I1164" s="1" t="s">
        <v>378</v>
      </c>
      <c r="J1164" s="1">
        <v>2019</v>
      </c>
      <c r="P1164" s="1" t="s">
        <v>133</v>
      </c>
      <c r="Q1164" s="1" t="s">
        <v>27</v>
      </c>
      <c r="R1164" s="1" t="s">
        <v>26</v>
      </c>
      <c r="S1164" s="10" t="s">
        <v>68</v>
      </c>
      <c r="T1164" s="1" t="s">
        <v>67</v>
      </c>
      <c r="U1164" s="1">
        <v>1</v>
      </c>
      <c r="V1164" s="1" t="s">
        <v>23</v>
      </c>
      <c r="Y1164" s="3">
        <v>43525</v>
      </c>
      <c r="Z1164" s="1">
        <v>2019</v>
      </c>
      <c r="AA1164" s="2"/>
      <c r="AB1164" s="2"/>
      <c r="AC1164" s="2">
        <v>745393.34</v>
      </c>
      <c r="AG1164" s="1" t="s">
        <v>21</v>
      </c>
      <c r="AI1164" s="2">
        <v>745393.34</v>
      </c>
      <c r="AK1164" s="1"/>
      <c r="AL1164" s="1" t="s">
        <v>127</v>
      </c>
    </row>
    <row r="1165" spans="1:38" ht="15" customHeight="1" x14ac:dyDescent="0.25">
      <c r="A1165" s="1" t="s">
        <v>19</v>
      </c>
      <c r="B1165" s="5" t="s">
        <v>109</v>
      </c>
      <c r="C1165" s="1" t="s">
        <v>37</v>
      </c>
      <c r="D1165" s="1" t="s">
        <v>132</v>
      </c>
      <c r="E1165" s="1" t="s">
        <v>35</v>
      </c>
      <c r="G1165" s="1" t="s">
        <v>135</v>
      </c>
      <c r="H1165" s="1" t="s">
        <v>130</v>
      </c>
      <c r="I1165" s="1" t="s">
        <v>377</v>
      </c>
      <c r="J1165" s="1">
        <v>2020</v>
      </c>
      <c r="P1165" s="1" t="s">
        <v>133</v>
      </c>
      <c r="Q1165" s="1" t="s">
        <v>27</v>
      </c>
      <c r="R1165" s="1" t="s">
        <v>26</v>
      </c>
      <c r="S1165" s="10" t="s">
        <v>68</v>
      </c>
      <c r="T1165" s="1" t="s">
        <v>67</v>
      </c>
      <c r="U1165" s="1">
        <v>1</v>
      </c>
      <c r="V1165" s="1" t="s">
        <v>23</v>
      </c>
      <c r="Y1165" s="3">
        <v>44005</v>
      </c>
      <c r="Z1165" s="1">
        <v>2020</v>
      </c>
      <c r="AA1165" s="2"/>
      <c r="AB1165" s="2"/>
      <c r="AC1165" s="2">
        <v>28199.88</v>
      </c>
      <c r="AG1165" s="1" t="s">
        <v>21</v>
      </c>
      <c r="AI1165" s="2">
        <v>28199.88</v>
      </c>
      <c r="AK1165" s="1"/>
    </row>
    <row r="1166" spans="1:38" ht="15" customHeight="1" x14ac:dyDescent="0.2">
      <c r="A1166" s="1" t="s">
        <v>19</v>
      </c>
      <c r="B1166" s="5" t="s">
        <v>109</v>
      </c>
      <c r="C1166" s="1" t="s">
        <v>37</v>
      </c>
      <c r="D1166" s="1" t="s">
        <v>132</v>
      </c>
      <c r="E1166" s="1" t="s">
        <v>35</v>
      </c>
      <c r="G1166" s="1" t="s">
        <v>131</v>
      </c>
      <c r="H1166" s="1" t="s">
        <v>130</v>
      </c>
      <c r="I1166" s="1" t="s">
        <v>376</v>
      </c>
      <c r="J1166" s="1">
        <v>2018</v>
      </c>
      <c r="P1166" s="1" t="s">
        <v>128</v>
      </c>
      <c r="Q1166" s="1" t="s">
        <v>27</v>
      </c>
      <c r="R1166" s="1" t="s">
        <v>26</v>
      </c>
      <c r="S1166" s="1" t="s">
        <v>40</v>
      </c>
      <c r="T1166" s="1" t="s">
        <v>39</v>
      </c>
      <c r="U1166" s="1">
        <v>1</v>
      </c>
      <c r="V1166" s="1" t="s">
        <v>23</v>
      </c>
      <c r="Y1166" s="3">
        <v>43463</v>
      </c>
      <c r="Z1166" s="1">
        <v>2018</v>
      </c>
      <c r="AA1166" s="2"/>
      <c r="AB1166" s="2"/>
      <c r="AC1166" s="2">
        <v>786158.76</v>
      </c>
      <c r="AG1166" s="1" t="s">
        <v>21</v>
      </c>
      <c r="AI1166" s="2">
        <v>786158.76</v>
      </c>
      <c r="AK1166" s="1"/>
      <c r="AL1166" s="1" t="s">
        <v>127</v>
      </c>
    </row>
    <row r="1167" spans="1:38" ht="15" customHeight="1" x14ac:dyDescent="0.25">
      <c r="A1167" s="1" t="s">
        <v>19</v>
      </c>
      <c r="B1167" s="5" t="s">
        <v>109</v>
      </c>
      <c r="C1167" s="1" t="s">
        <v>37</v>
      </c>
      <c r="D1167" s="1" t="s">
        <v>132</v>
      </c>
      <c r="E1167" s="1" t="s">
        <v>35</v>
      </c>
      <c r="G1167" s="1" t="s">
        <v>135</v>
      </c>
      <c r="H1167" s="1" t="s">
        <v>130</v>
      </c>
      <c r="I1167" s="1" t="s">
        <v>375</v>
      </c>
      <c r="J1167" s="1">
        <v>2020</v>
      </c>
      <c r="P1167" s="1" t="s">
        <v>133</v>
      </c>
      <c r="Q1167" s="1" t="s">
        <v>27</v>
      </c>
      <c r="R1167" s="1" t="s">
        <v>26</v>
      </c>
      <c r="S1167" s="10" t="s">
        <v>68</v>
      </c>
      <c r="T1167" s="1" t="s">
        <v>67</v>
      </c>
      <c r="U1167" s="1">
        <v>1</v>
      </c>
      <c r="V1167" s="1" t="s">
        <v>23</v>
      </c>
      <c r="Y1167" s="3">
        <v>44005</v>
      </c>
      <c r="Z1167" s="1">
        <v>2020</v>
      </c>
      <c r="AA1167" s="2"/>
      <c r="AB1167" s="2"/>
      <c r="AC1167" s="2">
        <v>61417.18</v>
      </c>
      <c r="AG1167" s="1" t="s">
        <v>21</v>
      </c>
      <c r="AI1167" s="2">
        <v>61417.18</v>
      </c>
      <c r="AK1167" s="1"/>
    </row>
    <row r="1168" spans="1:38" ht="15" customHeight="1" x14ac:dyDescent="0.2">
      <c r="A1168" s="1" t="s">
        <v>19</v>
      </c>
      <c r="B1168" s="5" t="s">
        <v>109</v>
      </c>
      <c r="C1168" s="1" t="s">
        <v>37</v>
      </c>
      <c r="D1168" s="1" t="s">
        <v>132</v>
      </c>
      <c r="E1168" s="1" t="s">
        <v>35</v>
      </c>
      <c r="G1168" s="1" t="s">
        <v>135</v>
      </c>
      <c r="H1168" s="1" t="s">
        <v>130</v>
      </c>
      <c r="I1168" s="1" t="s">
        <v>374</v>
      </c>
      <c r="J1168" s="1">
        <v>2020</v>
      </c>
      <c r="P1168" s="1" t="s">
        <v>128</v>
      </c>
      <c r="Q1168" s="1" t="s">
        <v>27</v>
      </c>
      <c r="R1168" s="1" t="s">
        <v>26</v>
      </c>
      <c r="S1168" s="1" t="s">
        <v>40</v>
      </c>
      <c r="T1168" s="1" t="s">
        <v>39</v>
      </c>
      <c r="U1168" s="1">
        <v>1</v>
      </c>
      <c r="V1168" s="1" t="s">
        <v>23</v>
      </c>
      <c r="Y1168" s="3">
        <v>44005</v>
      </c>
      <c r="Z1168" s="1">
        <v>2020</v>
      </c>
      <c r="AA1168" s="2"/>
      <c r="AB1168" s="2"/>
      <c r="AC1168" s="2">
        <v>13968.52</v>
      </c>
      <c r="AG1168" s="1" t="s">
        <v>21</v>
      </c>
      <c r="AI1168" s="2">
        <v>13968.52</v>
      </c>
      <c r="AK1168" s="1"/>
    </row>
    <row r="1169" spans="1:38" ht="15" customHeight="1" x14ac:dyDescent="0.2">
      <c r="A1169" s="1" t="s">
        <v>19</v>
      </c>
      <c r="B1169" s="5" t="s">
        <v>109</v>
      </c>
      <c r="C1169" s="1" t="s">
        <v>37</v>
      </c>
      <c r="D1169" s="1" t="s">
        <v>132</v>
      </c>
      <c r="E1169" s="1" t="s">
        <v>35</v>
      </c>
      <c r="G1169" s="1" t="s">
        <v>131</v>
      </c>
      <c r="H1169" s="1" t="s">
        <v>130</v>
      </c>
      <c r="I1169" s="1" t="s">
        <v>373</v>
      </c>
      <c r="J1169" s="1">
        <v>2018</v>
      </c>
      <c r="P1169" s="1" t="s">
        <v>128</v>
      </c>
      <c r="Q1169" s="1" t="s">
        <v>27</v>
      </c>
      <c r="R1169" s="1" t="s">
        <v>26</v>
      </c>
      <c r="S1169" s="1" t="s">
        <v>40</v>
      </c>
      <c r="T1169" s="1" t="s">
        <v>39</v>
      </c>
      <c r="U1169" s="1">
        <v>1</v>
      </c>
      <c r="V1169" s="1" t="s">
        <v>23</v>
      </c>
      <c r="Y1169" s="3">
        <v>43463</v>
      </c>
      <c r="Z1169" s="1">
        <v>2018</v>
      </c>
      <c r="AA1169" s="2"/>
      <c r="AB1169" s="2"/>
      <c r="AC1169" s="2">
        <v>518926.25000000006</v>
      </c>
      <c r="AG1169" s="1" t="s">
        <v>21</v>
      </c>
      <c r="AI1169" s="2">
        <v>518926.25000000006</v>
      </c>
      <c r="AK1169" s="1"/>
      <c r="AL1169" s="1" t="s">
        <v>127</v>
      </c>
    </row>
    <row r="1170" spans="1:38" ht="15" customHeight="1" x14ac:dyDescent="0.2">
      <c r="A1170" s="1" t="s">
        <v>19</v>
      </c>
      <c r="B1170" s="5" t="s">
        <v>109</v>
      </c>
      <c r="C1170" s="1" t="s">
        <v>37</v>
      </c>
      <c r="D1170" s="1" t="s">
        <v>132</v>
      </c>
      <c r="E1170" s="1" t="s">
        <v>35</v>
      </c>
      <c r="G1170" s="1" t="s">
        <v>131</v>
      </c>
      <c r="H1170" s="1" t="s">
        <v>130</v>
      </c>
      <c r="I1170" s="1" t="s">
        <v>372</v>
      </c>
      <c r="J1170" s="1">
        <v>2018</v>
      </c>
      <c r="P1170" s="1" t="s">
        <v>128</v>
      </c>
      <c r="Q1170" s="1" t="s">
        <v>27</v>
      </c>
      <c r="R1170" s="1" t="s">
        <v>26</v>
      </c>
      <c r="S1170" s="1" t="s">
        <v>40</v>
      </c>
      <c r="T1170" s="1" t="s">
        <v>39</v>
      </c>
      <c r="U1170" s="1">
        <v>1</v>
      </c>
      <c r="V1170" s="1" t="s">
        <v>23</v>
      </c>
      <c r="Y1170" s="3">
        <v>43463</v>
      </c>
      <c r="Z1170" s="1">
        <v>2018</v>
      </c>
      <c r="AA1170" s="2"/>
      <c r="AB1170" s="2"/>
      <c r="AC1170" s="2">
        <v>245669.66999999995</v>
      </c>
      <c r="AG1170" s="1" t="s">
        <v>21</v>
      </c>
      <c r="AI1170" s="2">
        <v>245669.66999999995</v>
      </c>
      <c r="AK1170" s="1"/>
      <c r="AL1170" s="1" t="s">
        <v>127</v>
      </c>
    </row>
    <row r="1171" spans="1:38" ht="15" customHeight="1" x14ac:dyDescent="0.2">
      <c r="A1171" s="1" t="s">
        <v>19</v>
      </c>
      <c r="B1171" s="5" t="s">
        <v>109</v>
      </c>
      <c r="C1171" s="1" t="s">
        <v>37</v>
      </c>
      <c r="D1171" s="1" t="s">
        <v>132</v>
      </c>
      <c r="E1171" s="1" t="s">
        <v>35</v>
      </c>
      <c r="G1171" s="1" t="s">
        <v>131</v>
      </c>
      <c r="H1171" s="1" t="s">
        <v>130</v>
      </c>
      <c r="I1171" s="1" t="s">
        <v>371</v>
      </c>
      <c r="J1171" s="1">
        <v>2018</v>
      </c>
      <c r="P1171" s="1" t="s">
        <v>128</v>
      </c>
      <c r="Q1171" s="1" t="s">
        <v>27</v>
      </c>
      <c r="R1171" s="1" t="s">
        <v>26</v>
      </c>
      <c r="S1171" s="1" t="s">
        <v>40</v>
      </c>
      <c r="T1171" s="1" t="s">
        <v>39</v>
      </c>
      <c r="U1171" s="1">
        <v>1</v>
      </c>
      <c r="V1171" s="1" t="s">
        <v>23</v>
      </c>
      <c r="Y1171" s="3">
        <v>43463</v>
      </c>
      <c r="Z1171" s="1">
        <v>2018</v>
      </c>
      <c r="AA1171" s="2"/>
      <c r="AB1171" s="2"/>
      <c r="AC1171" s="2">
        <v>365391.61</v>
      </c>
      <c r="AG1171" s="1" t="s">
        <v>21</v>
      </c>
      <c r="AI1171" s="2">
        <v>365391.61</v>
      </c>
      <c r="AK1171" s="1"/>
      <c r="AL1171" s="1" t="s">
        <v>127</v>
      </c>
    </row>
    <row r="1172" spans="1:38" ht="15" customHeight="1" x14ac:dyDescent="0.2">
      <c r="A1172" s="1" t="s">
        <v>19</v>
      </c>
      <c r="B1172" s="5" t="s">
        <v>109</v>
      </c>
      <c r="C1172" s="1" t="s">
        <v>37</v>
      </c>
      <c r="D1172" s="1" t="s">
        <v>132</v>
      </c>
      <c r="E1172" s="1" t="s">
        <v>35</v>
      </c>
      <c r="G1172" s="1" t="s">
        <v>131</v>
      </c>
      <c r="H1172" s="1" t="s">
        <v>130</v>
      </c>
      <c r="I1172" s="1" t="s">
        <v>370</v>
      </c>
      <c r="J1172" s="1">
        <v>2018</v>
      </c>
      <c r="P1172" s="1" t="s">
        <v>128</v>
      </c>
      <c r="Q1172" s="1" t="s">
        <v>27</v>
      </c>
      <c r="R1172" s="1" t="s">
        <v>26</v>
      </c>
      <c r="S1172" s="1" t="s">
        <v>40</v>
      </c>
      <c r="T1172" s="1" t="s">
        <v>39</v>
      </c>
      <c r="U1172" s="1">
        <v>1</v>
      </c>
      <c r="V1172" s="1" t="s">
        <v>23</v>
      </c>
      <c r="Y1172" s="3">
        <v>43463</v>
      </c>
      <c r="Z1172" s="1">
        <v>2018</v>
      </c>
      <c r="AA1172" s="2"/>
      <c r="AB1172" s="2"/>
      <c r="AC1172" s="2">
        <v>403260.6</v>
      </c>
      <c r="AG1172" s="1" t="s">
        <v>21</v>
      </c>
      <c r="AI1172" s="2">
        <v>403260.6</v>
      </c>
      <c r="AK1172" s="1"/>
      <c r="AL1172" s="1" t="s">
        <v>127</v>
      </c>
    </row>
    <row r="1173" spans="1:38" ht="15" customHeight="1" x14ac:dyDescent="0.2">
      <c r="A1173" s="1" t="s">
        <v>19</v>
      </c>
      <c r="B1173" s="5" t="s">
        <v>109</v>
      </c>
      <c r="C1173" s="1" t="s">
        <v>37</v>
      </c>
      <c r="D1173" s="1" t="s">
        <v>132</v>
      </c>
      <c r="E1173" s="1" t="s">
        <v>35</v>
      </c>
      <c r="G1173" s="1" t="s">
        <v>131</v>
      </c>
      <c r="H1173" s="1" t="s">
        <v>130</v>
      </c>
      <c r="I1173" s="1" t="s">
        <v>369</v>
      </c>
      <c r="J1173" s="1">
        <v>2018</v>
      </c>
      <c r="P1173" s="1" t="s">
        <v>128</v>
      </c>
      <c r="Q1173" s="1" t="s">
        <v>27</v>
      </c>
      <c r="R1173" s="1" t="s">
        <v>26</v>
      </c>
      <c r="S1173" s="1" t="s">
        <v>40</v>
      </c>
      <c r="T1173" s="1" t="s">
        <v>39</v>
      </c>
      <c r="U1173" s="1">
        <v>1</v>
      </c>
      <c r="V1173" s="1" t="s">
        <v>23</v>
      </c>
      <c r="Y1173" s="3">
        <v>43463</v>
      </c>
      <c r="Z1173" s="1">
        <v>2018</v>
      </c>
      <c r="AA1173" s="2"/>
      <c r="AB1173" s="2"/>
      <c r="AC1173" s="2">
        <v>693311.91999999993</v>
      </c>
      <c r="AG1173" s="1" t="s">
        <v>21</v>
      </c>
      <c r="AI1173" s="2">
        <v>693311.91999999993</v>
      </c>
      <c r="AK1173" s="1"/>
      <c r="AL1173" s="1" t="s">
        <v>127</v>
      </c>
    </row>
    <row r="1174" spans="1:38" ht="15" customHeight="1" x14ac:dyDescent="0.2">
      <c r="A1174" s="1" t="s">
        <v>19</v>
      </c>
      <c r="B1174" s="5" t="s">
        <v>109</v>
      </c>
      <c r="C1174" s="1" t="s">
        <v>37</v>
      </c>
      <c r="D1174" s="1" t="s">
        <v>132</v>
      </c>
      <c r="E1174" s="1" t="s">
        <v>35</v>
      </c>
      <c r="G1174" s="1" t="s">
        <v>131</v>
      </c>
      <c r="H1174" s="1" t="s">
        <v>130</v>
      </c>
      <c r="I1174" s="1" t="s">
        <v>368</v>
      </c>
      <c r="J1174" s="1">
        <v>2019</v>
      </c>
      <c r="P1174" s="1" t="s">
        <v>128</v>
      </c>
      <c r="Q1174" s="1" t="s">
        <v>27</v>
      </c>
      <c r="R1174" s="1" t="s">
        <v>26</v>
      </c>
      <c r="S1174" s="1" t="s">
        <v>40</v>
      </c>
      <c r="T1174" s="1" t="s">
        <v>39</v>
      </c>
      <c r="U1174" s="1">
        <v>1</v>
      </c>
      <c r="V1174" s="1" t="s">
        <v>23</v>
      </c>
      <c r="Y1174" s="3">
        <v>43466</v>
      </c>
      <c r="Z1174" s="1">
        <v>2019</v>
      </c>
      <c r="AA1174" s="2"/>
      <c r="AB1174" s="2"/>
      <c r="AC1174" s="2">
        <v>499542.22999999992</v>
      </c>
      <c r="AG1174" s="1" t="s">
        <v>21</v>
      </c>
      <c r="AI1174" s="2">
        <v>499542.22999999992</v>
      </c>
      <c r="AK1174" s="1"/>
      <c r="AL1174" s="1" t="s">
        <v>127</v>
      </c>
    </row>
    <row r="1175" spans="1:38" ht="15" customHeight="1" x14ac:dyDescent="0.2">
      <c r="A1175" s="1" t="s">
        <v>19</v>
      </c>
      <c r="B1175" s="5" t="s">
        <v>109</v>
      </c>
      <c r="C1175" s="1" t="s">
        <v>37</v>
      </c>
      <c r="D1175" s="1" t="s">
        <v>132</v>
      </c>
      <c r="E1175" s="1" t="s">
        <v>35</v>
      </c>
      <c r="G1175" s="1" t="s">
        <v>131</v>
      </c>
      <c r="H1175" s="1" t="s">
        <v>130</v>
      </c>
      <c r="I1175" s="1" t="s">
        <v>367</v>
      </c>
      <c r="J1175" s="1">
        <v>2019</v>
      </c>
      <c r="P1175" s="1" t="s">
        <v>128</v>
      </c>
      <c r="Q1175" s="1" t="s">
        <v>27</v>
      </c>
      <c r="R1175" s="1" t="s">
        <v>26</v>
      </c>
      <c r="S1175" s="1" t="s">
        <v>40</v>
      </c>
      <c r="T1175" s="1" t="s">
        <v>39</v>
      </c>
      <c r="U1175" s="1">
        <v>1</v>
      </c>
      <c r="V1175" s="1" t="s">
        <v>23</v>
      </c>
      <c r="Y1175" s="3">
        <v>43466</v>
      </c>
      <c r="Z1175" s="1">
        <v>2019</v>
      </c>
      <c r="AA1175" s="2"/>
      <c r="AB1175" s="2"/>
      <c r="AC1175" s="2">
        <v>620559.37999999989</v>
      </c>
      <c r="AG1175" s="1" t="s">
        <v>21</v>
      </c>
      <c r="AI1175" s="2">
        <v>620559.37999999989</v>
      </c>
      <c r="AK1175" s="1"/>
      <c r="AL1175" s="1" t="s">
        <v>127</v>
      </c>
    </row>
    <row r="1176" spans="1:38" ht="15" customHeight="1" x14ac:dyDescent="0.2">
      <c r="A1176" s="1" t="s">
        <v>19</v>
      </c>
      <c r="B1176" s="5" t="s">
        <v>109</v>
      </c>
      <c r="C1176" s="1" t="s">
        <v>37</v>
      </c>
      <c r="D1176" s="1" t="s">
        <v>132</v>
      </c>
      <c r="E1176" s="1" t="s">
        <v>35</v>
      </c>
      <c r="G1176" s="1" t="s">
        <v>131</v>
      </c>
      <c r="H1176" s="1" t="s">
        <v>130</v>
      </c>
      <c r="I1176" s="1" t="s">
        <v>366</v>
      </c>
      <c r="J1176" s="1">
        <v>2018</v>
      </c>
      <c r="P1176" s="1" t="s">
        <v>128</v>
      </c>
      <c r="Q1176" s="1" t="s">
        <v>27</v>
      </c>
      <c r="R1176" s="1" t="s">
        <v>26</v>
      </c>
      <c r="S1176" s="1" t="s">
        <v>40</v>
      </c>
      <c r="T1176" s="1" t="s">
        <v>39</v>
      </c>
      <c r="U1176" s="1">
        <v>1</v>
      </c>
      <c r="V1176" s="1" t="s">
        <v>23</v>
      </c>
      <c r="Y1176" s="3">
        <v>43463</v>
      </c>
      <c r="Z1176" s="1">
        <v>2018</v>
      </c>
      <c r="AA1176" s="2"/>
      <c r="AB1176" s="2"/>
      <c r="AC1176" s="2">
        <v>585990.71000000008</v>
      </c>
      <c r="AG1176" s="1" t="s">
        <v>21</v>
      </c>
      <c r="AI1176" s="2">
        <v>585990.71000000008</v>
      </c>
      <c r="AK1176" s="1"/>
      <c r="AL1176" s="1" t="s">
        <v>127</v>
      </c>
    </row>
    <row r="1177" spans="1:38" ht="15" customHeight="1" x14ac:dyDescent="0.2">
      <c r="A1177" s="1" t="s">
        <v>19</v>
      </c>
      <c r="B1177" s="5" t="s">
        <v>109</v>
      </c>
      <c r="C1177" s="1" t="s">
        <v>37</v>
      </c>
      <c r="D1177" s="1" t="s">
        <v>132</v>
      </c>
      <c r="E1177" s="1" t="s">
        <v>35</v>
      </c>
      <c r="G1177" s="1" t="s">
        <v>131</v>
      </c>
      <c r="H1177" s="1" t="s">
        <v>130</v>
      </c>
      <c r="I1177" s="1" t="s">
        <v>365</v>
      </c>
      <c r="J1177" s="1">
        <v>2018</v>
      </c>
      <c r="P1177" s="1" t="s">
        <v>128</v>
      </c>
      <c r="Q1177" s="1" t="s">
        <v>27</v>
      </c>
      <c r="R1177" s="1" t="s">
        <v>26</v>
      </c>
      <c r="S1177" s="1" t="s">
        <v>40</v>
      </c>
      <c r="T1177" s="1" t="s">
        <v>39</v>
      </c>
      <c r="U1177" s="1">
        <v>1</v>
      </c>
      <c r="V1177" s="1" t="s">
        <v>23</v>
      </c>
      <c r="Y1177" s="3">
        <v>43463</v>
      </c>
      <c r="Z1177" s="1">
        <v>2018</v>
      </c>
      <c r="AA1177" s="2"/>
      <c r="AB1177" s="2"/>
      <c r="AC1177" s="2">
        <v>529848.19999999995</v>
      </c>
      <c r="AG1177" s="1" t="s">
        <v>21</v>
      </c>
      <c r="AI1177" s="2">
        <v>529848.19999999995</v>
      </c>
      <c r="AK1177" s="1"/>
      <c r="AL1177" s="1" t="s">
        <v>127</v>
      </c>
    </row>
    <row r="1178" spans="1:38" ht="15" customHeight="1" x14ac:dyDescent="0.2">
      <c r="A1178" s="1" t="s">
        <v>19</v>
      </c>
      <c r="B1178" s="5" t="s">
        <v>109</v>
      </c>
      <c r="C1178" s="1" t="s">
        <v>37</v>
      </c>
      <c r="D1178" s="1" t="s">
        <v>132</v>
      </c>
      <c r="E1178" s="1" t="s">
        <v>35</v>
      </c>
      <c r="G1178" s="1" t="s">
        <v>131</v>
      </c>
      <c r="H1178" s="1" t="s">
        <v>130</v>
      </c>
      <c r="I1178" s="1" t="s">
        <v>364</v>
      </c>
      <c r="J1178" s="1">
        <v>2018</v>
      </c>
      <c r="P1178" s="1" t="s">
        <v>128</v>
      </c>
      <c r="Q1178" s="1" t="s">
        <v>27</v>
      </c>
      <c r="R1178" s="1" t="s">
        <v>26</v>
      </c>
      <c r="S1178" s="1" t="s">
        <v>40</v>
      </c>
      <c r="T1178" s="1" t="s">
        <v>39</v>
      </c>
      <c r="U1178" s="1">
        <v>1</v>
      </c>
      <c r="V1178" s="1" t="s">
        <v>23</v>
      </c>
      <c r="Y1178" s="3">
        <v>43463</v>
      </c>
      <c r="Z1178" s="1">
        <v>2018</v>
      </c>
      <c r="AA1178" s="2"/>
      <c r="AB1178" s="2"/>
      <c r="AC1178" s="2">
        <v>562705.29</v>
      </c>
      <c r="AG1178" s="1" t="s">
        <v>21</v>
      </c>
      <c r="AI1178" s="2">
        <v>562705.29</v>
      </c>
      <c r="AK1178" s="1"/>
      <c r="AL1178" s="1" t="s">
        <v>127</v>
      </c>
    </row>
    <row r="1179" spans="1:38" ht="15" customHeight="1" x14ac:dyDescent="0.2">
      <c r="A1179" s="1" t="s">
        <v>19</v>
      </c>
      <c r="B1179" s="5" t="s">
        <v>109</v>
      </c>
      <c r="C1179" s="1" t="s">
        <v>37</v>
      </c>
      <c r="D1179" s="1" t="s">
        <v>132</v>
      </c>
      <c r="E1179" s="1" t="s">
        <v>35</v>
      </c>
      <c r="G1179" s="1" t="s">
        <v>135</v>
      </c>
      <c r="H1179" s="1" t="s">
        <v>130</v>
      </c>
      <c r="I1179" s="1" t="s">
        <v>363</v>
      </c>
      <c r="J1179" s="1">
        <v>2020</v>
      </c>
      <c r="P1179" s="1" t="s">
        <v>128</v>
      </c>
      <c r="Q1179" s="1" t="s">
        <v>27</v>
      </c>
      <c r="R1179" s="1" t="s">
        <v>26</v>
      </c>
      <c r="S1179" s="1" t="s">
        <v>40</v>
      </c>
      <c r="T1179" s="1" t="s">
        <v>39</v>
      </c>
      <c r="U1179" s="1">
        <v>1</v>
      </c>
      <c r="V1179" s="1" t="s">
        <v>23</v>
      </c>
      <c r="Y1179" s="3">
        <v>44005</v>
      </c>
      <c r="Z1179" s="1">
        <v>2020</v>
      </c>
      <c r="AA1179" s="2"/>
      <c r="AB1179" s="2"/>
      <c r="AC1179" s="2">
        <v>14001.26</v>
      </c>
      <c r="AG1179" s="1" t="s">
        <v>21</v>
      </c>
      <c r="AI1179" s="2">
        <v>14001.26</v>
      </c>
      <c r="AK1179" s="1"/>
    </row>
    <row r="1180" spans="1:38" ht="15" customHeight="1" x14ac:dyDescent="0.2">
      <c r="A1180" s="1" t="s">
        <v>19</v>
      </c>
      <c r="B1180" s="5" t="s">
        <v>109</v>
      </c>
      <c r="C1180" s="1" t="s">
        <v>37</v>
      </c>
      <c r="D1180" s="1" t="s">
        <v>132</v>
      </c>
      <c r="E1180" s="1" t="s">
        <v>35</v>
      </c>
      <c r="G1180" s="1" t="s">
        <v>131</v>
      </c>
      <c r="H1180" s="1" t="s">
        <v>130</v>
      </c>
      <c r="I1180" s="1" t="s">
        <v>362</v>
      </c>
      <c r="J1180" s="1">
        <v>2018</v>
      </c>
      <c r="P1180" s="1" t="s">
        <v>128</v>
      </c>
      <c r="Q1180" s="1" t="s">
        <v>27</v>
      </c>
      <c r="R1180" s="1" t="s">
        <v>26</v>
      </c>
      <c r="S1180" s="1" t="s">
        <v>40</v>
      </c>
      <c r="T1180" s="1" t="s">
        <v>39</v>
      </c>
      <c r="U1180" s="1">
        <v>1</v>
      </c>
      <c r="V1180" s="1" t="s">
        <v>23</v>
      </c>
      <c r="Y1180" s="3">
        <v>43463</v>
      </c>
      <c r="Z1180" s="1">
        <v>2018</v>
      </c>
      <c r="AA1180" s="2"/>
      <c r="AB1180" s="2"/>
      <c r="AC1180" s="2">
        <v>526211.52</v>
      </c>
      <c r="AG1180" s="1" t="s">
        <v>21</v>
      </c>
      <c r="AI1180" s="2">
        <v>526211.52</v>
      </c>
      <c r="AK1180" s="1"/>
      <c r="AL1180" s="1" t="s">
        <v>127</v>
      </c>
    </row>
    <row r="1181" spans="1:38" ht="15" customHeight="1" x14ac:dyDescent="0.2">
      <c r="A1181" s="1" t="s">
        <v>19</v>
      </c>
      <c r="B1181" s="5" t="s">
        <v>109</v>
      </c>
      <c r="C1181" s="1" t="s">
        <v>37</v>
      </c>
      <c r="D1181" s="1" t="s">
        <v>132</v>
      </c>
      <c r="E1181" s="1" t="s">
        <v>35</v>
      </c>
      <c r="G1181" s="1" t="s">
        <v>131</v>
      </c>
      <c r="H1181" s="1" t="s">
        <v>130</v>
      </c>
      <c r="I1181" s="1" t="s">
        <v>361</v>
      </c>
      <c r="J1181" s="1">
        <v>2019</v>
      </c>
      <c r="P1181" s="1" t="s">
        <v>128</v>
      </c>
      <c r="Q1181" s="1" t="s">
        <v>27</v>
      </c>
      <c r="R1181" s="1" t="s">
        <v>26</v>
      </c>
      <c r="S1181" s="1" t="s">
        <v>40</v>
      </c>
      <c r="T1181" s="1" t="s">
        <v>39</v>
      </c>
      <c r="U1181" s="1">
        <v>1</v>
      </c>
      <c r="V1181" s="1" t="s">
        <v>23</v>
      </c>
      <c r="Y1181" s="3">
        <v>43468</v>
      </c>
      <c r="Z1181" s="1">
        <v>2019</v>
      </c>
      <c r="AA1181" s="2"/>
      <c r="AB1181" s="2"/>
      <c r="AC1181" s="2">
        <v>710814.69000000006</v>
      </c>
      <c r="AG1181" s="1" t="s">
        <v>21</v>
      </c>
      <c r="AI1181" s="2">
        <v>710814.69000000006</v>
      </c>
      <c r="AK1181" s="1"/>
      <c r="AL1181" s="1" t="s">
        <v>127</v>
      </c>
    </row>
    <row r="1182" spans="1:38" ht="15" customHeight="1" x14ac:dyDescent="0.2">
      <c r="A1182" s="1" t="s">
        <v>19</v>
      </c>
      <c r="B1182" s="5" t="s">
        <v>109</v>
      </c>
      <c r="C1182" s="1" t="s">
        <v>37</v>
      </c>
      <c r="D1182" s="1" t="s">
        <v>132</v>
      </c>
      <c r="E1182" s="1" t="s">
        <v>35</v>
      </c>
      <c r="G1182" s="1" t="s">
        <v>131</v>
      </c>
      <c r="H1182" s="1" t="s">
        <v>130</v>
      </c>
      <c r="I1182" s="1" t="s">
        <v>360</v>
      </c>
      <c r="J1182" s="1">
        <v>2018</v>
      </c>
      <c r="P1182" s="1" t="s">
        <v>128</v>
      </c>
      <c r="Q1182" s="1" t="s">
        <v>27</v>
      </c>
      <c r="R1182" s="1" t="s">
        <v>26</v>
      </c>
      <c r="S1182" s="1" t="s">
        <v>40</v>
      </c>
      <c r="T1182" s="1" t="s">
        <v>39</v>
      </c>
      <c r="U1182" s="1">
        <v>1</v>
      </c>
      <c r="V1182" s="1" t="s">
        <v>23</v>
      </c>
      <c r="Y1182" s="3">
        <v>43463</v>
      </c>
      <c r="Z1182" s="1">
        <v>2018</v>
      </c>
      <c r="AA1182" s="2"/>
      <c r="AB1182" s="2"/>
      <c r="AC1182" s="2">
        <v>114240.68999999999</v>
      </c>
      <c r="AG1182" s="1" t="s">
        <v>21</v>
      </c>
      <c r="AI1182" s="2">
        <v>114240.68999999999</v>
      </c>
      <c r="AK1182" s="1"/>
      <c r="AL1182" s="1" t="s">
        <v>127</v>
      </c>
    </row>
    <row r="1183" spans="1:38" ht="15" customHeight="1" x14ac:dyDescent="0.2">
      <c r="A1183" s="1" t="s">
        <v>19</v>
      </c>
      <c r="B1183" s="5" t="s">
        <v>109</v>
      </c>
      <c r="C1183" s="1" t="s">
        <v>37</v>
      </c>
      <c r="D1183" s="1" t="s">
        <v>132</v>
      </c>
      <c r="E1183" s="1" t="s">
        <v>35</v>
      </c>
      <c r="G1183" s="1" t="s">
        <v>131</v>
      </c>
      <c r="H1183" s="1" t="s">
        <v>130</v>
      </c>
      <c r="I1183" s="1" t="s">
        <v>359</v>
      </c>
      <c r="J1183" s="1">
        <v>2018</v>
      </c>
      <c r="P1183" s="1" t="s">
        <v>128</v>
      </c>
      <c r="Q1183" s="1" t="s">
        <v>27</v>
      </c>
      <c r="R1183" s="1" t="s">
        <v>26</v>
      </c>
      <c r="S1183" s="1" t="s">
        <v>40</v>
      </c>
      <c r="T1183" s="1" t="s">
        <v>39</v>
      </c>
      <c r="U1183" s="1">
        <v>1</v>
      </c>
      <c r="V1183" s="1" t="s">
        <v>23</v>
      </c>
      <c r="Y1183" s="3">
        <v>43463</v>
      </c>
      <c r="Z1183" s="1">
        <v>2018</v>
      </c>
      <c r="AA1183" s="2"/>
      <c r="AB1183" s="2"/>
      <c r="AC1183" s="2">
        <v>52265.270000000004</v>
      </c>
      <c r="AG1183" s="1" t="s">
        <v>21</v>
      </c>
      <c r="AI1183" s="2">
        <v>52265.270000000004</v>
      </c>
      <c r="AK1183" s="1"/>
      <c r="AL1183" s="1" t="s">
        <v>127</v>
      </c>
    </row>
    <row r="1184" spans="1:38" ht="15" customHeight="1" x14ac:dyDescent="0.2">
      <c r="A1184" s="1" t="s">
        <v>19</v>
      </c>
      <c r="B1184" s="5" t="s">
        <v>109</v>
      </c>
      <c r="C1184" s="1" t="s">
        <v>37</v>
      </c>
      <c r="D1184" s="1" t="s">
        <v>132</v>
      </c>
      <c r="E1184" s="1" t="s">
        <v>35</v>
      </c>
      <c r="G1184" s="1" t="s">
        <v>131</v>
      </c>
      <c r="H1184" s="1" t="s">
        <v>130</v>
      </c>
      <c r="I1184" s="1" t="s">
        <v>358</v>
      </c>
      <c r="J1184" s="1">
        <v>2018</v>
      </c>
      <c r="P1184" s="1" t="s">
        <v>136</v>
      </c>
      <c r="Q1184" s="1" t="s">
        <v>27</v>
      </c>
      <c r="R1184" s="1" t="s">
        <v>26</v>
      </c>
      <c r="S1184" s="1" t="s">
        <v>91</v>
      </c>
      <c r="T1184" s="1" t="s">
        <v>90</v>
      </c>
      <c r="U1184" s="1">
        <v>1</v>
      </c>
      <c r="V1184" s="1" t="s">
        <v>23</v>
      </c>
      <c r="Y1184" s="3">
        <v>43465</v>
      </c>
      <c r="Z1184" s="1">
        <v>2018</v>
      </c>
      <c r="AA1184" s="2"/>
      <c r="AB1184" s="2"/>
      <c r="AC1184" s="2">
        <v>214258.94999999995</v>
      </c>
      <c r="AG1184" s="1" t="s">
        <v>21</v>
      </c>
      <c r="AI1184" s="2">
        <v>214258.94999999995</v>
      </c>
      <c r="AK1184" s="1"/>
      <c r="AL1184" s="1" t="s">
        <v>127</v>
      </c>
    </row>
    <row r="1185" spans="1:38" ht="15" customHeight="1" x14ac:dyDescent="0.2">
      <c r="A1185" s="1" t="s">
        <v>19</v>
      </c>
      <c r="B1185" s="5" t="s">
        <v>109</v>
      </c>
      <c r="C1185" s="1" t="s">
        <v>37</v>
      </c>
      <c r="D1185" s="1" t="s">
        <v>132</v>
      </c>
      <c r="E1185" s="1" t="s">
        <v>35</v>
      </c>
      <c r="G1185" s="1" t="s">
        <v>131</v>
      </c>
      <c r="H1185" s="1" t="s">
        <v>130</v>
      </c>
      <c r="I1185" s="1" t="s">
        <v>357</v>
      </c>
      <c r="J1185" s="1">
        <v>2018</v>
      </c>
      <c r="P1185" s="1" t="s">
        <v>128</v>
      </c>
      <c r="Q1185" s="1" t="s">
        <v>27</v>
      </c>
      <c r="R1185" s="1" t="s">
        <v>26</v>
      </c>
      <c r="S1185" s="1" t="s">
        <v>40</v>
      </c>
      <c r="T1185" s="1" t="s">
        <v>39</v>
      </c>
      <c r="U1185" s="1">
        <v>1</v>
      </c>
      <c r="V1185" s="1" t="s">
        <v>23</v>
      </c>
      <c r="Y1185" s="3">
        <v>43463</v>
      </c>
      <c r="Z1185" s="1">
        <v>2018</v>
      </c>
      <c r="AA1185" s="2"/>
      <c r="AB1185" s="2"/>
      <c r="AC1185" s="2">
        <v>280612.27999999997</v>
      </c>
      <c r="AG1185" s="1" t="s">
        <v>21</v>
      </c>
      <c r="AI1185" s="2">
        <v>280612.27999999997</v>
      </c>
      <c r="AK1185" s="1"/>
      <c r="AL1185" s="1" t="s">
        <v>127</v>
      </c>
    </row>
    <row r="1186" spans="1:38" ht="15" customHeight="1" x14ac:dyDescent="0.2">
      <c r="A1186" s="1" t="s">
        <v>19</v>
      </c>
      <c r="B1186" s="5" t="s">
        <v>109</v>
      </c>
      <c r="C1186" s="1" t="s">
        <v>37</v>
      </c>
      <c r="D1186" s="1" t="s">
        <v>132</v>
      </c>
      <c r="E1186" s="1" t="s">
        <v>35</v>
      </c>
      <c r="G1186" s="1" t="s">
        <v>135</v>
      </c>
      <c r="H1186" s="1" t="s">
        <v>130</v>
      </c>
      <c r="I1186" s="1" t="s">
        <v>356</v>
      </c>
      <c r="J1186" s="1">
        <v>2021</v>
      </c>
      <c r="P1186" s="1" t="s">
        <v>128</v>
      </c>
      <c r="Q1186" s="1" t="s">
        <v>27</v>
      </c>
      <c r="R1186" s="1" t="s">
        <v>26</v>
      </c>
      <c r="S1186" s="1" t="s">
        <v>40</v>
      </c>
      <c r="T1186" s="1" t="s">
        <v>39</v>
      </c>
      <c r="U1186" s="1">
        <v>1</v>
      </c>
      <c r="V1186" s="1" t="s">
        <v>23</v>
      </c>
      <c r="Y1186" s="3">
        <v>44299</v>
      </c>
      <c r="Z1186" s="1">
        <v>2021</v>
      </c>
      <c r="AA1186" s="2"/>
      <c r="AB1186" s="2"/>
      <c r="AC1186" s="2">
        <v>19185.91</v>
      </c>
      <c r="AG1186" s="1" t="s">
        <v>21</v>
      </c>
      <c r="AI1186" s="2">
        <v>19185.91</v>
      </c>
      <c r="AK1186" s="1"/>
    </row>
    <row r="1187" spans="1:38" ht="15" customHeight="1" x14ac:dyDescent="0.2">
      <c r="A1187" s="1" t="s">
        <v>19</v>
      </c>
      <c r="B1187" s="5" t="s">
        <v>109</v>
      </c>
      <c r="C1187" s="1" t="s">
        <v>37</v>
      </c>
      <c r="D1187" s="1" t="s">
        <v>132</v>
      </c>
      <c r="E1187" s="1" t="s">
        <v>35</v>
      </c>
      <c r="G1187" s="1" t="s">
        <v>131</v>
      </c>
      <c r="H1187" s="1" t="s">
        <v>130</v>
      </c>
      <c r="I1187" s="1" t="s">
        <v>355</v>
      </c>
      <c r="J1187" s="1">
        <v>2018</v>
      </c>
      <c r="P1187" s="1" t="s">
        <v>136</v>
      </c>
      <c r="Q1187" s="1" t="s">
        <v>27</v>
      </c>
      <c r="R1187" s="1" t="s">
        <v>26</v>
      </c>
      <c r="S1187" s="1" t="s">
        <v>91</v>
      </c>
      <c r="T1187" s="1" t="s">
        <v>90</v>
      </c>
      <c r="U1187" s="1">
        <v>1</v>
      </c>
      <c r="V1187" s="1" t="s">
        <v>23</v>
      </c>
      <c r="Y1187" s="3">
        <v>43461</v>
      </c>
      <c r="Z1187" s="1">
        <v>2018</v>
      </c>
      <c r="AA1187" s="2"/>
      <c r="AB1187" s="2"/>
      <c r="AC1187" s="2">
        <v>274942.37999999995</v>
      </c>
      <c r="AG1187" s="1" t="s">
        <v>21</v>
      </c>
      <c r="AI1187" s="2">
        <v>274942.37999999995</v>
      </c>
      <c r="AK1187" s="1"/>
      <c r="AL1187" s="1" t="s">
        <v>127</v>
      </c>
    </row>
    <row r="1188" spans="1:38" ht="15" customHeight="1" x14ac:dyDescent="0.2">
      <c r="A1188" s="1" t="s">
        <v>19</v>
      </c>
      <c r="B1188" s="5" t="s">
        <v>109</v>
      </c>
      <c r="C1188" s="1" t="s">
        <v>37</v>
      </c>
      <c r="D1188" s="1" t="s">
        <v>132</v>
      </c>
      <c r="E1188" s="1" t="s">
        <v>35</v>
      </c>
      <c r="G1188" s="1" t="s">
        <v>131</v>
      </c>
      <c r="H1188" s="1" t="s">
        <v>130</v>
      </c>
      <c r="I1188" s="1" t="s">
        <v>354</v>
      </c>
      <c r="J1188" s="1">
        <v>2018</v>
      </c>
      <c r="P1188" s="1" t="s">
        <v>128</v>
      </c>
      <c r="Q1188" s="1" t="s">
        <v>27</v>
      </c>
      <c r="R1188" s="1" t="s">
        <v>26</v>
      </c>
      <c r="S1188" s="1" t="s">
        <v>40</v>
      </c>
      <c r="T1188" s="1" t="s">
        <v>39</v>
      </c>
      <c r="U1188" s="1">
        <v>1</v>
      </c>
      <c r="V1188" s="1" t="s">
        <v>23</v>
      </c>
      <c r="Y1188" s="3">
        <v>43463</v>
      </c>
      <c r="Z1188" s="1">
        <v>2018</v>
      </c>
      <c r="AA1188" s="2"/>
      <c r="AB1188" s="2"/>
      <c r="AC1188" s="2">
        <v>389434.57999999996</v>
      </c>
      <c r="AG1188" s="1" t="s">
        <v>21</v>
      </c>
      <c r="AI1188" s="2">
        <v>389434.57999999996</v>
      </c>
      <c r="AK1188" s="1"/>
      <c r="AL1188" s="1" t="s">
        <v>127</v>
      </c>
    </row>
    <row r="1189" spans="1:38" ht="15" customHeight="1" x14ac:dyDescent="0.2">
      <c r="A1189" s="1" t="s">
        <v>19</v>
      </c>
      <c r="B1189" s="5" t="s">
        <v>109</v>
      </c>
      <c r="C1189" s="1" t="s">
        <v>37</v>
      </c>
      <c r="D1189" s="1" t="s">
        <v>132</v>
      </c>
      <c r="E1189" s="1" t="s">
        <v>35</v>
      </c>
      <c r="G1189" s="1" t="s">
        <v>131</v>
      </c>
      <c r="H1189" s="1" t="s">
        <v>130</v>
      </c>
      <c r="I1189" s="1" t="s">
        <v>353</v>
      </c>
      <c r="J1189" s="1">
        <v>2018</v>
      </c>
      <c r="P1189" s="1" t="s">
        <v>128</v>
      </c>
      <c r="Q1189" s="1" t="s">
        <v>27</v>
      </c>
      <c r="R1189" s="1" t="s">
        <v>26</v>
      </c>
      <c r="S1189" s="1" t="s">
        <v>40</v>
      </c>
      <c r="T1189" s="1" t="s">
        <v>39</v>
      </c>
      <c r="U1189" s="1">
        <v>1</v>
      </c>
      <c r="V1189" s="1" t="s">
        <v>23</v>
      </c>
      <c r="Y1189" s="3">
        <v>43463</v>
      </c>
      <c r="Z1189" s="1">
        <v>2018</v>
      </c>
      <c r="AA1189" s="2"/>
      <c r="AB1189" s="2"/>
      <c r="AC1189" s="2">
        <v>363419.99000000005</v>
      </c>
      <c r="AG1189" s="1" t="s">
        <v>21</v>
      </c>
      <c r="AI1189" s="2">
        <v>363419.99000000005</v>
      </c>
      <c r="AK1189" s="1"/>
      <c r="AL1189" s="1" t="s">
        <v>127</v>
      </c>
    </row>
    <row r="1190" spans="1:38" ht="15" customHeight="1" x14ac:dyDescent="0.2">
      <c r="A1190" s="1" t="s">
        <v>19</v>
      </c>
      <c r="B1190" s="5" t="s">
        <v>109</v>
      </c>
      <c r="C1190" s="1" t="s">
        <v>37</v>
      </c>
      <c r="D1190" s="1" t="s">
        <v>132</v>
      </c>
      <c r="E1190" s="1" t="s">
        <v>35</v>
      </c>
      <c r="G1190" s="1" t="s">
        <v>131</v>
      </c>
      <c r="H1190" s="1" t="s">
        <v>130</v>
      </c>
      <c r="I1190" s="1" t="s">
        <v>352</v>
      </c>
      <c r="J1190" s="1">
        <v>2018</v>
      </c>
      <c r="P1190" s="1" t="s">
        <v>128</v>
      </c>
      <c r="Q1190" s="1" t="s">
        <v>27</v>
      </c>
      <c r="R1190" s="1" t="s">
        <v>26</v>
      </c>
      <c r="S1190" s="1" t="s">
        <v>40</v>
      </c>
      <c r="T1190" s="1" t="s">
        <v>39</v>
      </c>
      <c r="U1190" s="1">
        <v>1</v>
      </c>
      <c r="V1190" s="1" t="s">
        <v>23</v>
      </c>
      <c r="Y1190" s="3">
        <v>43463</v>
      </c>
      <c r="Z1190" s="1">
        <v>2018</v>
      </c>
      <c r="AA1190" s="2"/>
      <c r="AB1190" s="2"/>
      <c r="AC1190" s="2">
        <v>386039.13</v>
      </c>
      <c r="AG1190" s="1" t="s">
        <v>21</v>
      </c>
      <c r="AI1190" s="2">
        <v>386039.13</v>
      </c>
      <c r="AK1190" s="1"/>
      <c r="AL1190" s="1" t="s">
        <v>127</v>
      </c>
    </row>
    <row r="1191" spans="1:38" ht="15" customHeight="1" x14ac:dyDescent="0.2">
      <c r="A1191" s="1" t="s">
        <v>19</v>
      </c>
      <c r="B1191" s="5" t="s">
        <v>109</v>
      </c>
      <c r="C1191" s="1" t="s">
        <v>37</v>
      </c>
      <c r="D1191" s="1" t="s">
        <v>132</v>
      </c>
      <c r="E1191" s="1" t="s">
        <v>35</v>
      </c>
      <c r="G1191" s="1" t="s">
        <v>131</v>
      </c>
      <c r="H1191" s="1" t="s">
        <v>130</v>
      </c>
      <c r="I1191" s="1" t="s">
        <v>351</v>
      </c>
      <c r="J1191" s="1">
        <v>2018</v>
      </c>
      <c r="P1191" s="1" t="s">
        <v>128</v>
      </c>
      <c r="Q1191" s="1" t="s">
        <v>27</v>
      </c>
      <c r="R1191" s="1" t="s">
        <v>26</v>
      </c>
      <c r="S1191" s="1" t="s">
        <v>40</v>
      </c>
      <c r="T1191" s="1" t="s">
        <v>39</v>
      </c>
      <c r="U1191" s="1">
        <v>1</v>
      </c>
      <c r="V1191" s="1" t="s">
        <v>23</v>
      </c>
      <c r="Y1191" s="3">
        <v>43463</v>
      </c>
      <c r="Z1191" s="1">
        <v>2018</v>
      </c>
      <c r="AA1191" s="2"/>
      <c r="AB1191" s="2"/>
      <c r="AC1191" s="2">
        <v>345704.45999999996</v>
      </c>
      <c r="AG1191" s="1" t="s">
        <v>21</v>
      </c>
      <c r="AI1191" s="2">
        <v>345704.45999999996</v>
      </c>
      <c r="AK1191" s="1"/>
      <c r="AL1191" s="1" t="s">
        <v>127</v>
      </c>
    </row>
    <row r="1192" spans="1:38" ht="15" customHeight="1" x14ac:dyDescent="0.2">
      <c r="A1192" s="1" t="s">
        <v>19</v>
      </c>
      <c r="B1192" s="5" t="s">
        <v>109</v>
      </c>
      <c r="C1192" s="1" t="s">
        <v>37</v>
      </c>
      <c r="D1192" s="1" t="s">
        <v>132</v>
      </c>
      <c r="E1192" s="1" t="s">
        <v>35</v>
      </c>
      <c r="G1192" s="1" t="s">
        <v>131</v>
      </c>
      <c r="H1192" s="1" t="s">
        <v>130</v>
      </c>
      <c r="I1192" s="1" t="s">
        <v>350</v>
      </c>
      <c r="J1192" s="1">
        <v>2018</v>
      </c>
      <c r="P1192" s="1" t="s">
        <v>128</v>
      </c>
      <c r="Q1192" s="1" t="s">
        <v>27</v>
      </c>
      <c r="R1192" s="1" t="s">
        <v>26</v>
      </c>
      <c r="S1192" s="1" t="s">
        <v>40</v>
      </c>
      <c r="T1192" s="1" t="s">
        <v>39</v>
      </c>
      <c r="U1192" s="1">
        <v>1</v>
      </c>
      <c r="V1192" s="1" t="s">
        <v>23</v>
      </c>
      <c r="Y1192" s="3">
        <v>43463</v>
      </c>
      <c r="Z1192" s="1">
        <v>2018</v>
      </c>
      <c r="AA1192" s="2"/>
      <c r="AB1192" s="2"/>
      <c r="AC1192" s="2">
        <v>501493.80999999994</v>
      </c>
      <c r="AG1192" s="1" t="s">
        <v>21</v>
      </c>
      <c r="AI1192" s="2">
        <v>501493.80999999994</v>
      </c>
      <c r="AK1192" s="1"/>
      <c r="AL1192" s="1" t="s">
        <v>127</v>
      </c>
    </row>
    <row r="1193" spans="1:38" ht="15" customHeight="1" x14ac:dyDescent="0.2">
      <c r="A1193" s="1" t="s">
        <v>19</v>
      </c>
      <c r="B1193" s="5" t="s">
        <v>109</v>
      </c>
      <c r="C1193" s="1" t="s">
        <v>37</v>
      </c>
      <c r="D1193" s="1" t="s">
        <v>132</v>
      </c>
      <c r="E1193" s="1" t="s">
        <v>35</v>
      </c>
      <c r="G1193" s="1" t="s">
        <v>131</v>
      </c>
      <c r="H1193" s="1" t="s">
        <v>130</v>
      </c>
      <c r="I1193" s="1" t="s">
        <v>349</v>
      </c>
      <c r="J1193" s="1">
        <v>2018</v>
      </c>
      <c r="P1193" s="1" t="s">
        <v>128</v>
      </c>
      <c r="Q1193" s="1" t="s">
        <v>27</v>
      </c>
      <c r="R1193" s="1" t="s">
        <v>26</v>
      </c>
      <c r="S1193" s="1" t="s">
        <v>40</v>
      </c>
      <c r="T1193" s="1" t="s">
        <v>39</v>
      </c>
      <c r="U1193" s="1">
        <v>1</v>
      </c>
      <c r="V1193" s="1" t="s">
        <v>23</v>
      </c>
      <c r="Y1193" s="3">
        <v>43463</v>
      </c>
      <c r="Z1193" s="1">
        <v>2018</v>
      </c>
      <c r="AA1193" s="2"/>
      <c r="AB1193" s="2"/>
      <c r="AC1193" s="2">
        <v>372546.65</v>
      </c>
      <c r="AG1193" s="1" t="s">
        <v>21</v>
      </c>
      <c r="AI1193" s="2">
        <v>372546.65</v>
      </c>
      <c r="AK1193" s="1"/>
      <c r="AL1193" s="1" t="s">
        <v>127</v>
      </c>
    </row>
    <row r="1194" spans="1:38" ht="15" customHeight="1" x14ac:dyDescent="0.2">
      <c r="A1194" s="1" t="s">
        <v>19</v>
      </c>
      <c r="B1194" s="5" t="s">
        <v>109</v>
      </c>
      <c r="C1194" s="1" t="s">
        <v>37</v>
      </c>
      <c r="D1194" s="1" t="s">
        <v>132</v>
      </c>
      <c r="E1194" s="1" t="s">
        <v>35</v>
      </c>
      <c r="G1194" s="1" t="s">
        <v>131</v>
      </c>
      <c r="H1194" s="1" t="s">
        <v>130</v>
      </c>
      <c r="I1194" s="1" t="s">
        <v>348</v>
      </c>
      <c r="J1194" s="1">
        <v>2019</v>
      </c>
      <c r="P1194" s="1" t="s">
        <v>128</v>
      </c>
      <c r="Q1194" s="1" t="s">
        <v>27</v>
      </c>
      <c r="R1194" s="1" t="s">
        <v>26</v>
      </c>
      <c r="S1194" s="1" t="s">
        <v>40</v>
      </c>
      <c r="T1194" s="1" t="s">
        <v>39</v>
      </c>
      <c r="U1194" s="1">
        <v>1</v>
      </c>
      <c r="V1194" s="1" t="s">
        <v>23</v>
      </c>
      <c r="Y1194" s="3">
        <v>43466</v>
      </c>
      <c r="Z1194" s="1">
        <v>2019</v>
      </c>
      <c r="AA1194" s="2"/>
      <c r="AB1194" s="2"/>
      <c r="AC1194" s="2">
        <v>516813.22000000009</v>
      </c>
      <c r="AG1194" s="1" t="s">
        <v>21</v>
      </c>
      <c r="AI1194" s="2">
        <v>516813.22000000009</v>
      </c>
      <c r="AK1194" s="1"/>
      <c r="AL1194" s="1" t="s">
        <v>127</v>
      </c>
    </row>
    <row r="1195" spans="1:38" ht="15" customHeight="1" x14ac:dyDescent="0.2">
      <c r="A1195" s="1" t="s">
        <v>19</v>
      </c>
      <c r="B1195" s="5" t="s">
        <v>109</v>
      </c>
      <c r="C1195" s="1" t="s">
        <v>37</v>
      </c>
      <c r="D1195" s="1" t="s">
        <v>132</v>
      </c>
      <c r="E1195" s="1" t="s">
        <v>35</v>
      </c>
      <c r="G1195" s="1" t="s">
        <v>131</v>
      </c>
      <c r="H1195" s="1" t="s">
        <v>130</v>
      </c>
      <c r="I1195" s="1" t="s">
        <v>347</v>
      </c>
      <c r="J1195" s="1">
        <v>2018</v>
      </c>
      <c r="P1195" s="1" t="s">
        <v>128</v>
      </c>
      <c r="Q1195" s="1" t="s">
        <v>27</v>
      </c>
      <c r="R1195" s="1" t="s">
        <v>26</v>
      </c>
      <c r="S1195" s="1" t="s">
        <v>40</v>
      </c>
      <c r="T1195" s="1" t="s">
        <v>39</v>
      </c>
      <c r="U1195" s="1">
        <v>1</v>
      </c>
      <c r="V1195" s="1" t="s">
        <v>23</v>
      </c>
      <c r="Y1195" s="3">
        <v>43463</v>
      </c>
      <c r="Z1195" s="1">
        <v>2018</v>
      </c>
      <c r="AA1195" s="2"/>
      <c r="AB1195" s="2"/>
      <c r="AC1195" s="2">
        <v>566611.76</v>
      </c>
      <c r="AG1195" s="1" t="s">
        <v>21</v>
      </c>
      <c r="AI1195" s="2">
        <v>566611.76</v>
      </c>
      <c r="AK1195" s="1"/>
      <c r="AL1195" s="1" t="s">
        <v>127</v>
      </c>
    </row>
    <row r="1196" spans="1:38" ht="15" customHeight="1" x14ac:dyDescent="0.2">
      <c r="A1196" s="1" t="s">
        <v>19</v>
      </c>
      <c r="B1196" s="5" t="s">
        <v>109</v>
      </c>
      <c r="C1196" s="1" t="s">
        <v>37</v>
      </c>
      <c r="D1196" s="1" t="s">
        <v>132</v>
      </c>
      <c r="E1196" s="1" t="s">
        <v>35</v>
      </c>
      <c r="G1196" s="1" t="s">
        <v>131</v>
      </c>
      <c r="H1196" s="1" t="s">
        <v>130</v>
      </c>
      <c r="I1196" s="1" t="s">
        <v>346</v>
      </c>
      <c r="J1196" s="1">
        <v>2018</v>
      </c>
      <c r="P1196" s="1" t="s">
        <v>128</v>
      </c>
      <c r="Q1196" s="1" t="s">
        <v>27</v>
      </c>
      <c r="R1196" s="1" t="s">
        <v>26</v>
      </c>
      <c r="S1196" s="1" t="s">
        <v>40</v>
      </c>
      <c r="T1196" s="1" t="s">
        <v>39</v>
      </c>
      <c r="U1196" s="1">
        <v>1</v>
      </c>
      <c r="V1196" s="1" t="s">
        <v>23</v>
      </c>
      <c r="Y1196" s="3">
        <v>43463</v>
      </c>
      <c r="Z1196" s="1">
        <v>2018</v>
      </c>
      <c r="AA1196" s="2"/>
      <c r="AB1196" s="2"/>
      <c r="AC1196" s="2">
        <v>375587.31000000006</v>
      </c>
      <c r="AG1196" s="1" t="s">
        <v>21</v>
      </c>
      <c r="AI1196" s="2">
        <v>375587.31000000006</v>
      </c>
      <c r="AK1196" s="1"/>
      <c r="AL1196" s="1" t="s">
        <v>127</v>
      </c>
    </row>
    <row r="1197" spans="1:38" ht="15" customHeight="1" x14ac:dyDescent="0.2">
      <c r="A1197" s="1" t="s">
        <v>19</v>
      </c>
      <c r="B1197" s="5" t="s">
        <v>109</v>
      </c>
      <c r="C1197" s="1" t="s">
        <v>37</v>
      </c>
      <c r="D1197" s="1" t="s">
        <v>132</v>
      </c>
      <c r="E1197" s="1" t="s">
        <v>35</v>
      </c>
      <c r="G1197" s="1" t="s">
        <v>131</v>
      </c>
      <c r="H1197" s="1" t="s">
        <v>130</v>
      </c>
      <c r="I1197" s="1" t="s">
        <v>345</v>
      </c>
      <c r="J1197" s="1">
        <v>2018</v>
      </c>
      <c r="P1197" s="1" t="s">
        <v>128</v>
      </c>
      <c r="Q1197" s="1" t="s">
        <v>27</v>
      </c>
      <c r="R1197" s="1" t="s">
        <v>26</v>
      </c>
      <c r="S1197" s="1" t="s">
        <v>40</v>
      </c>
      <c r="T1197" s="1" t="s">
        <v>39</v>
      </c>
      <c r="U1197" s="1">
        <v>1</v>
      </c>
      <c r="V1197" s="1" t="s">
        <v>23</v>
      </c>
      <c r="Y1197" s="3">
        <v>43463</v>
      </c>
      <c r="Z1197" s="1">
        <v>2018</v>
      </c>
      <c r="AA1197" s="2"/>
      <c r="AB1197" s="2"/>
      <c r="AC1197" s="2">
        <v>397476.15</v>
      </c>
      <c r="AG1197" s="1" t="s">
        <v>21</v>
      </c>
      <c r="AI1197" s="2">
        <v>397476.15</v>
      </c>
      <c r="AK1197" s="1"/>
      <c r="AL1197" s="1" t="s">
        <v>127</v>
      </c>
    </row>
    <row r="1198" spans="1:38" ht="15" customHeight="1" x14ac:dyDescent="0.2">
      <c r="A1198" s="1" t="s">
        <v>19</v>
      </c>
      <c r="B1198" s="5" t="s">
        <v>109</v>
      </c>
      <c r="C1198" s="1" t="s">
        <v>37</v>
      </c>
      <c r="D1198" s="1" t="s">
        <v>132</v>
      </c>
      <c r="E1198" s="1" t="s">
        <v>35</v>
      </c>
      <c r="G1198" s="1" t="s">
        <v>131</v>
      </c>
      <c r="H1198" s="1" t="s">
        <v>130</v>
      </c>
      <c r="I1198" s="1" t="s">
        <v>344</v>
      </c>
      <c r="J1198" s="1">
        <v>2018</v>
      </c>
      <c r="P1198" s="1" t="s">
        <v>128</v>
      </c>
      <c r="Q1198" s="1" t="s">
        <v>27</v>
      </c>
      <c r="R1198" s="1" t="s">
        <v>26</v>
      </c>
      <c r="S1198" s="1" t="s">
        <v>40</v>
      </c>
      <c r="T1198" s="1" t="s">
        <v>39</v>
      </c>
      <c r="U1198" s="1">
        <v>1</v>
      </c>
      <c r="V1198" s="1" t="s">
        <v>23</v>
      </c>
      <c r="Y1198" s="3">
        <v>43463</v>
      </c>
      <c r="Z1198" s="1">
        <v>2018</v>
      </c>
      <c r="AA1198" s="2"/>
      <c r="AB1198" s="2"/>
      <c r="AC1198" s="2">
        <v>545420.00000000012</v>
      </c>
      <c r="AG1198" s="1" t="s">
        <v>21</v>
      </c>
      <c r="AI1198" s="2">
        <v>545420.00000000012</v>
      </c>
      <c r="AK1198" s="1"/>
      <c r="AL1198" s="1" t="s">
        <v>127</v>
      </c>
    </row>
    <row r="1199" spans="1:38" ht="15" customHeight="1" x14ac:dyDescent="0.2">
      <c r="A1199" s="1" t="s">
        <v>19</v>
      </c>
      <c r="B1199" s="5" t="s">
        <v>109</v>
      </c>
      <c r="C1199" s="1" t="s">
        <v>37</v>
      </c>
      <c r="D1199" s="1" t="s">
        <v>132</v>
      </c>
      <c r="E1199" s="1" t="s">
        <v>35</v>
      </c>
      <c r="G1199" s="1" t="s">
        <v>131</v>
      </c>
      <c r="H1199" s="1" t="s">
        <v>130</v>
      </c>
      <c r="I1199" s="1" t="s">
        <v>343</v>
      </c>
      <c r="J1199" s="1">
        <v>2018</v>
      </c>
      <c r="P1199" s="1" t="s">
        <v>128</v>
      </c>
      <c r="Q1199" s="1" t="s">
        <v>27</v>
      </c>
      <c r="R1199" s="1" t="s">
        <v>26</v>
      </c>
      <c r="S1199" s="1" t="s">
        <v>40</v>
      </c>
      <c r="T1199" s="1" t="s">
        <v>39</v>
      </c>
      <c r="U1199" s="1">
        <v>1</v>
      </c>
      <c r="V1199" s="1" t="s">
        <v>23</v>
      </c>
      <c r="Y1199" s="3">
        <v>43463</v>
      </c>
      <c r="Z1199" s="1">
        <v>2018</v>
      </c>
      <c r="AA1199" s="2"/>
      <c r="AB1199" s="2"/>
      <c r="AC1199" s="2">
        <v>498626.20000000007</v>
      </c>
      <c r="AG1199" s="1" t="s">
        <v>21</v>
      </c>
      <c r="AI1199" s="2">
        <v>498626.20000000007</v>
      </c>
      <c r="AK1199" s="1"/>
      <c r="AL1199" s="1" t="s">
        <v>127</v>
      </c>
    </row>
    <row r="1200" spans="1:38" ht="15" customHeight="1" x14ac:dyDescent="0.2">
      <c r="A1200" s="1" t="s">
        <v>19</v>
      </c>
      <c r="B1200" s="5" t="s">
        <v>109</v>
      </c>
      <c r="C1200" s="1" t="s">
        <v>37</v>
      </c>
      <c r="D1200" s="1" t="s">
        <v>132</v>
      </c>
      <c r="E1200" s="1" t="s">
        <v>35</v>
      </c>
      <c r="G1200" s="1" t="s">
        <v>131</v>
      </c>
      <c r="H1200" s="1" t="s">
        <v>130</v>
      </c>
      <c r="I1200" s="1" t="s">
        <v>342</v>
      </c>
      <c r="J1200" s="1">
        <v>2018</v>
      </c>
      <c r="P1200" s="1" t="s">
        <v>128</v>
      </c>
      <c r="Q1200" s="1" t="s">
        <v>27</v>
      </c>
      <c r="R1200" s="1" t="s">
        <v>26</v>
      </c>
      <c r="S1200" s="1" t="s">
        <v>40</v>
      </c>
      <c r="T1200" s="1" t="s">
        <v>39</v>
      </c>
      <c r="U1200" s="1">
        <v>1</v>
      </c>
      <c r="V1200" s="1" t="s">
        <v>23</v>
      </c>
      <c r="Y1200" s="3">
        <v>43463</v>
      </c>
      <c r="Z1200" s="1">
        <v>2018</v>
      </c>
      <c r="AA1200" s="2"/>
      <c r="AB1200" s="2"/>
      <c r="AC1200" s="2">
        <v>391516.24</v>
      </c>
      <c r="AG1200" s="1" t="s">
        <v>21</v>
      </c>
      <c r="AI1200" s="2">
        <v>391516.24</v>
      </c>
      <c r="AK1200" s="1"/>
      <c r="AL1200" s="1" t="s">
        <v>127</v>
      </c>
    </row>
    <row r="1201" spans="1:38" ht="15" customHeight="1" x14ac:dyDescent="0.2">
      <c r="A1201" s="1" t="s">
        <v>19</v>
      </c>
      <c r="B1201" s="5" t="s">
        <v>109</v>
      </c>
      <c r="C1201" s="1" t="s">
        <v>37</v>
      </c>
      <c r="D1201" s="1" t="s">
        <v>132</v>
      </c>
      <c r="E1201" s="1" t="s">
        <v>35</v>
      </c>
      <c r="G1201" s="1" t="s">
        <v>135</v>
      </c>
      <c r="H1201" s="1" t="s">
        <v>130</v>
      </c>
      <c r="I1201" s="1" t="s">
        <v>341</v>
      </c>
      <c r="J1201" s="1">
        <v>2020</v>
      </c>
      <c r="P1201" s="1" t="s">
        <v>128</v>
      </c>
      <c r="Q1201" s="1" t="s">
        <v>27</v>
      </c>
      <c r="R1201" s="1" t="s">
        <v>26</v>
      </c>
      <c r="S1201" s="1" t="s">
        <v>40</v>
      </c>
      <c r="T1201" s="1" t="s">
        <v>39</v>
      </c>
      <c r="U1201" s="1">
        <v>1</v>
      </c>
      <c r="V1201" s="1" t="s">
        <v>23</v>
      </c>
      <c r="Y1201" s="3">
        <v>44005</v>
      </c>
      <c r="Z1201" s="1">
        <v>2020</v>
      </c>
      <c r="AA1201" s="2"/>
      <c r="AB1201" s="2"/>
      <c r="AC1201" s="2">
        <v>13949.23</v>
      </c>
      <c r="AG1201" s="1" t="s">
        <v>21</v>
      </c>
      <c r="AI1201" s="2">
        <v>13949.23</v>
      </c>
      <c r="AK1201" s="1"/>
    </row>
    <row r="1202" spans="1:38" ht="15" customHeight="1" x14ac:dyDescent="0.2">
      <c r="A1202" s="1" t="s">
        <v>19</v>
      </c>
      <c r="B1202" s="5" t="s">
        <v>109</v>
      </c>
      <c r="C1202" s="1" t="s">
        <v>37</v>
      </c>
      <c r="D1202" s="1" t="s">
        <v>132</v>
      </c>
      <c r="E1202" s="1" t="s">
        <v>35</v>
      </c>
      <c r="G1202" s="1" t="s">
        <v>131</v>
      </c>
      <c r="H1202" s="1" t="s">
        <v>130</v>
      </c>
      <c r="I1202" s="1" t="s">
        <v>340</v>
      </c>
      <c r="J1202" s="1">
        <v>2018</v>
      </c>
      <c r="P1202" s="1" t="s">
        <v>128</v>
      </c>
      <c r="Q1202" s="1" t="s">
        <v>27</v>
      </c>
      <c r="R1202" s="1" t="s">
        <v>26</v>
      </c>
      <c r="S1202" s="1" t="s">
        <v>40</v>
      </c>
      <c r="T1202" s="1" t="s">
        <v>39</v>
      </c>
      <c r="U1202" s="1">
        <v>1</v>
      </c>
      <c r="V1202" s="1" t="s">
        <v>23</v>
      </c>
      <c r="Y1202" s="3">
        <v>43463</v>
      </c>
      <c r="Z1202" s="1">
        <v>2018</v>
      </c>
      <c r="AA1202" s="2"/>
      <c r="AB1202" s="2"/>
      <c r="AC1202" s="2">
        <v>628913.94000000006</v>
      </c>
      <c r="AG1202" s="1" t="s">
        <v>21</v>
      </c>
      <c r="AI1202" s="2">
        <v>628913.94000000006</v>
      </c>
      <c r="AK1202" s="1"/>
      <c r="AL1202" s="1" t="s">
        <v>127</v>
      </c>
    </row>
    <row r="1203" spans="1:38" ht="15" customHeight="1" x14ac:dyDescent="0.2">
      <c r="A1203" s="1" t="s">
        <v>19</v>
      </c>
      <c r="B1203" s="5" t="s">
        <v>109</v>
      </c>
      <c r="C1203" s="1" t="s">
        <v>37</v>
      </c>
      <c r="D1203" s="1" t="s">
        <v>132</v>
      </c>
      <c r="E1203" s="1" t="s">
        <v>35</v>
      </c>
      <c r="G1203" s="1" t="s">
        <v>131</v>
      </c>
      <c r="H1203" s="1" t="s">
        <v>130</v>
      </c>
      <c r="I1203" s="1" t="s">
        <v>339</v>
      </c>
      <c r="J1203" s="1">
        <v>2018</v>
      </c>
      <c r="P1203" s="1" t="s">
        <v>128</v>
      </c>
      <c r="Q1203" s="1" t="s">
        <v>27</v>
      </c>
      <c r="R1203" s="1" t="s">
        <v>26</v>
      </c>
      <c r="S1203" s="1" t="s">
        <v>40</v>
      </c>
      <c r="T1203" s="1" t="s">
        <v>39</v>
      </c>
      <c r="U1203" s="1">
        <v>1</v>
      </c>
      <c r="V1203" s="1" t="s">
        <v>23</v>
      </c>
      <c r="Y1203" s="3">
        <v>43463</v>
      </c>
      <c r="Z1203" s="1">
        <v>2018</v>
      </c>
      <c r="AA1203" s="2"/>
      <c r="AB1203" s="2"/>
      <c r="AC1203" s="2">
        <v>413471.72000000003</v>
      </c>
      <c r="AG1203" s="1" t="s">
        <v>21</v>
      </c>
      <c r="AI1203" s="2">
        <v>413471.72000000003</v>
      </c>
      <c r="AK1203" s="1"/>
      <c r="AL1203" s="1" t="s">
        <v>127</v>
      </c>
    </row>
    <row r="1204" spans="1:38" ht="15" customHeight="1" x14ac:dyDescent="0.2">
      <c r="A1204" s="1" t="s">
        <v>19</v>
      </c>
      <c r="B1204" s="5" t="s">
        <v>109</v>
      </c>
      <c r="C1204" s="1" t="s">
        <v>37</v>
      </c>
      <c r="D1204" s="1" t="s">
        <v>132</v>
      </c>
      <c r="E1204" s="1" t="s">
        <v>35</v>
      </c>
      <c r="G1204" s="1" t="s">
        <v>131</v>
      </c>
      <c r="H1204" s="1" t="s">
        <v>130</v>
      </c>
      <c r="I1204" s="1" t="s">
        <v>338</v>
      </c>
      <c r="J1204" s="1">
        <v>2018</v>
      </c>
      <c r="P1204" s="1" t="s">
        <v>128</v>
      </c>
      <c r="Q1204" s="1" t="s">
        <v>27</v>
      </c>
      <c r="R1204" s="1" t="s">
        <v>26</v>
      </c>
      <c r="S1204" s="1" t="s">
        <v>40</v>
      </c>
      <c r="T1204" s="1" t="s">
        <v>39</v>
      </c>
      <c r="U1204" s="1">
        <v>1</v>
      </c>
      <c r="V1204" s="1" t="s">
        <v>23</v>
      </c>
      <c r="Y1204" s="3">
        <v>43463</v>
      </c>
      <c r="Z1204" s="1">
        <v>2018</v>
      </c>
      <c r="AA1204" s="2"/>
      <c r="AB1204" s="2"/>
      <c r="AC1204" s="2">
        <v>444306.19000000006</v>
      </c>
      <c r="AG1204" s="1" t="s">
        <v>21</v>
      </c>
      <c r="AI1204" s="2">
        <v>444306.19000000006</v>
      </c>
      <c r="AK1204" s="1"/>
      <c r="AL1204" s="1" t="s">
        <v>127</v>
      </c>
    </row>
    <row r="1205" spans="1:38" ht="15" customHeight="1" x14ac:dyDescent="0.2">
      <c r="A1205" s="1" t="s">
        <v>19</v>
      </c>
      <c r="B1205" s="5" t="s">
        <v>109</v>
      </c>
      <c r="C1205" s="1" t="s">
        <v>37</v>
      </c>
      <c r="D1205" s="1" t="s">
        <v>132</v>
      </c>
      <c r="E1205" s="1" t="s">
        <v>35</v>
      </c>
      <c r="G1205" s="1" t="s">
        <v>131</v>
      </c>
      <c r="H1205" s="1" t="s">
        <v>130</v>
      </c>
      <c r="I1205" s="1" t="s">
        <v>337</v>
      </c>
      <c r="J1205" s="1">
        <v>2018</v>
      </c>
      <c r="P1205" s="1" t="s">
        <v>128</v>
      </c>
      <c r="Q1205" s="1" t="s">
        <v>27</v>
      </c>
      <c r="R1205" s="1" t="s">
        <v>26</v>
      </c>
      <c r="S1205" s="1" t="s">
        <v>40</v>
      </c>
      <c r="T1205" s="1" t="s">
        <v>39</v>
      </c>
      <c r="U1205" s="1">
        <v>1</v>
      </c>
      <c r="V1205" s="1" t="s">
        <v>23</v>
      </c>
      <c r="Y1205" s="3">
        <v>43463</v>
      </c>
      <c r="Z1205" s="1">
        <v>2018</v>
      </c>
      <c r="AA1205" s="2"/>
      <c r="AB1205" s="2"/>
      <c r="AC1205" s="2">
        <v>541557.69999999995</v>
      </c>
      <c r="AG1205" s="1" t="s">
        <v>21</v>
      </c>
      <c r="AI1205" s="2">
        <v>541557.69999999995</v>
      </c>
      <c r="AK1205" s="1"/>
      <c r="AL1205" s="1" t="s">
        <v>127</v>
      </c>
    </row>
    <row r="1206" spans="1:38" ht="15" customHeight="1" x14ac:dyDescent="0.2">
      <c r="A1206" s="1" t="s">
        <v>19</v>
      </c>
      <c r="B1206" s="5" t="s">
        <v>109</v>
      </c>
      <c r="C1206" s="1" t="s">
        <v>37</v>
      </c>
      <c r="D1206" s="1" t="s">
        <v>132</v>
      </c>
      <c r="E1206" s="1" t="s">
        <v>35</v>
      </c>
      <c r="G1206" s="1" t="s">
        <v>131</v>
      </c>
      <c r="H1206" s="1" t="s">
        <v>130</v>
      </c>
      <c r="I1206" s="1" t="s">
        <v>336</v>
      </c>
      <c r="J1206" s="1">
        <v>2018</v>
      </c>
      <c r="P1206" s="1" t="s">
        <v>136</v>
      </c>
      <c r="Q1206" s="1" t="s">
        <v>27</v>
      </c>
      <c r="R1206" s="1" t="s">
        <v>26</v>
      </c>
      <c r="S1206" s="1" t="s">
        <v>91</v>
      </c>
      <c r="T1206" s="1" t="s">
        <v>90</v>
      </c>
      <c r="U1206" s="1">
        <v>1</v>
      </c>
      <c r="V1206" s="1" t="s">
        <v>23</v>
      </c>
      <c r="Y1206" s="3">
        <v>43461</v>
      </c>
      <c r="Z1206" s="1">
        <v>2018</v>
      </c>
      <c r="AA1206" s="2"/>
      <c r="AB1206" s="2"/>
      <c r="AC1206" s="2">
        <v>326622.77</v>
      </c>
      <c r="AG1206" s="1" t="s">
        <v>21</v>
      </c>
      <c r="AI1206" s="2">
        <v>326622.77</v>
      </c>
      <c r="AK1206" s="1"/>
      <c r="AL1206" s="1" t="s">
        <v>127</v>
      </c>
    </row>
    <row r="1207" spans="1:38" ht="15" customHeight="1" x14ac:dyDescent="0.2">
      <c r="A1207" s="1" t="s">
        <v>19</v>
      </c>
      <c r="B1207" s="5" t="s">
        <v>109</v>
      </c>
      <c r="C1207" s="1" t="s">
        <v>37</v>
      </c>
      <c r="D1207" s="1" t="s">
        <v>132</v>
      </c>
      <c r="E1207" s="1" t="s">
        <v>35</v>
      </c>
      <c r="G1207" s="1" t="s">
        <v>131</v>
      </c>
      <c r="H1207" s="1" t="s">
        <v>130</v>
      </c>
      <c r="I1207" s="1" t="s">
        <v>335</v>
      </c>
      <c r="J1207" s="1">
        <v>2018</v>
      </c>
      <c r="P1207" s="1" t="s">
        <v>136</v>
      </c>
      <c r="Q1207" s="1" t="s">
        <v>27</v>
      </c>
      <c r="R1207" s="1" t="s">
        <v>26</v>
      </c>
      <c r="S1207" s="1" t="s">
        <v>91</v>
      </c>
      <c r="T1207" s="1" t="s">
        <v>90</v>
      </c>
      <c r="U1207" s="1">
        <v>1</v>
      </c>
      <c r="V1207" s="1" t="s">
        <v>23</v>
      </c>
      <c r="Y1207" s="3">
        <v>43461</v>
      </c>
      <c r="Z1207" s="1">
        <v>2018</v>
      </c>
      <c r="AA1207" s="2"/>
      <c r="AB1207" s="2"/>
      <c r="AC1207" s="2">
        <v>307748.88</v>
      </c>
      <c r="AG1207" s="1" t="s">
        <v>21</v>
      </c>
      <c r="AI1207" s="2">
        <v>307748.88</v>
      </c>
      <c r="AK1207" s="1"/>
      <c r="AL1207" s="1" t="s">
        <v>127</v>
      </c>
    </row>
    <row r="1208" spans="1:38" ht="15" customHeight="1" x14ac:dyDescent="0.25">
      <c r="A1208" s="1" t="s">
        <v>19</v>
      </c>
      <c r="B1208" s="5" t="s">
        <v>109</v>
      </c>
      <c r="C1208" s="1" t="s">
        <v>37</v>
      </c>
      <c r="D1208" s="1" t="s">
        <v>132</v>
      </c>
      <c r="E1208" s="1" t="s">
        <v>35</v>
      </c>
      <c r="G1208" s="1" t="s">
        <v>131</v>
      </c>
      <c r="H1208" s="1" t="s">
        <v>130</v>
      </c>
      <c r="I1208" s="1" t="s">
        <v>334</v>
      </c>
      <c r="J1208" s="1">
        <v>2020</v>
      </c>
      <c r="P1208" s="1" t="s">
        <v>133</v>
      </c>
      <c r="Q1208" s="1" t="s">
        <v>27</v>
      </c>
      <c r="R1208" s="1" t="s">
        <v>26</v>
      </c>
      <c r="S1208" s="10" t="s">
        <v>68</v>
      </c>
      <c r="T1208" s="1" t="s">
        <v>67</v>
      </c>
      <c r="U1208" s="1">
        <v>1</v>
      </c>
      <c r="V1208" s="1" t="s">
        <v>23</v>
      </c>
      <c r="Y1208" s="3">
        <v>44105</v>
      </c>
      <c r="Z1208" s="1">
        <v>2020</v>
      </c>
      <c r="AA1208" s="2"/>
      <c r="AB1208" s="2"/>
      <c r="AC1208" s="2">
        <v>310968.53999999998</v>
      </c>
      <c r="AG1208" s="1" t="s">
        <v>21</v>
      </c>
      <c r="AI1208" s="2">
        <v>310968.53999999998</v>
      </c>
      <c r="AK1208" s="1"/>
      <c r="AL1208" s="1" t="s">
        <v>127</v>
      </c>
    </row>
    <row r="1209" spans="1:38" ht="15" customHeight="1" x14ac:dyDescent="0.25">
      <c r="A1209" s="1" t="s">
        <v>19</v>
      </c>
      <c r="B1209" s="5" t="s">
        <v>109</v>
      </c>
      <c r="C1209" s="1" t="s">
        <v>37</v>
      </c>
      <c r="D1209" s="1" t="s">
        <v>132</v>
      </c>
      <c r="E1209" s="1" t="s">
        <v>35</v>
      </c>
      <c r="G1209" s="1" t="s">
        <v>131</v>
      </c>
      <c r="H1209" s="1" t="s">
        <v>130</v>
      </c>
      <c r="I1209" s="1" t="s">
        <v>333</v>
      </c>
      <c r="J1209" s="1">
        <v>2020</v>
      </c>
      <c r="P1209" s="1" t="s">
        <v>133</v>
      </c>
      <c r="Q1209" s="1" t="s">
        <v>27</v>
      </c>
      <c r="R1209" s="1" t="s">
        <v>26</v>
      </c>
      <c r="S1209" s="10" t="s">
        <v>68</v>
      </c>
      <c r="T1209" s="1" t="s">
        <v>67</v>
      </c>
      <c r="U1209" s="1">
        <v>1</v>
      </c>
      <c r="V1209" s="1" t="s">
        <v>23</v>
      </c>
      <c r="Y1209" s="3">
        <v>44105</v>
      </c>
      <c r="Z1209" s="1">
        <v>2020</v>
      </c>
      <c r="AA1209" s="2"/>
      <c r="AB1209" s="2"/>
      <c r="AC1209" s="2">
        <v>557824.5</v>
      </c>
      <c r="AG1209" s="1" t="s">
        <v>21</v>
      </c>
      <c r="AI1209" s="2">
        <v>557824.5</v>
      </c>
      <c r="AK1209" s="1"/>
      <c r="AL1209" s="1" t="s">
        <v>127</v>
      </c>
    </row>
    <row r="1210" spans="1:38" ht="15" customHeight="1" x14ac:dyDescent="0.2">
      <c r="A1210" s="1" t="s">
        <v>19</v>
      </c>
      <c r="B1210" s="5" t="s">
        <v>109</v>
      </c>
      <c r="C1210" s="1" t="s">
        <v>37</v>
      </c>
      <c r="D1210" s="1" t="s">
        <v>132</v>
      </c>
      <c r="E1210" s="1" t="s">
        <v>35</v>
      </c>
      <c r="G1210" s="1" t="s">
        <v>135</v>
      </c>
      <c r="H1210" s="1" t="s">
        <v>130</v>
      </c>
      <c r="I1210" s="1" t="s">
        <v>332</v>
      </c>
      <c r="J1210" s="1">
        <v>2020</v>
      </c>
      <c r="P1210" s="1" t="s">
        <v>128</v>
      </c>
      <c r="Q1210" s="1" t="s">
        <v>27</v>
      </c>
      <c r="R1210" s="1" t="s">
        <v>26</v>
      </c>
      <c r="S1210" s="1" t="s">
        <v>40</v>
      </c>
      <c r="T1210" s="1" t="s">
        <v>39</v>
      </c>
      <c r="U1210" s="1">
        <v>1</v>
      </c>
      <c r="V1210" s="1" t="s">
        <v>23</v>
      </c>
      <c r="Y1210" s="3">
        <v>44005</v>
      </c>
      <c r="Z1210" s="1">
        <v>2020</v>
      </c>
      <c r="AA1210" s="2"/>
      <c r="AB1210" s="2"/>
      <c r="AC1210" s="2">
        <v>48114.43</v>
      </c>
      <c r="AG1210" s="1" t="s">
        <v>21</v>
      </c>
      <c r="AI1210" s="2">
        <v>48114.43</v>
      </c>
      <c r="AK1210" s="1"/>
    </row>
    <row r="1211" spans="1:38" ht="15" customHeight="1" x14ac:dyDescent="0.25">
      <c r="A1211" s="1" t="s">
        <v>19</v>
      </c>
      <c r="B1211" s="5" t="s">
        <v>18</v>
      </c>
      <c r="C1211" s="1" t="s">
        <v>37</v>
      </c>
      <c r="D1211" s="1" t="s">
        <v>211</v>
      </c>
      <c r="E1211" s="1" t="s">
        <v>35</v>
      </c>
      <c r="F1211" s="1" t="s">
        <v>260</v>
      </c>
      <c r="G1211" s="1" t="s">
        <v>259</v>
      </c>
      <c r="H1211" s="1" t="s">
        <v>130</v>
      </c>
      <c r="I1211" s="1" t="s">
        <v>331</v>
      </c>
      <c r="J1211" s="1" t="s">
        <v>316</v>
      </c>
      <c r="K1211" s="1" t="s">
        <v>328</v>
      </c>
      <c r="L1211" s="1" t="s">
        <v>330</v>
      </c>
      <c r="P1211" s="1" t="s">
        <v>329</v>
      </c>
      <c r="Q1211" s="1" t="s">
        <v>27</v>
      </c>
      <c r="R1211" s="1" t="s">
        <v>26</v>
      </c>
      <c r="S1211" s="10" t="s">
        <v>68</v>
      </c>
      <c r="T1211" s="1" t="s">
        <v>67</v>
      </c>
      <c r="U1211" s="1">
        <v>1</v>
      </c>
      <c r="V1211" s="1" t="s">
        <v>23</v>
      </c>
      <c r="W1211" s="1" t="s">
        <v>328</v>
      </c>
      <c r="X1211" s="1" t="s">
        <v>327</v>
      </c>
      <c r="Y1211" s="3">
        <v>43825</v>
      </c>
      <c r="Z1211" s="1">
        <v>2019</v>
      </c>
      <c r="AA1211" s="2">
        <v>389718.09</v>
      </c>
      <c r="AB1211" s="2"/>
      <c r="AC1211" s="2">
        <v>115000</v>
      </c>
      <c r="AD1211" s="1">
        <v>2</v>
      </c>
      <c r="AG1211" s="1" t="s">
        <v>21</v>
      </c>
      <c r="AI1211" s="2">
        <v>115000</v>
      </c>
      <c r="AK1211" s="1"/>
      <c r="AL1211" s="1" t="s">
        <v>326</v>
      </c>
    </row>
    <row r="1212" spans="1:38" ht="15" customHeight="1" x14ac:dyDescent="0.2">
      <c r="A1212" s="1" t="s">
        <v>19</v>
      </c>
      <c r="B1212" s="5" t="s">
        <v>109</v>
      </c>
      <c r="C1212" s="1" t="s">
        <v>37</v>
      </c>
      <c r="D1212" s="1" t="s">
        <v>211</v>
      </c>
      <c r="E1212" s="1" t="s">
        <v>35</v>
      </c>
      <c r="F1212" s="1" t="s">
        <v>260</v>
      </c>
      <c r="G1212" s="1" t="s">
        <v>259</v>
      </c>
      <c r="H1212" s="1" t="s">
        <v>130</v>
      </c>
      <c r="I1212" s="1" t="s">
        <v>325</v>
      </c>
      <c r="J1212" s="1" t="s">
        <v>316</v>
      </c>
      <c r="K1212" s="1" t="s">
        <v>324</v>
      </c>
      <c r="P1212" s="1" t="s">
        <v>249</v>
      </c>
      <c r="Q1212" s="1" t="s">
        <v>27</v>
      </c>
      <c r="R1212" s="1" t="s">
        <v>26</v>
      </c>
      <c r="S1212" s="1" t="s">
        <v>91</v>
      </c>
      <c r="T1212" s="1" t="s">
        <v>90</v>
      </c>
      <c r="U1212" s="1">
        <v>1</v>
      </c>
      <c r="V1212" s="1" t="s">
        <v>23</v>
      </c>
      <c r="W1212" s="1" t="s">
        <v>323</v>
      </c>
      <c r="X1212" s="1" t="s">
        <v>319</v>
      </c>
      <c r="Y1212" s="3">
        <v>44183</v>
      </c>
      <c r="Z1212" s="1">
        <v>2020</v>
      </c>
      <c r="AA1212" s="2">
        <v>171784.95</v>
      </c>
      <c r="AB1212" s="2"/>
      <c r="AC1212" s="2">
        <v>34356.99</v>
      </c>
      <c r="AD1212" s="1">
        <v>1</v>
      </c>
      <c r="AG1212" s="1" t="s">
        <v>106</v>
      </c>
      <c r="AH1212" s="1" t="s">
        <v>105</v>
      </c>
      <c r="AI1212" s="2">
        <v>0</v>
      </c>
      <c r="AK1212" s="1"/>
    </row>
    <row r="1213" spans="1:38" ht="15" customHeight="1" x14ac:dyDescent="0.25">
      <c r="A1213" s="1" t="s">
        <v>19</v>
      </c>
      <c r="B1213" s="5" t="s">
        <v>109</v>
      </c>
      <c r="C1213" s="1" t="s">
        <v>37</v>
      </c>
      <c r="D1213" s="1" t="s">
        <v>211</v>
      </c>
      <c r="E1213" s="1" t="s">
        <v>35</v>
      </c>
      <c r="F1213" s="1" t="s">
        <v>260</v>
      </c>
      <c r="G1213" s="1" t="s">
        <v>259</v>
      </c>
      <c r="H1213" s="1" t="s">
        <v>130</v>
      </c>
      <c r="I1213" s="1" t="s">
        <v>322</v>
      </c>
      <c r="J1213" s="1" t="s">
        <v>316</v>
      </c>
      <c r="K1213" s="1" t="s">
        <v>320</v>
      </c>
      <c r="P1213" s="1" t="s">
        <v>321</v>
      </c>
      <c r="Q1213" s="1" t="s">
        <v>27</v>
      </c>
      <c r="R1213" s="1" t="s">
        <v>26</v>
      </c>
      <c r="S1213" s="10" t="s">
        <v>68</v>
      </c>
      <c r="T1213" s="1" t="s">
        <v>67</v>
      </c>
      <c r="U1213" s="1">
        <v>1</v>
      </c>
      <c r="V1213" s="1" t="s">
        <v>23</v>
      </c>
      <c r="W1213" s="1" t="s">
        <v>320</v>
      </c>
      <c r="X1213" s="1" t="s">
        <v>319</v>
      </c>
      <c r="Y1213" s="3">
        <v>44393</v>
      </c>
      <c r="Z1213" s="1">
        <v>2021</v>
      </c>
      <c r="AA1213" s="2">
        <v>444136</v>
      </c>
      <c r="AB1213" s="2"/>
      <c r="AC1213" s="2">
        <v>133240.79999999999</v>
      </c>
      <c r="AD1213" s="1">
        <v>0</v>
      </c>
      <c r="AG1213" s="1" t="s">
        <v>106</v>
      </c>
      <c r="AH1213" s="1" t="s">
        <v>105</v>
      </c>
      <c r="AI1213" s="2">
        <v>0</v>
      </c>
      <c r="AK1213" s="1" t="s">
        <v>318</v>
      </c>
    </row>
    <row r="1214" spans="1:38" ht="15" customHeight="1" x14ac:dyDescent="0.2">
      <c r="A1214" s="1" t="s">
        <v>19</v>
      </c>
      <c r="B1214" s="5" t="s">
        <v>109</v>
      </c>
      <c r="C1214" s="1" t="s">
        <v>37</v>
      </c>
      <c r="D1214" s="1" t="s">
        <v>211</v>
      </c>
      <c r="E1214" s="1" t="s">
        <v>35</v>
      </c>
      <c r="F1214" s="1" t="s">
        <v>260</v>
      </c>
      <c r="G1214" s="1" t="s">
        <v>259</v>
      </c>
      <c r="H1214" s="1" t="s">
        <v>130</v>
      </c>
      <c r="I1214" s="1" t="s">
        <v>317</v>
      </c>
      <c r="J1214" s="1" t="s">
        <v>316</v>
      </c>
      <c r="K1214" s="1" t="s">
        <v>314</v>
      </c>
      <c r="P1214" s="1" t="s">
        <v>315</v>
      </c>
      <c r="Q1214" s="1" t="s">
        <v>27</v>
      </c>
      <c r="R1214" s="1" t="s">
        <v>26</v>
      </c>
      <c r="S1214" s="1" t="s">
        <v>25</v>
      </c>
      <c r="T1214" s="1" t="s">
        <v>24</v>
      </c>
      <c r="U1214" s="1">
        <v>1</v>
      </c>
      <c r="V1214" s="1" t="s">
        <v>23</v>
      </c>
      <c r="W1214" s="1" t="s">
        <v>314</v>
      </c>
      <c r="X1214" s="1" t="s">
        <v>304</v>
      </c>
      <c r="Y1214" s="3">
        <v>44993</v>
      </c>
      <c r="Z1214" s="1">
        <v>2023</v>
      </c>
      <c r="AA1214" s="2">
        <v>83982.97</v>
      </c>
      <c r="AB1214" s="2"/>
      <c r="AC1214" s="2">
        <v>32194.89</v>
      </c>
      <c r="AD1214" s="1">
        <v>1</v>
      </c>
      <c r="AE1214" s="1">
        <v>1</v>
      </c>
      <c r="AG1214" s="1" t="s">
        <v>106</v>
      </c>
      <c r="AH1214" s="1" t="s">
        <v>310</v>
      </c>
      <c r="AI1214" s="2">
        <v>0</v>
      </c>
      <c r="AK1214" s="1"/>
    </row>
    <row r="1215" spans="1:38" ht="15" customHeight="1" x14ac:dyDescent="0.2">
      <c r="A1215" s="1" t="s">
        <v>19</v>
      </c>
      <c r="B1215" s="5" t="s">
        <v>109</v>
      </c>
      <c r="C1215" s="1" t="s">
        <v>37</v>
      </c>
      <c r="D1215" s="1" t="s">
        <v>211</v>
      </c>
      <c r="E1215" s="1" t="s">
        <v>35</v>
      </c>
      <c r="F1215" s="1" t="s">
        <v>260</v>
      </c>
      <c r="G1215" s="1" t="s">
        <v>259</v>
      </c>
      <c r="H1215" s="1" t="s">
        <v>130</v>
      </c>
      <c r="I1215" s="1" t="s">
        <v>313</v>
      </c>
      <c r="J1215" s="1">
        <v>2021</v>
      </c>
      <c r="K1215" s="1" t="s">
        <v>311</v>
      </c>
      <c r="P1215" s="1" t="s">
        <v>312</v>
      </c>
      <c r="Q1215" s="1" t="s">
        <v>27</v>
      </c>
      <c r="R1215" s="1" t="s">
        <v>26</v>
      </c>
      <c r="S1215" s="1" t="s">
        <v>91</v>
      </c>
      <c r="T1215" s="1" t="s">
        <v>90</v>
      </c>
      <c r="U1215" s="1">
        <v>1</v>
      </c>
      <c r="V1215" s="1" t="s">
        <v>23</v>
      </c>
      <c r="W1215" s="1" t="s">
        <v>311</v>
      </c>
      <c r="X1215" s="1" t="s">
        <v>298</v>
      </c>
      <c r="Y1215" s="3">
        <v>44557</v>
      </c>
      <c r="Z1215" s="1">
        <v>2021</v>
      </c>
      <c r="AA1215" s="2">
        <v>313971.65999999997</v>
      </c>
      <c r="AB1215" s="2"/>
      <c r="AC1215" s="2">
        <v>94191.5</v>
      </c>
      <c r="AD1215" s="1">
        <v>2</v>
      </c>
      <c r="AG1215" s="1" t="s">
        <v>106</v>
      </c>
      <c r="AH1215" s="1" t="s">
        <v>310</v>
      </c>
      <c r="AI1215" s="2">
        <v>0</v>
      </c>
      <c r="AK1215" s="1"/>
    </row>
    <row r="1216" spans="1:38" ht="15" customHeight="1" x14ac:dyDescent="0.2">
      <c r="A1216" s="1" t="s">
        <v>19</v>
      </c>
      <c r="B1216" s="5" t="s">
        <v>18</v>
      </c>
      <c r="C1216" s="1" t="s">
        <v>37</v>
      </c>
      <c r="D1216" s="1" t="s">
        <v>211</v>
      </c>
      <c r="E1216" s="1" t="s">
        <v>35</v>
      </c>
      <c r="F1216" s="1" t="s">
        <v>260</v>
      </c>
      <c r="G1216" s="1" t="s">
        <v>259</v>
      </c>
      <c r="H1216" s="1" t="s">
        <v>130</v>
      </c>
      <c r="I1216" s="1" t="s">
        <v>309</v>
      </c>
      <c r="J1216" s="1">
        <v>2021</v>
      </c>
      <c r="K1216" s="1" t="s">
        <v>308</v>
      </c>
      <c r="L1216" s="1" t="s">
        <v>307</v>
      </c>
      <c r="P1216" s="1" t="s">
        <v>306</v>
      </c>
      <c r="Q1216" s="1" t="s">
        <v>27</v>
      </c>
      <c r="R1216" s="1" t="s">
        <v>26</v>
      </c>
      <c r="S1216" s="1" t="s">
        <v>229</v>
      </c>
      <c r="T1216" s="1" t="s">
        <v>228</v>
      </c>
      <c r="U1216" s="1">
        <v>2</v>
      </c>
      <c r="V1216" s="1" t="s">
        <v>23</v>
      </c>
      <c r="W1216" s="1" t="s">
        <v>305</v>
      </c>
      <c r="X1216" s="1" t="s">
        <v>304</v>
      </c>
      <c r="Y1216" s="3">
        <v>44557</v>
      </c>
      <c r="Z1216" s="1">
        <v>2021</v>
      </c>
      <c r="AA1216" s="2">
        <v>109025.46</v>
      </c>
      <c r="AB1216" s="2"/>
      <c r="AC1216" s="2">
        <v>16353.82</v>
      </c>
      <c r="AD1216" s="1">
        <v>1.5</v>
      </c>
      <c r="AE1216" s="1">
        <v>0.5</v>
      </c>
      <c r="AG1216" s="1" t="s">
        <v>21</v>
      </c>
      <c r="AI1216" s="2">
        <v>16353.82</v>
      </c>
      <c r="AK1216" s="1"/>
    </row>
    <row r="1217" spans="1:35" s="1" customFormat="1" ht="15" customHeight="1" x14ac:dyDescent="0.2">
      <c r="A1217" s="1" t="s">
        <v>19</v>
      </c>
      <c r="B1217" s="5" t="s">
        <v>18</v>
      </c>
      <c r="C1217" s="1" t="s">
        <v>37</v>
      </c>
      <c r="D1217" s="1" t="s">
        <v>211</v>
      </c>
      <c r="E1217" s="1" t="s">
        <v>35</v>
      </c>
      <c r="F1217" s="1" t="s">
        <v>260</v>
      </c>
      <c r="G1217" s="1" t="s">
        <v>259</v>
      </c>
      <c r="H1217" s="1" t="s">
        <v>130</v>
      </c>
      <c r="I1217" s="1" t="s">
        <v>303</v>
      </c>
      <c r="J1217" s="1">
        <v>2021</v>
      </c>
      <c r="K1217" s="1" t="s">
        <v>302</v>
      </c>
      <c r="L1217" s="1" t="s">
        <v>301</v>
      </c>
      <c r="M1217" s="1" t="s">
        <v>300</v>
      </c>
      <c r="P1217" s="1" t="s">
        <v>254</v>
      </c>
      <c r="Q1217" s="1" t="s">
        <v>27</v>
      </c>
      <c r="R1217" s="1" t="s">
        <v>26</v>
      </c>
      <c r="S1217" s="1" t="s">
        <v>91</v>
      </c>
      <c r="T1217" s="1" t="s">
        <v>90</v>
      </c>
      <c r="U1217" s="1">
        <v>1</v>
      </c>
      <c r="V1217" s="1" t="s">
        <v>23</v>
      </c>
      <c r="W1217" s="1" t="s">
        <v>299</v>
      </c>
      <c r="X1217" s="1" t="s">
        <v>298</v>
      </c>
      <c r="Y1217" s="3">
        <v>44557</v>
      </c>
      <c r="Z1217" s="1">
        <v>2021</v>
      </c>
      <c r="AA1217" s="2">
        <v>263741.38</v>
      </c>
      <c r="AB1217" s="2"/>
      <c r="AC1217" s="2">
        <v>60000</v>
      </c>
      <c r="AD1217" s="1">
        <v>0</v>
      </c>
      <c r="AG1217" s="1" t="s">
        <v>21</v>
      </c>
      <c r="AI1217" s="2">
        <v>60000</v>
      </c>
    </row>
    <row r="1218" spans="1:35" s="1" customFormat="1" ht="15" customHeight="1" x14ac:dyDescent="0.2">
      <c r="A1218" s="1" t="s">
        <v>19</v>
      </c>
      <c r="B1218" s="5" t="s">
        <v>18</v>
      </c>
      <c r="C1218" s="1" t="s">
        <v>37</v>
      </c>
      <c r="D1218" s="1" t="s">
        <v>63</v>
      </c>
      <c r="E1218" s="1" t="s">
        <v>35</v>
      </c>
      <c r="G1218" s="1" t="s">
        <v>288</v>
      </c>
      <c r="H1218" s="1" t="s">
        <v>32</v>
      </c>
      <c r="I1218" s="1" t="s">
        <v>297</v>
      </c>
      <c r="J1218" s="1">
        <v>2022</v>
      </c>
      <c r="K1218" s="1" t="s">
        <v>296</v>
      </c>
      <c r="L1218" s="1" t="s">
        <v>295</v>
      </c>
      <c r="P1218" s="1" t="s">
        <v>294</v>
      </c>
      <c r="Q1218" s="1" t="s">
        <v>27</v>
      </c>
      <c r="R1218" s="1" t="s">
        <v>26</v>
      </c>
      <c r="S1218" s="1" t="s">
        <v>229</v>
      </c>
      <c r="T1218" s="1" t="s">
        <v>228</v>
      </c>
      <c r="U1218" s="1">
        <v>2</v>
      </c>
      <c r="V1218" s="1" t="s">
        <v>23</v>
      </c>
      <c r="W1218" s="1" t="s">
        <v>293</v>
      </c>
      <c r="Y1218" s="3">
        <v>45112</v>
      </c>
      <c r="Z1218" s="1">
        <v>2023</v>
      </c>
      <c r="AA1218" s="2">
        <v>477825.36</v>
      </c>
      <c r="AB1218" s="2"/>
      <c r="AC1218" s="2">
        <v>477825.36</v>
      </c>
      <c r="AG1218" s="1" t="s">
        <v>21</v>
      </c>
      <c r="AI1218" s="2">
        <v>477825.36</v>
      </c>
    </row>
    <row r="1219" spans="1:35" s="1" customFormat="1" ht="15" customHeight="1" x14ac:dyDescent="0.2">
      <c r="A1219" s="1" t="s">
        <v>19</v>
      </c>
      <c r="B1219" s="5" t="s">
        <v>18</v>
      </c>
      <c r="C1219" s="1" t="s">
        <v>37</v>
      </c>
      <c r="D1219" s="1" t="s">
        <v>63</v>
      </c>
      <c r="E1219" s="1" t="s">
        <v>35</v>
      </c>
      <c r="G1219" s="1" t="s">
        <v>288</v>
      </c>
      <c r="H1219" s="1" t="s">
        <v>32</v>
      </c>
      <c r="I1219" s="1" t="s">
        <v>292</v>
      </c>
      <c r="J1219" s="1">
        <v>2022</v>
      </c>
      <c r="K1219" s="1" t="s">
        <v>291</v>
      </c>
      <c r="L1219" s="1" t="s">
        <v>290</v>
      </c>
      <c r="P1219" s="1" t="s">
        <v>92</v>
      </c>
      <c r="Q1219" s="1" t="s">
        <v>27</v>
      </c>
      <c r="R1219" s="1" t="s">
        <v>26</v>
      </c>
      <c r="S1219" s="1" t="s">
        <v>91</v>
      </c>
      <c r="T1219" s="1" t="s">
        <v>90</v>
      </c>
      <c r="U1219" s="1">
        <v>1</v>
      </c>
      <c r="V1219" s="1" t="s">
        <v>23</v>
      </c>
      <c r="W1219" s="1" t="s">
        <v>289</v>
      </c>
      <c r="Y1219" s="3">
        <v>45112</v>
      </c>
      <c r="Z1219" s="1">
        <v>2023</v>
      </c>
      <c r="AA1219" s="2">
        <v>829841.3</v>
      </c>
      <c r="AB1219" s="2"/>
      <c r="AC1219" s="2">
        <v>829841.3</v>
      </c>
      <c r="AG1219" s="1" t="s">
        <v>21</v>
      </c>
      <c r="AI1219" s="2">
        <v>829841.3</v>
      </c>
    </row>
    <row r="1220" spans="1:35" s="1" customFormat="1" ht="15" customHeight="1" x14ac:dyDescent="0.2">
      <c r="A1220" s="1" t="s">
        <v>19</v>
      </c>
      <c r="B1220" s="5" t="s">
        <v>18</v>
      </c>
      <c r="C1220" s="1" t="s">
        <v>37</v>
      </c>
      <c r="D1220" s="1" t="s">
        <v>63</v>
      </c>
      <c r="E1220" s="1" t="s">
        <v>35</v>
      </c>
      <c r="G1220" s="1" t="s">
        <v>288</v>
      </c>
      <c r="H1220" s="1" t="s">
        <v>32</v>
      </c>
      <c r="I1220" s="1" t="s">
        <v>287</v>
      </c>
      <c r="J1220" s="1">
        <v>2022</v>
      </c>
      <c r="K1220" s="1" t="s">
        <v>286</v>
      </c>
      <c r="L1220" s="1" t="s">
        <v>285</v>
      </c>
      <c r="P1220" s="1" t="s">
        <v>92</v>
      </c>
      <c r="Q1220" s="1" t="s">
        <v>27</v>
      </c>
      <c r="R1220" s="1" t="s">
        <v>26</v>
      </c>
      <c r="S1220" s="1" t="s">
        <v>91</v>
      </c>
      <c r="T1220" s="1" t="s">
        <v>90</v>
      </c>
      <c r="U1220" s="1">
        <v>1</v>
      </c>
      <c r="V1220" s="1" t="s">
        <v>23</v>
      </c>
      <c r="W1220" s="1" t="s">
        <v>284</v>
      </c>
      <c r="Y1220" s="3">
        <v>45112</v>
      </c>
      <c r="Z1220" s="1">
        <v>2023</v>
      </c>
      <c r="AA1220" s="2">
        <v>3500000</v>
      </c>
      <c r="AB1220" s="2"/>
      <c r="AC1220" s="2">
        <v>3500000</v>
      </c>
      <c r="AG1220" s="1" t="s">
        <v>21</v>
      </c>
      <c r="AI1220" s="2">
        <v>3500000</v>
      </c>
    </row>
    <row r="1221" spans="1:35" s="1" customFormat="1" ht="15" customHeight="1" x14ac:dyDescent="0.2">
      <c r="A1221" s="1" t="s">
        <v>19</v>
      </c>
      <c r="B1221" s="5" t="s">
        <v>18</v>
      </c>
      <c r="C1221" s="1" t="s">
        <v>37</v>
      </c>
      <c r="D1221" s="1" t="s">
        <v>211</v>
      </c>
      <c r="E1221" s="1" t="s">
        <v>35</v>
      </c>
      <c r="F1221" s="1" t="s">
        <v>267</v>
      </c>
      <c r="G1221" s="1" t="s">
        <v>266</v>
      </c>
      <c r="H1221" s="1" t="s">
        <v>208</v>
      </c>
      <c r="I1221" s="1" t="s">
        <v>283</v>
      </c>
      <c r="J1221" s="1">
        <v>2023</v>
      </c>
      <c r="K1221" s="1" t="s">
        <v>282</v>
      </c>
      <c r="L1221" s="1" t="s">
        <v>281</v>
      </c>
      <c r="P1221" s="1" t="s">
        <v>280</v>
      </c>
      <c r="Q1221" s="1" t="s">
        <v>27</v>
      </c>
      <c r="R1221" s="1" t="s">
        <v>26</v>
      </c>
      <c r="S1221" s="1" t="s">
        <v>40</v>
      </c>
      <c r="T1221" s="1" t="s">
        <v>39</v>
      </c>
      <c r="U1221" s="1">
        <v>1</v>
      </c>
      <c r="V1221" s="1" t="s">
        <v>23</v>
      </c>
      <c r="W1221" s="1" t="s">
        <v>279</v>
      </c>
      <c r="Y1221" s="3">
        <v>45462</v>
      </c>
      <c r="Z1221" s="1">
        <v>2024</v>
      </c>
      <c r="AA1221" s="2">
        <v>3843821.25</v>
      </c>
      <c r="AB1221" s="2"/>
      <c r="AC1221" s="2">
        <v>927668.72</v>
      </c>
      <c r="AD1221" s="1">
        <v>17</v>
      </c>
      <c r="AE1221" s="1">
        <v>3</v>
      </c>
      <c r="AG1221" s="1" t="s">
        <v>21</v>
      </c>
      <c r="AI1221" s="2">
        <v>927668.72</v>
      </c>
    </row>
    <row r="1222" spans="1:35" s="1" customFormat="1" ht="15" customHeight="1" x14ac:dyDescent="0.2">
      <c r="A1222" s="1" t="s">
        <v>19</v>
      </c>
      <c r="B1222" s="5" t="s">
        <v>18</v>
      </c>
      <c r="C1222" s="1" t="s">
        <v>37</v>
      </c>
      <c r="D1222" s="1" t="s">
        <v>211</v>
      </c>
      <c r="E1222" s="1" t="s">
        <v>35</v>
      </c>
      <c r="F1222" s="1" t="s">
        <v>267</v>
      </c>
      <c r="G1222" s="1" t="s">
        <v>266</v>
      </c>
      <c r="H1222" s="1" t="s">
        <v>208</v>
      </c>
      <c r="I1222" s="1" t="s">
        <v>278</v>
      </c>
      <c r="J1222" s="1">
        <v>2023</v>
      </c>
      <c r="K1222" s="1" t="s">
        <v>277</v>
      </c>
      <c r="L1222" s="1" t="s">
        <v>276</v>
      </c>
      <c r="P1222" s="1" t="s">
        <v>275</v>
      </c>
      <c r="Q1222" s="1" t="s">
        <v>27</v>
      </c>
      <c r="R1222" s="1" t="s">
        <v>26</v>
      </c>
      <c r="S1222" s="1" t="s">
        <v>40</v>
      </c>
      <c r="T1222" s="1" t="s">
        <v>39</v>
      </c>
      <c r="U1222" s="1">
        <v>1</v>
      </c>
      <c r="V1222" s="1" t="s">
        <v>23</v>
      </c>
      <c r="W1222" s="1" t="s">
        <v>274</v>
      </c>
      <c r="Y1222" s="3">
        <v>45462</v>
      </c>
      <c r="Z1222" s="1">
        <v>2024</v>
      </c>
      <c r="AA1222" s="2">
        <v>3241330</v>
      </c>
      <c r="AB1222" s="2"/>
      <c r="AC1222" s="2">
        <v>619732.75</v>
      </c>
      <c r="AD1222" s="1">
        <v>4</v>
      </c>
      <c r="AE1222" s="1">
        <v>1</v>
      </c>
      <c r="AG1222" s="1" t="s">
        <v>21</v>
      </c>
      <c r="AI1222" s="2">
        <v>619732.75</v>
      </c>
    </row>
    <row r="1223" spans="1:35" s="1" customFormat="1" ht="15" customHeight="1" x14ac:dyDescent="0.2">
      <c r="A1223" s="1" t="s">
        <v>19</v>
      </c>
      <c r="B1223" s="5" t="s">
        <v>18</v>
      </c>
      <c r="C1223" s="1" t="s">
        <v>37</v>
      </c>
      <c r="D1223" s="1" t="s">
        <v>211</v>
      </c>
      <c r="E1223" s="1" t="s">
        <v>35</v>
      </c>
      <c r="F1223" s="1" t="s">
        <v>267</v>
      </c>
      <c r="G1223" s="1" t="s">
        <v>266</v>
      </c>
      <c r="H1223" s="1" t="s">
        <v>130</v>
      </c>
      <c r="I1223" s="1" t="s">
        <v>273</v>
      </c>
      <c r="J1223" s="1">
        <v>2023</v>
      </c>
      <c r="K1223" s="1" t="s">
        <v>272</v>
      </c>
      <c r="L1223" s="1" t="s">
        <v>271</v>
      </c>
      <c r="M1223" s="1" t="s">
        <v>270</v>
      </c>
      <c r="P1223" s="1" t="s">
        <v>269</v>
      </c>
      <c r="Q1223" s="1" t="s">
        <v>27</v>
      </c>
      <c r="R1223" s="1" t="s">
        <v>26</v>
      </c>
      <c r="S1223" s="1" t="s">
        <v>229</v>
      </c>
      <c r="T1223" s="1" t="s">
        <v>228</v>
      </c>
      <c r="U1223" s="1">
        <v>2</v>
      </c>
      <c r="V1223" s="1" t="s">
        <v>23</v>
      </c>
      <c r="W1223" s="1" t="s">
        <v>268</v>
      </c>
      <c r="Y1223" s="3">
        <v>45462</v>
      </c>
      <c r="Z1223" s="1">
        <v>2024</v>
      </c>
      <c r="AA1223" s="2">
        <v>26809390</v>
      </c>
      <c r="AB1223" s="2"/>
      <c r="AC1223" s="2">
        <v>2993204.25</v>
      </c>
      <c r="AD1223" s="1">
        <v>82</v>
      </c>
      <c r="AE1223" s="1">
        <v>33</v>
      </c>
      <c r="AG1223" s="1" t="s">
        <v>21</v>
      </c>
      <c r="AI1223" s="2">
        <v>2993204.25</v>
      </c>
    </row>
    <row r="1224" spans="1:35" s="1" customFormat="1" ht="15" customHeight="1" x14ac:dyDescent="0.2">
      <c r="A1224" s="1" t="s">
        <v>19</v>
      </c>
      <c r="B1224" s="5" t="s">
        <v>18</v>
      </c>
      <c r="C1224" s="1" t="s">
        <v>37</v>
      </c>
      <c r="D1224" s="1" t="s">
        <v>211</v>
      </c>
      <c r="E1224" s="1" t="s">
        <v>35</v>
      </c>
      <c r="F1224" s="1" t="s">
        <v>267</v>
      </c>
      <c r="G1224" s="1" t="s">
        <v>266</v>
      </c>
      <c r="H1224" s="1" t="s">
        <v>208</v>
      </c>
      <c r="I1224" s="1" t="s">
        <v>265</v>
      </c>
      <c r="J1224" s="1">
        <v>2023</v>
      </c>
      <c r="K1224" s="1" t="s">
        <v>264</v>
      </c>
      <c r="L1224" s="1" t="s">
        <v>263</v>
      </c>
      <c r="P1224" s="1" t="s">
        <v>262</v>
      </c>
      <c r="Q1224" s="1" t="s">
        <v>27</v>
      </c>
      <c r="R1224" s="1" t="s">
        <v>26</v>
      </c>
      <c r="S1224" s="1" t="s">
        <v>91</v>
      </c>
      <c r="T1224" s="1" t="s">
        <v>90</v>
      </c>
      <c r="U1224" s="1">
        <v>1</v>
      </c>
      <c r="V1224" s="1" t="s">
        <v>23</v>
      </c>
      <c r="W1224" s="1" t="s">
        <v>261</v>
      </c>
      <c r="Y1224" s="3">
        <v>45462</v>
      </c>
      <c r="Z1224" s="1">
        <v>2024</v>
      </c>
      <c r="AA1224" s="2">
        <v>1390307.55</v>
      </c>
      <c r="AB1224" s="2"/>
      <c r="AC1224" s="2">
        <v>318303.82</v>
      </c>
      <c r="AD1224" s="1">
        <v>5</v>
      </c>
      <c r="AE1224" s="1">
        <v>2</v>
      </c>
      <c r="AG1224" s="1" t="s">
        <v>21</v>
      </c>
      <c r="AI1224" s="2">
        <v>318303.82</v>
      </c>
    </row>
    <row r="1225" spans="1:35" s="1" customFormat="1" ht="15" customHeight="1" x14ac:dyDescent="0.2">
      <c r="A1225" s="1" t="s">
        <v>19</v>
      </c>
      <c r="B1225" s="5" t="s">
        <v>18</v>
      </c>
      <c r="C1225" s="1" t="s">
        <v>37</v>
      </c>
      <c r="D1225" s="1" t="s">
        <v>211</v>
      </c>
      <c r="E1225" s="1" t="s">
        <v>35</v>
      </c>
      <c r="F1225" s="1" t="s">
        <v>260</v>
      </c>
      <c r="G1225" s="1" t="s">
        <v>259</v>
      </c>
      <c r="H1225" s="1" t="s">
        <v>258</v>
      </c>
      <c r="I1225" s="1" t="s">
        <v>257</v>
      </c>
      <c r="J1225" s="1">
        <v>2023</v>
      </c>
      <c r="K1225" s="1" t="s">
        <v>256</v>
      </c>
      <c r="L1225" s="1" t="s">
        <v>256</v>
      </c>
      <c r="M1225" s="1" t="s">
        <v>255</v>
      </c>
      <c r="P1225" s="1" t="s">
        <v>254</v>
      </c>
      <c r="Q1225" s="1" t="s">
        <v>27</v>
      </c>
      <c r="R1225" s="1" t="s">
        <v>26</v>
      </c>
      <c r="S1225" s="1" t="s">
        <v>91</v>
      </c>
      <c r="T1225" s="2" t="s">
        <v>90</v>
      </c>
      <c r="U1225" s="1">
        <v>1</v>
      </c>
      <c r="V1225" s="1" t="s">
        <v>23</v>
      </c>
      <c r="W1225" s="1" t="s">
        <v>253</v>
      </c>
      <c r="Y1225" s="3">
        <v>45802</v>
      </c>
      <c r="Z1225" s="1">
        <v>2025</v>
      </c>
      <c r="AA1225" s="16">
        <v>49800</v>
      </c>
      <c r="AB1225" s="2"/>
      <c r="AC1225" s="16">
        <v>17430</v>
      </c>
      <c r="AD1225" s="1">
        <v>0</v>
      </c>
      <c r="AE1225" s="1">
        <v>0</v>
      </c>
      <c r="AG1225" s="1" t="s">
        <v>21</v>
      </c>
      <c r="AI1225" s="15">
        <v>17430</v>
      </c>
    </row>
    <row r="1226" spans="1:35" s="1" customFormat="1" ht="15" customHeight="1" x14ac:dyDescent="0.25">
      <c r="A1226" s="1" t="s">
        <v>19</v>
      </c>
      <c r="B1226" s="5" t="s">
        <v>18</v>
      </c>
      <c r="C1226" s="1" t="s">
        <v>37</v>
      </c>
      <c r="D1226" s="1" t="s">
        <v>211</v>
      </c>
      <c r="E1226" s="1" t="s">
        <v>35</v>
      </c>
      <c r="F1226" s="1" t="s">
        <v>210</v>
      </c>
      <c r="G1226" s="1" t="s">
        <v>209</v>
      </c>
      <c r="H1226" s="1" t="s">
        <v>208</v>
      </c>
      <c r="I1226" s="1" t="s">
        <v>252</v>
      </c>
      <c r="J1226" s="1">
        <v>2023</v>
      </c>
      <c r="K1226" s="1" t="s">
        <v>251</v>
      </c>
      <c r="L1226" s="1" t="s">
        <v>250</v>
      </c>
      <c r="P1226" s="1" t="s">
        <v>249</v>
      </c>
      <c r="Q1226" s="1" t="s">
        <v>27</v>
      </c>
      <c r="R1226" s="1" t="s">
        <v>26</v>
      </c>
      <c r="S1226" s="10" t="s">
        <v>68</v>
      </c>
      <c r="T1226" s="1" t="s">
        <v>67</v>
      </c>
      <c r="U1226" s="1">
        <v>1</v>
      </c>
      <c r="V1226" s="1" t="s">
        <v>23</v>
      </c>
      <c r="W1226" s="1" t="s">
        <v>248</v>
      </c>
      <c r="Y1226" s="3">
        <v>45478</v>
      </c>
      <c r="Z1226" s="1">
        <v>2024</v>
      </c>
      <c r="AA1226" s="2">
        <v>317997.53999999998</v>
      </c>
      <c r="AB1226" s="2"/>
      <c r="AC1226" s="2">
        <v>127199.01</v>
      </c>
      <c r="AD1226" s="1">
        <v>3</v>
      </c>
      <c r="AE1226" s="1">
        <v>2</v>
      </c>
      <c r="AG1226" s="1" t="s">
        <v>21</v>
      </c>
      <c r="AI1226" s="2">
        <v>127199.01</v>
      </c>
    </row>
    <row r="1227" spans="1:35" s="1" customFormat="1" ht="15" customHeight="1" x14ac:dyDescent="0.2">
      <c r="A1227" s="1" t="s">
        <v>19</v>
      </c>
      <c r="B1227" s="5" t="s">
        <v>18</v>
      </c>
      <c r="C1227" s="1" t="s">
        <v>37</v>
      </c>
      <c r="D1227" s="1" t="s">
        <v>211</v>
      </c>
      <c r="E1227" s="1" t="s">
        <v>35</v>
      </c>
      <c r="F1227" s="1" t="s">
        <v>210</v>
      </c>
      <c r="G1227" s="1" t="s">
        <v>209</v>
      </c>
      <c r="H1227" s="1" t="s">
        <v>208</v>
      </c>
      <c r="I1227" s="1" t="s">
        <v>247</v>
      </c>
      <c r="J1227" s="1">
        <v>2023</v>
      </c>
      <c r="K1227" s="1" t="s">
        <v>246</v>
      </c>
      <c r="L1227" s="1" t="s">
        <v>245</v>
      </c>
      <c r="P1227" s="1" t="s">
        <v>244</v>
      </c>
      <c r="Q1227" s="1" t="s">
        <v>27</v>
      </c>
      <c r="R1227" s="1" t="s">
        <v>26</v>
      </c>
      <c r="S1227" s="1" t="s">
        <v>91</v>
      </c>
      <c r="T1227" s="1" t="s">
        <v>90</v>
      </c>
      <c r="U1227" s="1">
        <v>1</v>
      </c>
      <c r="V1227" s="1" t="s">
        <v>23</v>
      </c>
      <c r="W1227" s="1" t="s">
        <v>243</v>
      </c>
      <c r="Y1227" s="3">
        <v>45478</v>
      </c>
      <c r="Z1227" s="1">
        <v>2024</v>
      </c>
      <c r="AA1227" s="2">
        <v>64185.01</v>
      </c>
      <c r="AB1227" s="2"/>
      <c r="AC1227" s="2">
        <v>31046.25</v>
      </c>
      <c r="AD1227" s="1">
        <v>1</v>
      </c>
      <c r="AG1227" s="1" t="s">
        <v>21</v>
      </c>
      <c r="AI1227" s="2">
        <v>31046.25</v>
      </c>
    </row>
    <row r="1228" spans="1:35" s="1" customFormat="1" ht="15" customHeight="1" x14ac:dyDescent="0.25">
      <c r="A1228" s="1" t="s">
        <v>19</v>
      </c>
      <c r="B1228" s="5" t="s">
        <v>18</v>
      </c>
      <c r="C1228" s="1" t="s">
        <v>37</v>
      </c>
      <c r="D1228" s="1" t="s">
        <v>211</v>
      </c>
      <c r="E1228" s="1" t="s">
        <v>35</v>
      </c>
      <c r="F1228" s="1" t="s">
        <v>210</v>
      </c>
      <c r="G1228" s="1" t="s">
        <v>209</v>
      </c>
      <c r="H1228" s="1" t="s">
        <v>208</v>
      </c>
      <c r="I1228" s="1" t="s">
        <v>242</v>
      </c>
      <c r="J1228" s="1">
        <v>2023</v>
      </c>
      <c r="K1228" s="1" t="s">
        <v>206</v>
      </c>
      <c r="L1228" s="1" t="s">
        <v>241</v>
      </c>
      <c r="P1228" s="1" t="s">
        <v>240</v>
      </c>
      <c r="Q1228" s="1" t="s">
        <v>27</v>
      </c>
      <c r="R1228" s="1" t="s">
        <v>26</v>
      </c>
      <c r="S1228" s="10" t="s">
        <v>68</v>
      </c>
      <c r="T1228" s="1" t="s">
        <v>67</v>
      </c>
      <c r="U1228" s="1">
        <v>1</v>
      </c>
      <c r="V1228" s="1" t="s">
        <v>23</v>
      </c>
      <c r="W1228" s="1" t="s">
        <v>239</v>
      </c>
      <c r="Y1228" s="3">
        <v>45478</v>
      </c>
      <c r="Z1228" s="1">
        <v>2024</v>
      </c>
      <c r="AA1228" s="2">
        <v>33405.4</v>
      </c>
      <c r="AB1228" s="2"/>
      <c r="AC1228" s="2">
        <v>8351.35</v>
      </c>
      <c r="AD1228" s="1">
        <v>0</v>
      </c>
      <c r="AG1228" s="1" t="s">
        <v>21</v>
      </c>
      <c r="AI1228" s="2">
        <v>8351.35</v>
      </c>
    </row>
    <row r="1229" spans="1:35" s="1" customFormat="1" ht="15" customHeight="1" x14ac:dyDescent="0.2">
      <c r="A1229" s="1" t="s">
        <v>19</v>
      </c>
      <c r="B1229" s="5" t="s">
        <v>18</v>
      </c>
      <c r="C1229" s="1" t="s">
        <v>37</v>
      </c>
      <c r="D1229" s="1" t="s">
        <v>211</v>
      </c>
      <c r="E1229" s="1" t="s">
        <v>35</v>
      </c>
      <c r="F1229" s="1" t="s">
        <v>210</v>
      </c>
      <c r="G1229" s="1" t="s">
        <v>209</v>
      </c>
      <c r="H1229" s="1" t="s">
        <v>208</v>
      </c>
      <c r="I1229" s="1" t="s">
        <v>238</v>
      </c>
      <c r="J1229" s="1">
        <v>2023</v>
      </c>
      <c r="K1229" s="1" t="s">
        <v>237</v>
      </c>
      <c r="L1229" s="1" t="s">
        <v>236</v>
      </c>
      <c r="P1229" s="1" t="s">
        <v>235</v>
      </c>
      <c r="Q1229" s="1" t="s">
        <v>27</v>
      </c>
      <c r="R1229" s="1" t="s">
        <v>26</v>
      </c>
      <c r="S1229" s="1" t="s">
        <v>229</v>
      </c>
      <c r="T1229" s="1" t="s">
        <v>228</v>
      </c>
      <c r="U1229" s="1">
        <v>2</v>
      </c>
      <c r="V1229" s="1" t="s">
        <v>23</v>
      </c>
      <c r="W1229" s="1" t="s">
        <v>234</v>
      </c>
      <c r="Y1229" s="3">
        <v>45478</v>
      </c>
      <c r="Z1229" s="1">
        <v>2024</v>
      </c>
      <c r="AA1229" s="2">
        <v>32620.116300000002</v>
      </c>
      <c r="AB1229" s="2"/>
      <c r="AC1229" s="2">
        <v>16310.06</v>
      </c>
      <c r="AD1229" s="1">
        <v>3</v>
      </c>
      <c r="AE1229" s="1">
        <v>2</v>
      </c>
      <c r="AG1229" s="1" t="s">
        <v>21</v>
      </c>
      <c r="AI1229" s="2">
        <v>16310.06</v>
      </c>
    </row>
    <row r="1230" spans="1:35" s="1" customFormat="1" ht="15" customHeight="1" x14ac:dyDescent="0.2">
      <c r="A1230" s="1" t="s">
        <v>19</v>
      </c>
      <c r="B1230" s="5" t="s">
        <v>18</v>
      </c>
      <c r="C1230" s="1" t="s">
        <v>37</v>
      </c>
      <c r="D1230" s="1" t="s">
        <v>211</v>
      </c>
      <c r="E1230" s="1" t="s">
        <v>35</v>
      </c>
      <c r="F1230" s="1" t="s">
        <v>210</v>
      </c>
      <c r="G1230" s="1" t="s">
        <v>209</v>
      </c>
      <c r="H1230" s="1" t="s">
        <v>208</v>
      </c>
      <c r="I1230" s="1" t="s">
        <v>233</v>
      </c>
      <c r="J1230" s="1">
        <v>2023</v>
      </c>
      <c r="K1230" s="1" t="s">
        <v>232</v>
      </c>
      <c r="L1230" s="1" t="s">
        <v>231</v>
      </c>
      <c r="P1230" s="1" t="s">
        <v>230</v>
      </c>
      <c r="Q1230" s="1" t="s">
        <v>27</v>
      </c>
      <c r="R1230" s="1" t="s">
        <v>26</v>
      </c>
      <c r="S1230" s="1" t="s">
        <v>229</v>
      </c>
      <c r="T1230" s="1" t="s">
        <v>228</v>
      </c>
      <c r="U1230" s="1">
        <v>2</v>
      </c>
      <c r="V1230" s="1" t="s">
        <v>23</v>
      </c>
      <c r="W1230" s="1" t="s">
        <v>227</v>
      </c>
      <c r="Y1230" s="3">
        <v>45478</v>
      </c>
      <c r="Z1230" s="1">
        <v>2024</v>
      </c>
      <c r="AA1230" s="2">
        <v>386833.85</v>
      </c>
      <c r="AB1230" s="2"/>
      <c r="AC1230" s="2">
        <v>171708.46</v>
      </c>
      <c r="AD1230" s="1">
        <v>3</v>
      </c>
      <c r="AE1230" s="1">
        <v>1</v>
      </c>
      <c r="AG1230" s="1" t="s">
        <v>21</v>
      </c>
      <c r="AI1230" s="2">
        <v>171708.46</v>
      </c>
    </row>
    <row r="1231" spans="1:35" s="1" customFormat="1" ht="15" customHeight="1" x14ac:dyDescent="0.2">
      <c r="A1231" s="1" t="s">
        <v>19</v>
      </c>
      <c r="B1231" s="5" t="s">
        <v>18</v>
      </c>
      <c r="C1231" s="1" t="s">
        <v>37</v>
      </c>
      <c r="D1231" s="1" t="s">
        <v>211</v>
      </c>
      <c r="E1231" s="1" t="s">
        <v>35</v>
      </c>
      <c r="F1231" s="1" t="s">
        <v>210</v>
      </c>
      <c r="G1231" s="1" t="s">
        <v>209</v>
      </c>
      <c r="H1231" s="1" t="s">
        <v>130</v>
      </c>
      <c r="I1231" s="1" t="s">
        <v>226</v>
      </c>
      <c r="J1231" s="1">
        <v>2023</v>
      </c>
      <c r="K1231" s="1" t="s">
        <v>225</v>
      </c>
      <c r="L1231" s="1" t="s">
        <v>224</v>
      </c>
      <c r="P1231" s="1" t="s">
        <v>223</v>
      </c>
      <c r="Q1231" s="1" t="s">
        <v>27</v>
      </c>
      <c r="R1231" s="1" t="s">
        <v>26</v>
      </c>
      <c r="S1231" s="1" t="s">
        <v>91</v>
      </c>
      <c r="T1231" s="1" t="s">
        <v>90</v>
      </c>
      <c r="U1231" s="1">
        <v>1</v>
      </c>
      <c r="V1231" s="1" t="s">
        <v>23</v>
      </c>
      <c r="W1231" s="1" t="s">
        <v>222</v>
      </c>
      <c r="Y1231" s="3">
        <v>45478</v>
      </c>
      <c r="Z1231" s="1">
        <v>2024</v>
      </c>
      <c r="AA1231" s="2">
        <v>498500</v>
      </c>
      <c r="AB1231" s="2"/>
      <c r="AC1231" s="2">
        <v>104775</v>
      </c>
      <c r="AD1231" s="1">
        <v>2</v>
      </c>
      <c r="AG1231" s="1" t="s">
        <v>21</v>
      </c>
      <c r="AI1231" s="2">
        <v>104775</v>
      </c>
    </row>
    <row r="1232" spans="1:35" s="1" customFormat="1" ht="15" customHeight="1" x14ac:dyDescent="0.2">
      <c r="A1232" s="1" t="s">
        <v>19</v>
      </c>
      <c r="B1232" s="5" t="s">
        <v>18</v>
      </c>
      <c r="C1232" s="1" t="s">
        <v>37</v>
      </c>
      <c r="D1232" s="1" t="s">
        <v>211</v>
      </c>
      <c r="E1232" s="1" t="s">
        <v>35</v>
      </c>
      <c r="F1232" s="1" t="s">
        <v>210</v>
      </c>
      <c r="G1232" s="1" t="s">
        <v>209</v>
      </c>
      <c r="H1232" s="1" t="s">
        <v>130</v>
      </c>
      <c r="I1232" s="1" t="s">
        <v>221</v>
      </c>
      <c r="J1232" s="1">
        <v>2023</v>
      </c>
      <c r="K1232" s="1" t="s">
        <v>220</v>
      </c>
      <c r="L1232" s="1" t="s">
        <v>219</v>
      </c>
      <c r="P1232" s="1" t="s">
        <v>218</v>
      </c>
      <c r="Q1232" s="1" t="s">
        <v>27</v>
      </c>
      <c r="R1232" s="1" t="s">
        <v>26</v>
      </c>
      <c r="S1232" s="1" t="s">
        <v>91</v>
      </c>
      <c r="T1232" s="1" t="s">
        <v>90</v>
      </c>
      <c r="U1232" s="1">
        <v>1</v>
      </c>
      <c r="V1232" s="1" t="s">
        <v>23</v>
      </c>
      <c r="W1232" s="1" t="s">
        <v>217</v>
      </c>
      <c r="Y1232" s="3">
        <v>45478</v>
      </c>
      <c r="Z1232" s="1">
        <v>2024</v>
      </c>
      <c r="AA1232" s="2">
        <v>498600</v>
      </c>
      <c r="AB1232" s="2"/>
      <c r="AC1232" s="2">
        <v>104790</v>
      </c>
      <c r="AD1232" s="1">
        <v>2</v>
      </c>
      <c r="AG1232" s="1" t="s">
        <v>21</v>
      </c>
      <c r="AI1232" s="2">
        <v>104790</v>
      </c>
    </row>
    <row r="1233" spans="1:38" ht="15" customHeight="1" x14ac:dyDescent="0.2">
      <c r="A1233" s="1" t="s">
        <v>19</v>
      </c>
      <c r="B1233" s="5" t="s">
        <v>18</v>
      </c>
      <c r="C1233" s="1" t="s">
        <v>37</v>
      </c>
      <c r="D1233" s="1" t="s">
        <v>211</v>
      </c>
      <c r="E1233" s="1" t="s">
        <v>35</v>
      </c>
      <c r="F1233" s="1" t="s">
        <v>210</v>
      </c>
      <c r="G1233" s="1" t="s">
        <v>209</v>
      </c>
      <c r="H1233" s="1" t="s">
        <v>208</v>
      </c>
      <c r="I1233" s="1" t="s">
        <v>216</v>
      </c>
      <c r="J1233" s="1">
        <v>2023</v>
      </c>
      <c r="K1233" s="1" t="s">
        <v>215</v>
      </c>
      <c r="L1233" s="1" t="s">
        <v>214</v>
      </c>
      <c r="P1233" s="1" t="s">
        <v>213</v>
      </c>
      <c r="Q1233" s="1" t="s">
        <v>27</v>
      </c>
      <c r="R1233" s="1" t="s">
        <v>26</v>
      </c>
      <c r="S1233" s="1" t="s">
        <v>91</v>
      </c>
      <c r="T1233" s="1" t="s">
        <v>90</v>
      </c>
      <c r="U1233" s="1">
        <v>1</v>
      </c>
      <c r="V1233" s="1" t="s">
        <v>23</v>
      </c>
      <c r="W1233" s="1" t="s">
        <v>212</v>
      </c>
      <c r="Y1233" s="3">
        <v>45478</v>
      </c>
      <c r="Z1233" s="1">
        <v>2024</v>
      </c>
      <c r="AA1233" s="2">
        <v>480876.24</v>
      </c>
      <c r="AB1233" s="2"/>
      <c r="AC1233" s="2">
        <v>130000</v>
      </c>
      <c r="AD1233" s="1">
        <v>1</v>
      </c>
      <c r="AE1233" s="1">
        <v>1</v>
      </c>
      <c r="AG1233" s="1" t="s">
        <v>21</v>
      </c>
      <c r="AI1233" s="2">
        <v>130000</v>
      </c>
      <c r="AK1233" s="1"/>
    </row>
    <row r="1234" spans="1:38" ht="15" customHeight="1" x14ac:dyDescent="0.25">
      <c r="A1234" s="1" t="s">
        <v>19</v>
      </c>
      <c r="B1234" s="5" t="s">
        <v>18</v>
      </c>
      <c r="C1234" s="1" t="s">
        <v>37</v>
      </c>
      <c r="D1234" s="1" t="s">
        <v>211</v>
      </c>
      <c r="E1234" s="1" t="s">
        <v>35</v>
      </c>
      <c r="F1234" s="1" t="s">
        <v>210</v>
      </c>
      <c r="G1234" s="1" t="s">
        <v>209</v>
      </c>
      <c r="H1234" s="1" t="s">
        <v>208</v>
      </c>
      <c r="I1234" s="1" t="s">
        <v>207</v>
      </c>
      <c r="J1234" s="1">
        <v>2023</v>
      </c>
      <c r="K1234" s="1" t="s">
        <v>206</v>
      </c>
      <c r="L1234" s="1" t="s">
        <v>205</v>
      </c>
      <c r="P1234" s="1" t="s">
        <v>204</v>
      </c>
      <c r="Q1234" s="1" t="s">
        <v>27</v>
      </c>
      <c r="R1234" s="1" t="s">
        <v>26</v>
      </c>
      <c r="S1234" s="10" t="s">
        <v>68</v>
      </c>
      <c r="T1234" s="1" t="s">
        <v>67</v>
      </c>
      <c r="U1234" s="1">
        <v>1</v>
      </c>
      <c r="V1234" s="1" t="s">
        <v>23</v>
      </c>
      <c r="W1234" s="1" t="s">
        <v>203</v>
      </c>
      <c r="Y1234" s="3">
        <v>45478</v>
      </c>
      <c r="Z1234" s="1">
        <v>2024</v>
      </c>
      <c r="AA1234" s="2">
        <v>348238.97</v>
      </c>
      <c r="AB1234" s="2"/>
      <c r="AC1234" s="2">
        <v>117059.74</v>
      </c>
      <c r="AD1234" s="1">
        <v>1</v>
      </c>
      <c r="AE1234" s="1">
        <v>1</v>
      </c>
      <c r="AG1234" s="1" t="s">
        <v>21</v>
      </c>
      <c r="AI1234" s="2">
        <v>117059.74</v>
      </c>
      <c r="AK1234" s="1"/>
    </row>
    <row r="1235" spans="1:38" ht="15" customHeight="1" x14ac:dyDescent="0.25">
      <c r="A1235" s="1" t="s">
        <v>19</v>
      </c>
      <c r="B1235" s="14" t="s">
        <v>18</v>
      </c>
      <c r="C1235" s="12" t="s">
        <v>37</v>
      </c>
      <c r="D1235" s="1" t="s">
        <v>63</v>
      </c>
      <c r="E1235" s="1" t="s">
        <v>35</v>
      </c>
      <c r="G1235" s="1" t="s">
        <v>202</v>
      </c>
      <c r="H1235" s="1" t="s">
        <v>32</v>
      </c>
      <c r="I1235" s="12" t="s">
        <v>201</v>
      </c>
      <c r="J1235" s="1">
        <v>2024</v>
      </c>
      <c r="K1235" s="1" t="s">
        <v>200</v>
      </c>
      <c r="L1235" s="1" t="s">
        <v>199</v>
      </c>
      <c r="M1235" s="1" t="s">
        <v>0</v>
      </c>
      <c r="P1235" s="1" t="s">
        <v>83</v>
      </c>
      <c r="Q1235" s="1" t="s">
        <v>27</v>
      </c>
      <c r="R1235" s="1" t="s">
        <v>26</v>
      </c>
      <c r="S1235" s="12" t="s">
        <v>25</v>
      </c>
      <c r="T1235" s="12" t="s">
        <v>24</v>
      </c>
      <c r="U1235" s="1">
        <v>1</v>
      </c>
      <c r="V1235" s="1" t="s">
        <v>23</v>
      </c>
      <c r="W1235" s="12" t="s">
        <v>199</v>
      </c>
      <c r="X1235" s="12"/>
      <c r="Y1235" s="13">
        <v>45799</v>
      </c>
      <c r="Z1235" s="12">
        <v>2025</v>
      </c>
      <c r="AA1235" s="11">
        <v>801145.75</v>
      </c>
      <c r="AB1235" s="11"/>
      <c r="AC1235" s="11">
        <v>801145.75</v>
      </c>
      <c r="AD1235" s="2"/>
      <c r="AG1235" s="1" t="s">
        <v>21</v>
      </c>
      <c r="AI1235" s="11">
        <v>801145.75</v>
      </c>
      <c r="AK1235" s="1"/>
    </row>
    <row r="1236" spans="1:38" ht="15" customHeight="1" x14ac:dyDescent="0.2">
      <c r="A1236" s="1" t="s">
        <v>19</v>
      </c>
      <c r="B1236" s="5" t="s">
        <v>109</v>
      </c>
      <c r="C1236" s="1" t="s">
        <v>37</v>
      </c>
      <c r="D1236" s="1" t="s">
        <v>132</v>
      </c>
      <c r="E1236" s="1" t="s">
        <v>35</v>
      </c>
      <c r="G1236" s="1" t="s">
        <v>131</v>
      </c>
      <c r="H1236" s="1" t="s">
        <v>130</v>
      </c>
      <c r="I1236" s="1" t="s">
        <v>198</v>
      </c>
      <c r="J1236" s="1">
        <v>2018</v>
      </c>
      <c r="P1236" s="1" t="s">
        <v>128</v>
      </c>
      <c r="Q1236" s="1" t="s">
        <v>27</v>
      </c>
      <c r="R1236" s="1" t="s">
        <v>26</v>
      </c>
      <c r="S1236" s="1" t="s">
        <v>40</v>
      </c>
      <c r="T1236" s="1" t="s">
        <v>39</v>
      </c>
      <c r="U1236" s="1">
        <v>1</v>
      </c>
      <c r="V1236" s="1" t="s">
        <v>23</v>
      </c>
      <c r="Y1236" s="3">
        <v>43463</v>
      </c>
      <c r="Z1236" s="1">
        <v>2018</v>
      </c>
      <c r="AA1236" s="2"/>
      <c r="AB1236" s="2"/>
      <c r="AC1236" s="2">
        <v>455133.5</v>
      </c>
      <c r="AG1236" s="1" t="s">
        <v>21</v>
      </c>
      <c r="AI1236" s="2">
        <v>455133.5</v>
      </c>
      <c r="AK1236" s="1"/>
      <c r="AL1236" s="1" t="s">
        <v>127</v>
      </c>
    </row>
    <row r="1237" spans="1:38" ht="15" customHeight="1" x14ac:dyDescent="0.2">
      <c r="A1237" s="1" t="s">
        <v>19</v>
      </c>
      <c r="B1237" s="5" t="s">
        <v>109</v>
      </c>
      <c r="C1237" s="1" t="s">
        <v>37</v>
      </c>
      <c r="D1237" s="1" t="s">
        <v>132</v>
      </c>
      <c r="E1237" s="1" t="s">
        <v>35</v>
      </c>
      <c r="G1237" s="1" t="s">
        <v>131</v>
      </c>
      <c r="H1237" s="1" t="s">
        <v>130</v>
      </c>
      <c r="I1237" s="1" t="s">
        <v>197</v>
      </c>
      <c r="J1237" s="1">
        <v>2019</v>
      </c>
      <c r="P1237" s="1" t="s">
        <v>128</v>
      </c>
      <c r="Q1237" s="1" t="s">
        <v>27</v>
      </c>
      <c r="R1237" s="1" t="s">
        <v>26</v>
      </c>
      <c r="S1237" s="1" t="s">
        <v>40</v>
      </c>
      <c r="T1237" s="1" t="s">
        <v>39</v>
      </c>
      <c r="U1237" s="1">
        <v>1</v>
      </c>
      <c r="V1237" s="1" t="s">
        <v>23</v>
      </c>
      <c r="Y1237" s="3">
        <v>43466</v>
      </c>
      <c r="Z1237" s="1">
        <v>2019</v>
      </c>
      <c r="AA1237" s="2"/>
      <c r="AB1237" s="2"/>
      <c r="AC1237" s="2">
        <v>618750.47000000009</v>
      </c>
      <c r="AG1237" s="1" t="s">
        <v>21</v>
      </c>
      <c r="AI1237" s="2">
        <v>618750.47000000009</v>
      </c>
      <c r="AK1237" s="1"/>
      <c r="AL1237" s="1" t="s">
        <v>127</v>
      </c>
    </row>
    <row r="1238" spans="1:38" ht="15" customHeight="1" x14ac:dyDescent="0.2">
      <c r="A1238" s="1" t="s">
        <v>19</v>
      </c>
      <c r="B1238" s="5" t="s">
        <v>109</v>
      </c>
      <c r="C1238" s="1" t="s">
        <v>37</v>
      </c>
      <c r="D1238" s="1" t="s">
        <v>132</v>
      </c>
      <c r="E1238" s="1" t="s">
        <v>35</v>
      </c>
      <c r="G1238" s="1" t="s">
        <v>131</v>
      </c>
      <c r="H1238" s="1" t="s">
        <v>130</v>
      </c>
      <c r="I1238" s="1" t="s">
        <v>196</v>
      </c>
      <c r="J1238" s="1">
        <v>2018</v>
      </c>
      <c r="P1238" s="1" t="s">
        <v>136</v>
      </c>
      <c r="Q1238" s="1" t="s">
        <v>27</v>
      </c>
      <c r="R1238" s="1" t="s">
        <v>26</v>
      </c>
      <c r="S1238" s="1" t="s">
        <v>91</v>
      </c>
      <c r="T1238" s="1" t="s">
        <v>90</v>
      </c>
      <c r="U1238" s="1">
        <v>1</v>
      </c>
      <c r="V1238" s="1" t="s">
        <v>23</v>
      </c>
      <c r="Y1238" s="3">
        <v>43461</v>
      </c>
      <c r="Z1238" s="1">
        <v>2018</v>
      </c>
      <c r="AA1238" s="2"/>
      <c r="AB1238" s="2"/>
      <c r="AC1238" s="2">
        <v>622563.09000000008</v>
      </c>
      <c r="AG1238" s="1" t="s">
        <v>21</v>
      </c>
      <c r="AI1238" s="2">
        <v>622563.09000000008</v>
      </c>
      <c r="AK1238" s="1"/>
      <c r="AL1238" s="1" t="s">
        <v>127</v>
      </c>
    </row>
    <row r="1239" spans="1:38" ht="15" customHeight="1" x14ac:dyDescent="0.2">
      <c r="A1239" s="1" t="s">
        <v>19</v>
      </c>
      <c r="B1239" s="5" t="s">
        <v>109</v>
      </c>
      <c r="C1239" s="1" t="s">
        <v>37</v>
      </c>
      <c r="D1239" s="1" t="s">
        <v>132</v>
      </c>
      <c r="E1239" s="1" t="s">
        <v>35</v>
      </c>
      <c r="G1239" s="1" t="s">
        <v>131</v>
      </c>
      <c r="H1239" s="1" t="s">
        <v>130</v>
      </c>
      <c r="I1239" s="1" t="s">
        <v>195</v>
      </c>
      <c r="J1239" s="1">
        <v>2018</v>
      </c>
      <c r="P1239" s="1" t="s">
        <v>128</v>
      </c>
      <c r="Q1239" s="1" t="s">
        <v>27</v>
      </c>
      <c r="R1239" s="1" t="s">
        <v>26</v>
      </c>
      <c r="S1239" s="1" t="s">
        <v>40</v>
      </c>
      <c r="T1239" s="1" t="s">
        <v>39</v>
      </c>
      <c r="U1239" s="1">
        <v>1</v>
      </c>
      <c r="V1239" s="1" t="s">
        <v>23</v>
      </c>
      <c r="Y1239" s="3">
        <v>43463</v>
      </c>
      <c r="Z1239" s="1">
        <v>2018</v>
      </c>
      <c r="AA1239" s="2"/>
      <c r="AB1239" s="2"/>
      <c r="AC1239" s="2">
        <v>608546.34</v>
      </c>
      <c r="AG1239" s="1" t="s">
        <v>21</v>
      </c>
      <c r="AI1239" s="2">
        <v>608546.34</v>
      </c>
      <c r="AK1239" s="1"/>
      <c r="AL1239" s="1" t="s">
        <v>127</v>
      </c>
    </row>
    <row r="1240" spans="1:38" ht="15" customHeight="1" x14ac:dyDescent="0.2">
      <c r="A1240" s="1" t="s">
        <v>19</v>
      </c>
      <c r="B1240" s="5" t="s">
        <v>109</v>
      </c>
      <c r="C1240" s="1" t="s">
        <v>37</v>
      </c>
      <c r="D1240" s="1" t="s">
        <v>132</v>
      </c>
      <c r="E1240" s="1" t="s">
        <v>35</v>
      </c>
      <c r="G1240" s="1" t="s">
        <v>131</v>
      </c>
      <c r="H1240" s="1" t="s">
        <v>130</v>
      </c>
      <c r="I1240" s="1" t="s">
        <v>194</v>
      </c>
      <c r="J1240" s="1">
        <v>2018</v>
      </c>
      <c r="P1240" s="1" t="s">
        <v>128</v>
      </c>
      <c r="Q1240" s="1" t="s">
        <v>27</v>
      </c>
      <c r="R1240" s="1" t="s">
        <v>26</v>
      </c>
      <c r="S1240" s="1" t="s">
        <v>40</v>
      </c>
      <c r="T1240" s="1" t="s">
        <v>39</v>
      </c>
      <c r="U1240" s="1">
        <v>1</v>
      </c>
      <c r="V1240" s="1" t="s">
        <v>23</v>
      </c>
      <c r="Y1240" s="3">
        <v>43463</v>
      </c>
      <c r="Z1240" s="1">
        <v>2018</v>
      </c>
      <c r="AA1240" s="2"/>
      <c r="AB1240" s="2"/>
      <c r="AC1240" s="2">
        <v>458885.94999999995</v>
      </c>
      <c r="AG1240" s="1" t="s">
        <v>21</v>
      </c>
      <c r="AI1240" s="2">
        <v>458885.94999999995</v>
      </c>
      <c r="AK1240" s="1"/>
      <c r="AL1240" s="1" t="s">
        <v>127</v>
      </c>
    </row>
    <row r="1241" spans="1:38" ht="15" customHeight="1" x14ac:dyDescent="0.2">
      <c r="A1241" s="1" t="s">
        <v>19</v>
      </c>
      <c r="B1241" s="5" t="s">
        <v>109</v>
      </c>
      <c r="C1241" s="1" t="s">
        <v>37</v>
      </c>
      <c r="D1241" s="1" t="s">
        <v>132</v>
      </c>
      <c r="E1241" s="1" t="s">
        <v>35</v>
      </c>
      <c r="G1241" s="1" t="s">
        <v>131</v>
      </c>
      <c r="H1241" s="1" t="s">
        <v>130</v>
      </c>
      <c r="I1241" s="1" t="s">
        <v>193</v>
      </c>
      <c r="J1241" s="1">
        <v>2018</v>
      </c>
      <c r="P1241" s="1" t="s">
        <v>128</v>
      </c>
      <c r="Q1241" s="1" t="s">
        <v>27</v>
      </c>
      <c r="R1241" s="1" t="s">
        <v>26</v>
      </c>
      <c r="S1241" s="1" t="s">
        <v>40</v>
      </c>
      <c r="T1241" s="1" t="s">
        <v>39</v>
      </c>
      <c r="U1241" s="1">
        <v>1</v>
      </c>
      <c r="V1241" s="1" t="s">
        <v>23</v>
      </c>
      <c r="Y1241" s="3">
        <v>43463</v>
      </c>
      <c r="Z1241" s="1">
        <v>2018</v>
      </c>
      <c r="AA1241" s="2"/>
      <c r="AB1241" s="2"/>
      <c r="AC1241" s="2">
        <v>407108.58</v>
      </c>
      <c r="AG1241" s="1" t="s">
        <v>21</v>
      </c>
      <c r="AI1241" s="2">
        <v>407108.58</v>
      </c>
      <c r="AK1241" s="1"/>
      <c r="AL1241" s="1" t="s">
        <v>127</v>
      </c>
    </row>
    <row r="1242" spans="1:38" ht="15" customHeight="1" x14ac:dyDescent="0.2">
      <c r="A1242" s="1" t="s">
        <v>19</v>
      </c>
      <c r="B1242" s="5" t="s">
        <v>109</v>
      </c>
      <c r="C1242" s="1" t="s">
        <v>37</v>
      </c>
      <c r="D1242" s="1" t="s">
        <v>132</v>
      </c>
      <c r="E1242" s="1" t="s">
        <v>35</v>
      </c>
      <c r="G1242" s="1" t="s">
        <v>131</v>
      </c>
      <c r="H1242" s="1" t="s">
        <v>130</v>
      </c>
      <c r="I1242" s="1" t="s">
        <v>192</v>
      </c>
      <c r="J1242" s="1">
        <v>2018</v>
      </c>
      <c r="P1242" s="1" t="s">
        <v>128</v>
      </c>
      <c r="Q1242" s="1" t="s">
        <v>27</v>
      </c>
      <c r="R1242" s="1" t="s">
        <v>26</v>
      </c>
      <c r="S1242" s="1" t="s">
        <v>40</v>
      </c>
      <c r="T1242" s="1" t="s">
        <v>39</v>
      </c>
      <c r="U1242" s="1">
        <v>1</v>
      </c>
      <c r="V1242" s="1" t="s">
        <v>23</v>
      </c>
      <c r="Y1242" s="3">
        <v>43463</v>
      </c>
      <c r="Z1242" s="1">
        <v>2018</v>
      </c>
      <c r="AA1242" s="2"/>
      <c r="AB1242" s="2"/>
      <c r="AC1242" s="2">
        <v>675480.75</v>
      </c>
      <c r="AG1242" s="1" t="s">
        <v>21</v>
      </c>
      <c r="AI1242" s="2">
        <v>675480.75</v>
      </c>
      <c r="AK1242" s="1"/>
      <c r="AL1242" s="1" t="s">
        <v>127</v>
      </c>
    </row>
    <row r="1243" spans="1:38" ht="15" customHeight="1" x14ac:dyDescent="0.2">
      <c r="A1243" s="1" t="s">
        <v>19</v>
      </c>
      <c r="B1243" s="5" t="s">
        <v>109</v>
      </c>
      <c r="C1243" s="1" t="s">
        <v>37</v>
      </c>
      <c r="D1243" s="1" t="s">
        <v>132</v>
      </c>
      <c r="E1243" s="1" t="s">
        <v>35</v>
      </c>
      <c r="G1243" s="1" t="s">
        <v>131</v>
      </c>
      <c r="H1243" s="1" t="s">
        <v>130</v>
      </c>
      <c r="I1243" s="1" t="s">
        <v>191</v>
      </c>
      <c r="J1243" s="1">
        <v>2018</v>
      </c>
      <c r="P1243" s="1" t="s">
        <v>128</v>
      </c>
      <c r="Q1243" s="1" t="s">
        <v>27</v>
      </c>
      <c r="R1243" s="1" t="s">
        <v>26</v>
      </c>
      <c r="S1243" s="1" t="s">
        <v>40</v>
      </c>
      <c r="T1243" s="1" t="s">
        <v>39</v>
      </c>
      <c r="U1243" s="1">
        <v>1</v>
      </c>
      <c r="V1243" s="1" t="s">
        <v>23</v>
      </c>
      <c r="Y1243" s="3">
        <v>43463</v>
      </c>
      <c r="Z1243" s="1">
        <v>2018</v>
      </c>
      <c r="AA1243" s="2"/>
      <c r="AB1243" s="2"/>
      <c r="AC1243" s="2">
        <v>605254.82999999996</v>
      </c>
      <c r="AG1243" s="1" t="s">
        <v>21</v>
      </c>
      <c r="AI1243" s="2">
        <v>605254.82999999996</v>
      </c>
      <c r="AK1243" s="1"/>
      <c r="AL1243" s="1" t="s">
        <v>127</v>
      </c>
    </row>
    <row r="1244" spans="1:38" ht="15" customHeight="1" x14ac:dyDescent="0.2">
      <c r="A1244" s="1" t="s">
        <v>19</v>
      </c>
      <c r="B1244" s="5" t="s">
        <v>109</v>
      </c>
      <c r="C1244" s="1" t="s">
        <v>37</v>
      </c>
      <c r="D1244" s="1" t="s">
        <v>132</v>
      </c>
      <c r="E1244" s="1" t="s">
        <v>35</v>
      </c>
      <c r="G1244" s="1" t="s">
        <v>131</v>
      </c>
      <c r="H1244" s="1" t="s">
        <v>130</v>
      </c>
      <c r="I1244" s="1" t="s">
        <v>190</v>
      </c>
      <c r="J1244" s="1">
        <v>2018</v>
      </c>
      <c r="P1244" s="1" t="s">
        <v>128</v>
      </c>
      <c r="Q1244" s="1" t="s">
        <v>27</v>
      </c>
      <c r="R1244" s="1" t="s">
        <v>26</v>
      </c>
      <c r="S1244" s="1" t="s">
        <v>40</v>
      </c>
      <c r="T1244" s="1" t="s">
        <v>39</v>
      </c>
      <c r="U1244" s="1">
        <v>1</v>
      </c>
      <c r="V1244" s="1" t="s">
        <v>23</v>
      </c>
      <c r="Y1244" s="3">
        <v>43463</v>
      </c>
      <c r="Z1244" s="1">
        <v>2018</v>
      </c>
      <c r="AA1244" s="2"/>
      <c r="AB1244" s="2"/>
      <c r="AC1244" s="2">
        <v>625553.0199999999</v>
      </c>
      <c r="AG1244" s="1" t="s">
        <v>21</v>
      </c>
      <c r="AI1244" s="2">
        <v>625553.0199999999</v>
      </c>
      <c r="AK1244" s="1"/>
      <c r="AL1244" s="1" t="s">
        <v>127</v>
      </c>
    </row>
    <row r="1245" spans="1:38" ht="15" customHeight="1" x14ac:dyDescent="0.2">
      <c r="A1245" s="1" t="s">
        <v>19</v>
      </c>
      <c r="B1245" s="5" t="s">
        <v>109</v>
      </c>
      <c r="C1245" s="1" t="s">
        <v>37</v>
      </c>
      <c r="D1245" s="1" t="s">
        <v>132</v>
      </c>
      <c r="E1245" s="1" t="s">
        <v>35</v>
      </c>
      <c r="G1245" s="1" t="s">
        <v>131</v>
      </c>
      <c r="H1245" s="1" t="s">
        <v>130</v>
      </c>
      <c r="I1245" s="1" t="s">
        <v>189</v>
      </c>
      <c r="J1245" s="1">
        <v>2018</v>
      </c>
      <c r="P1245" s="1" t="s">
        <v>128</v>
      </c>
      <c r="Q1245" s="1" t="s">
        <v>27</v>
      </c>
      <c r="R1245" s="1" t="s">
        <v>26</v>
      </c>
      <c r="S1245" s="1" t="s">
        <v>40</v>
      </c>
      <c r="T1245" s="1" t="s">
        <v>39</v>
      </c>
      <c r="U1245" s="1">
        <v>1</v>
      </c>
      <c r="V1245" s="1" t="s">
        <v>23</v>
      </c>
      <c r="Y1245" s="3">
        <v>43463</v>
      </c>
      <c r="Z1245" s="1">
        <v>2018</v>
      </c>
      <c r="AA1245" s="2"/>
      <c r="AB1245" s="2"/>
      <c r="AC1245" s="2">
        <v>397689.45</v>
      </c>
      <c r="AG1245" s="1" t="s">
        <v>21</v>
      </c>
      <c r="AI1245" s="2">
        <v>397689.45</v>
      </c>
      <c r="AK1245" s="1"/>
      <c r="AL1245" s="1" t="s">
        <v>127</v>
      </c>
    </row>
    <row r="1246" spans="1:38" ht="15" customHeight="1" x14ac:dyDescent="0.2">
      <c r="A1246" s="1" t="s">
        <v>19</v>
      </c>
      <c r="B1246" s="5" t="s">
        <v>109</v>
      </c>
      <c r="C1246" s="1" t="s">
        <v>37</v>
      </c>
      <c r="D1246" s="1" t="s">
        <v>132</v>
      </c>
      <c r="E1246" s="1" t="s">
        <v>35</v>
      </c>
      <c r="G1246" s="1" t="s">
        <v>131</v>
      </c>
      <c r="H1246" s="1" t="s">
        <v>130</v>
      </c>
      <c r="I1246" s="1" t="s">
        <v>188</v>
      </c>
      <c r="J1246" s="1">
        <v>2018</v>
      </c>
      <c r="P1246" s="1" t="s">
        <v>128</v>
      </c>
      <c r="Q1246" s="1" t="s">
        <v>27</v>
      </c>
      <c r="R1246" s="1" t="s">
        <v>26</v>
      </c>
      <c r="S1246" s="1" t="s">
        <v>40</v>
      </c>
      <c r="T1246" s="1" t="s">
        <v>39</v>
      </c>
      <c r="U1246" s="1">
        <v>1</v>
      </c>
      <c r="V1246" s="1" t="s">
        <v>23</v>
      </c>
      <c r="Y1246" s="3">
        <v>43463</v>
      </c>
      <c r="Z1246" s="1">
        <v>2018</v>
      </c>
      <c r="AA1246" s="2"/>
      <c r="AB1246" s="2"/>
      <c r="AC1246" s="2">
        <v>482522.43000000005</v>
      </c>
      <c r="AG1246" s="1" t="s">
        <v>21</v>
      </c>
      <c r="AI1246" s="2">
        <v>482522.43000000005</v>
      </c>
      <c r="AK1246" s="1"/>
      <c r="AL1246" s="1" t="s">
        <v>127</v>
      </c>
    </row>
    <row r="1247" spans="1:38" ht="15" customHeight="1" x14ac:dyDescent="0.2">
      <c r="A1247" s="1" t="s">
        <v>19</v>
      </c>
      <c r="B1247" s="5" t="s">
        <v>109</v>
      </c>
      <c r="C1247" s="1" t="s">
        <v>37</v>
      </c>
      <c r="D1247" s="1" t="s">
        <v>132</v>
      </c>
      <c r="E1247" s="1" t="s">
        <v>35</v>
      </c>
      <c r="G1247" s="1" t="s">
        <v>131</v>
      </c>
      <c r="H1247" s="1" t="s">
        <v>130</v>
      </c>
      <c r="I1247" s="1" t="s">
        <v>187</v>
      </c>
      <c r="J1247" s="1">
        <v>2018</v>
      </c>
      <c r="P1247" s="1" t="s">
        <v>128</v>
      </c>
      <c r="Q1247" s="1" t="s">
        <v>27</v>
      </c>
      <c r="R1247" s="1" t="s">
        <v>26</v>
      </c>
      <c r="S1247" s="1" t="s">
        <v>40</v>
      </c>
      <c r="T1247" s="1" t="s">
        <v>39</v>
      </c>
      <c r="U1247" s="1">
        <v>1</v>
      </c>
      <c r="V1247" s="1" t="s">
        <v>23</v>
      </c>
      <c r="Y1247" s="3">
        <v>43463</v>
      </c>
      <c r="Z1247" s="1">
        <v>2018</v>
      </c>
      <c r="AA1247" s="2"/>
      <c r="AB1247" s="2"/>
      <c r="AC1247" s="2">
        <v>411922.26</v>
      </c>
      <c r="AG1247" s="1" t="s">
        <v>21</v>
      </c>
      <c r="AI1247" s="2">
        <v>411922.26</v>
      </c>
      <c r="AK1247" s="1"/>
      <c r="AL1247" s="1" t="s">
        <v>127</v>
      </c>
    </row>
    <row r="1248" spans="1:38" ht="15" customHeight="1" x14ac:dyDescent="0.2">
      <c r="A1248" s="1" t="s">
        <v>19</v>
      </c>
      <c r="B1248" s="5" t="s">
        <v>109</v>
      </c>
      <c r="C1248" s="1" t="s">
        <v>37</v>
      </c>
      <c r="D1248" s="1" t="s">
        <v>132</v>
      </c>
      <c r="E1248" s="1" t="s">
        <v>35</v>
      </c>
      <c r="G1248" s="1" t="s">
        <v>131</v>
      </c>
      <c r="H1248" s="1" t="s">
        <v>130</v>
      </c>
      <c r="I1248" s="1" t="s">
        <v>186</v>
      </c>
      <c r="J1248" s="1">
        <v>2018</v>
      </c>
      <c r="P1248" s="1" t="s">
        <v>128</v>
      </c>
      <c r="Q1248" s="1" t="s">
        <v>27</v>
      </c>
      <c r="R1248" s="1" t="s">
        <v>26</v>
      </c>
      <c r="S1248" s="1" t="s">
        <v>40</v>
      </c>
      <c r="T1248" s="1" t="s">
        <v>39</v>
      </c>
      <c r="U1248" s="1">
        <v>1</v>
      </c>
      <c r="V1248" s="1" t="s">
        <v>23</v>
      </c>
      <c r="Y1248" s="3">
        <v>43463</v>
      </c>
      <c r="Z1248" s="1">
        <v>2018</v>
      </c>
      <c r="AA1248" s="2"/>
      <c r="AB1248" s="2"/>
      <c r="AC1248" s="2">
        <v>563400.66999999993</v>
      </c>
      <c r="AG1248" s="1" t="s">
        <v>21</v>
      </c>
      <c r="AI1248" s="2">
        <v>563400.66999999993</v>
      </c>
      <c r="AK1248" s="1"/>
      <c r="AL1248" s="1" t="s">
        <v>127</v>
      </c>
    </row>
    <row r="1249" spans="1:38" ht="15" customHeight="1" x14ac:dyDescent="0.2">
      <c r="A1249" s="1" t="s">
        <v>19</v>
      </c>
      <c r="B1249" s="5" t="s">
        <v>109</v>
      </c>
      <c r="C1249" s="1" t="s">
        <v>37</v>
      </c>
      <c r="D1249" s="1" t="s">
        <v>132</v>
      </c>
      <c r="E1249" s="1" t="s">
        <v>35</v>
      </c>
      <c r="G1249" s="1" t="s">
        <v>131</v>
      </c>
      <c r="H1249" s="1" t="s">
        <v>130</v>
      </c>
      <c r="I1249" s="1" t="s">
        <v>185</v>
      </c>
      <c r="J1249" s="1">
        <v>2018</v>
      </c>
      <c r="P1249" s="1" t="s">
        <v>128</v>
      </c>
      <c r="Q1249" s="1" t="s">
        <v>27</v>
      </c>
      <c r="R1249" s="1" t="s">
        <v>26</v>
      </c>
      <c r="S1249" s="1" t="s">
        <v>40</v>
      </c>
      <c r="T1249" s="1" t="s">
        <v>39</v>
      </c>
      <c r="U1249" s="1">
        <v>1</v>
      </c>
      <c r="V1249" s="1" t="s">
        <v>23</v>
      </c>
      <c r="Y1249" s="3">
        <v>43463</v>
      </c>
      <c r="Z1249" s="1">
        <v>2018</v>
      </c>
      <c r="AA1249" s="2"/>
      <c r="AB1249" s="2"/>
      <c r="AC1249" s="2">
        <v>614678.30999999994</v>
      </c>
      <c r="AG1249" s="1" t="s">
        <v>21</v>
      </c>
      <c r="AI1249" s="2">
        <v>614678.30999999994</v>
      </c>
      <c r="AK1249" s="1"/>
      <c r="AL1249" s="1" t="s">
        <v>127</v>
      </c>
    </row>
    <row r="1250" spans="1:38" ht="15" customHeight="1" x14ac:dyDescent="0.2">
      <c r="A1250" s="1" t="s">
        <v>19</v>
      </c>
      <c r="B1250" s="5" t="s">
        <v>109</v>
      </c>
      <c r="C1250" s="1" t="s">
        <v>37</v>
      </c>
      <c r="D1250" s="1" t="s">
        <v>132</v>
      </c>
      <c r="E1250" s="1" t="s">
        <v>35</v>
      </c>
      <c r="G1250" s="1" t="s">
        <v>131</v>
      </c>
      <c r="H1250" s="1" t="s">
        <v>130</v>
      </c>
      <c r="I1250" s="1" t="s">
        <v>184</v>
      </c>
      <c r="J1250" s="1">
        <v>2018</v>
      </c>
      <c r="P1250" s="1" t="s">
        <v>136</v>
      </c>
      <c r="Q1250" s="1" t="s">
        <v>27</v>
      </c>
      <c r="R1250" s="1" t="s">
        <v>26</v>
      </c>
      <c r="S1250" s="1" t="s">
        <v>91</v>
      </c>
      <c r="T1250" s="1" t="s">
        <v>90</v>
      </c>
      <c r="U1250" s="1">
        <v>1</v>
      </c>
      <c r="V1250" s="1" t="s">
        <v>23</v>
      </c>
      <c r="Y1250" s="3">
        <v>43461</v>
      </c>
      <c r="Z1250" s="1">
        <v>2018</v>
      </c>
      <c r="AA1250" s="2"/>
      <c r="AB1250" s="2"/>
      <c r="AC1250" s="2">
        <v>445381.35000000003</v>
      </c>
      <c r="AG1250" s="1" t="s">
        <v>21</v>
      </c>
      <c r="AI1250" s="2">
        <v>445381.35000000003</v>
      </c>
      <c r="AK1250" s="1"/>
      <c r="AL1250" s="1" t="s">
        <v>127</v>
      </c>
    </row>
    <row r="1251" spans="1:38" ht="15" customHeight="1" x14ac:dyDescent="0.2">
      <c r="A1251" s="1" t="s">
        <v>19</v>
      </c>
      <c r="B1251" s="5" t="s">
        <v>109</v>
      </c>
      <c r="C1251" s="1" t="s">
        <v>37</v>
      </c>
      <c r="D1251" s="1" t="s">
        <v>132</v>
      </c>
      <c r="E1251" s="1" t="s">
        <v>35</v>
      </c>
      <c r="G1251" s="1" t="s">
        <v>135</v>
      </c>
      <c r="H1251" s="1" t="s">
        <v>130</v>
      </c>
      <c r="I1251" s="1" t="s">
        <v>183</v>
      </c>
      <c r="J1251" s="1">
        <v>2020</v>
      </c>
      <c r="P1251" s="1" t="s">
        <v>128</v>
      </c>
      <c r="Q1251" s="1" t="s">
        <v>27</v>
      </c>
      <c r="R1251" s="1" t="s">
        <v>26</v>
      </c>
      <c r="S1251" s="1" t="s">
        <v>40</v>
      </c>
      <c r="T1251" s="1" t="s">
        <v>39</v>
      </c>
      <c r="U1251" s="1">
        <v>1</v>
      </c>
      <c r="V1251" s="1" t="s">
        <v>23</v>
      </c>
      <c r="Y1251" s="3">
        <v>44005</v>
      </c>
      <c r="Z1251" s="1">
        <v>2020</v>
      </c>
      <c r="AA1251" s="2"/>
      <c r="AB1251" s="2"/>
      <c r="AC1251" s="2">
        <v>19956.560000000001</v>
      </c>
      <c r="AG1251" s="1" t="s">
        <v>21</v>
      </c>
      <c r="AI1251" s="2">
        <v>19956.560000000001</v>
      </c>
      <c r="AK1251" s="1"/>
    </row>
    <row r="1252" spans="1:38" ht="15" customHeight="1" x14ac:dyDescent="0.2">
      <c r="A1252" s="1" t="s">
        <v>19</v>
      </c>
      <c r="B1252" s="5" t="s">
        <v>109</v>
      </c>
      <c r="C1252" s="1" t="s">
        <v>37</v>
      </c>
      <c r="D1252" s="1" t="s">
        <v>132</v>
      </c>
      <c r="E1252" s="1" t="s">
        <v>35</v>
      </c>
      <c r="G1252" s="1" t="s">
        <v>131</v>
      </c>
      <c r="H1252" s="1" t="s">
        <v>130</v>
      </c>
      <c r="I1252" s="1" t="s">
        <v>182</v>
      </c>
      <c r="J1252" s="1">
        <v>2018</v>
      </c>
      <c r="P1252" s="1" t="s">
        <v>128</v>
      </c>
      <c r="Q1252" s="1" t="s">
        <v>27</v>
      </c>
      <c r="R1252" s="1" t="s">
        <v>26</v>
      </c>
      <c r="S1252" s="1" t="s">
        <v>40</v>
      </c>
      <c r="T1252" s="1" t="s">
        <v>39</v>
      </c>
      <c r="U1252" s="1">
        <v>1</v>
      </c>
      <c r="V1252" s="1" t="s">
        <v>23</v>
      </c>
      <c r="Y1252" s="3">
        <v>43463</v>
      </c>
      <c r="Z1252" s="1">
        <v>2018</v>
      </c>
      <c r="AA1252" s="2"/>
      <c r="AB1252" s="2"/>
      <c r="AC1252" s="2">
        <v>415489.95</v>
      </c>
      <c r="AG1252" s="1" t="s">
        <v>21</v>
      </c>
      <c r="AI1252" s="2">
        <v>415489.95</v>
      </c>
      <c r="AK1252" s="1"/>
      <c r="AL1252" s="1" t="s">
        <v>127</v>
      </c>
    </row>
    <row r="1253" spans="1:38" ht="15" customHeight="1" x14ac:dyDescent="0.2">
      <c r="A1253" s="1" t="s">
        <v>19</v>
      </c>
      <c r="B1253" s="5" t="s">
        <v>109</v>
      </c>
      <c r="C1253" s="1" t="s">
        <v>37</v>
      </c>
      <c r="D1253" s="1" t="s">
        <v>132</v>
      </c>
      <c r="E1253" s="1" t="s">
        <v>35</v>
      </c>
      <c r="G1253" s="1" t="s">
        <v>131</v>
      </c>
      <c r="H1253" s="1" t="s">
        <v>130</v>
      </c>
      <c r="I1253" s="1" t="s">
        <v>181</v>
      </c>
      <c r="J1253" s="1">
        <v>2018</v>
      </c>
      <c r="P1253" s="1" t="s">
        <v>128</v>
      </c>
      <c r="Q1253" s="1" t="s">
        <v>27</v>
      </c>
      <c r="R1253" s="1" t="s">
        <v>26</v>
      </c>
      <c r="S1253" s="1" t="s">
        <v>40</v>
      </c>
      <c r="T1253" s="1" t="s">
        <v>39</v>
      </c>
      <c r="U1253" s="1">
        <v>1</v>
      </c>
      <c r="V1253" s="1" t="s">
        <v>23</v>
      </c>
      <c r="Y1253" s="3">
        <v>43463</v>
      </c>
      <c r="Z1253" s="1">
        <v>2018</v>
      </c>
      <c r="AA1253" s="2"/>
      <c r="AB1253" s="2"/>
      <c r="AC1253" s="2">
        <v>420393.94999999995</v>
      </c>
      <c r="AG1253" s="1" t="s">
        <v>21</v>
      </c>
      <c r="AI1253" s="2">
        <v>420393.94999999995</v>
      </c>
      <c r="AK1253" s="1"/>
      <c r="AL1253" s="1" t="s">
        <v>127</v>
      </c>
    </row>
    <row r="1254" spans="1:38" ht="15" customHeight="1" x14ac:dyDescent="0.2">
      <c r="A1254" s="1" t="s">
        <v>19</v>
      </c>
      <c r="B1254" s="5" t="s">
        <v>109</v>
      </c>
      <c r="C1254" s="1" t="s">
        <v>37</v>
      </c>
      <c r="D1254" s="1" t="s">
        <v>132</v>
      </c>
      <c r="E1254" s="1" t="s">
        <v>35</v>
      </c>
      <c r="G1254" s="1" t="s">
        <v>131</v>
      </c>
      <c r="H1254" s="1" t="s">
        <v>130</v>
      </c>
      <c r="I1254" s="1" t="s">
        <v>180</v>
      </c>
      <c r="J1254" s="1">
        <v>2018</v>
      </c>
      <c r="P1254" s="1" t="s">
        <v>128</v>
      </c>
      <c r="Q1254" s="1" t="s">
        <v>27</v>
      </c>
      <c r="R1254" s="1" t="s">
        <v>26</v>
      </c>
      <c r="S1254" s="1" t="s">
        <v>40</v>
      </c>
      <c r="T1254" s="1" t="s">
        <v>39</v>
      </c>
      <c r="U1254" s="1">
        <v>1</v>
      </c>
      <c r="V1254" s="1" t="s">
        <v>23</v>
      </c>
      <c r="Y1254" s="3">
        <v>43463</v>
      </c>
      <c r="Z1254" s="1">
        <v>2018</v>
      </c>
      <c r="AA1254" s="2"/>
      <c r="AB1254" s="2"/>
      <c r="AC1254" s="2">
        <v>599194.64</v>
      </c>
      <c r="AG1254" s="1" t="s">
        <v>21</v>
      </c>
      <c r="AI1254" s="2">
        <v>599194.64</v>
      </c>
      <c r="AK1254" s="1"/>
      <c r="AL1254" s="1" t="s">
        <v>127</v>
      </c>
    </row>
    <row r="1255" spans="1:38" ht="15" customHeight="1" x14ac:dyDescent="0.2">
      <c r="A1255" s="1" t="s">
        <v>19</v>
      </c>
      <c r="B1255" s="5" t="s">
        <v>109</v>
      </c>
      <c r="C1255" s="1" t="s">
        <v>37</v>
      </c>
      <c r="D1255" s="1" t="s">
        <v>132</v>
      </c>
      <c r="E1255" s="1" t="s">
        <v>35</v>
      </c>
      <c r="G1255" s="1" t="s">
        <v>131</v>
      </c>
      <c r="H1255" s="1" t="s">
        <v>130</v>
      </c>
      <c r="I1255" s="1" t="s">
        <v>179</v>
      </c>
      <c r="J1255" s="1">
        <v>2018</v>
      </c>
      <c r="P1255" s="1" t="s">
        <v>128</v>
      </c>
      <c r="Q1255" s="1" t="s">
        <v>27</v>
      </c>
      <c r="R1255" s="1" t="s">
        <v>26</v>
      </c>
      <c r="S1255" s="1" t="s">
        <v>40</v>
      </c>
      <c r="T1255" s="1" t="s">
        <v>39</v>
      </c>
      <c r="U1255" s="1">
        <v>1</v>
      </c>
      <c r="V1255" s="1" t="s">
        <v>23</v>
      </c>
      <c r="Y1255" s="3">
        <v>43463</v>
      </c>
      <c r="Z1255" s="1">
        <v>2018</v>
      </c>
      <c r="AA1255" s="2"/>
      <c r="AB1255" s="2"/>
      <c r="AC1255" s="2">
        <v>826511.37999999989</v>
      </c>
      <c r="AG1255" s="1" t="s">
        <v>21</v>
      </c>
      <c r="AI1255" s="2">
        <v>826511.37999999989</v>
      </c>
      <c r="AK1255" s="1"/>
      <c r="AL1255" s="1" t="s">
        <v>127</v>
      </c>
    </row>
    <row r="1256" spans="1:38" ht="15" customHeight="1" x14ac:dyDescent="0.2">
      <c r="A1256" s="1" t="s">
        <v>19</v>
      </c>
      <c r="B1256" s="5" t="s">
        <v>109</v>
      </c>
      <c r="C1256" s="1" t="s">
        <v>37</v>
      </c>
      <c r="D1256" s="1" t="s">
        <v>132</v>
      </c>
      <c r="E1256" s="1" t="s">
        <v>35</v>
      </c>
      <c r="G1256" s="1" t="s">
        <v>135</v>
      </c>
      <c r="H1256" s="1" t="s">
        <v>130</v>
      </c>
      <c r="I1256" s="1" t="s">
        <v>178</v>
      </c>
      <c r="J1256" s="1">
        <v>2019</v>
      </c>
      <c r="P1256" s="1" t="s">
        <v>136</v>
      </c>
      <c r="Q1256" s="1" t="s">
        <v>27</v>
      </c>
      <c r="R1256" s="1" t="s">
        <v>26</v>
      </c>
      <c r="S1256" s="1" t="s">
        <v>91</v>
      </c>
      <c r="T1256" s="1" t="s">
        <v>90</v>
      </c>
      <c r="U1256" s="1">
        <v>1</v>
      </c>
      <c r="V1256" s="1" t="s">
        <v>23</v>
      </c>
      <c r="Y1256" s="3">
        <v>43809</v>
      </c>
      <c r="Z1256" s="1">
        <v>2019</v>
      </c>
      <c r="AA1256" s="2"/>
      <c r="AB1256" s="2"/>
      <c r="AC1256" s="2">
        <v>24279.99</v>
      </c>
      <c r="AG1256" s="1" t="s">
        <v>21</v>
      </c>
      <c r="AI1256" s="2">
        <v>24279.99</v>
      </c>
      <c r="AK1256" s="1"/>
    </row>
    <row r="1257" spans="1:38" ht="15" customHeight="1" x14ac:dyDescent="0.2">
      <c r="A1257" s="1" t="s">
        <v>19</v>
      </c>
      <c r="B1257" s="5" t="s">
        <v>109</v>
      </c>
      <c r="C1257" s="1" t="s">
        <v>37</v>
      </c>
      <c r="D1257" s="1" t="s">
        <v>132</v>
      </c>
      <c r="E1257" s="1" t="s">
        <v>35</v>
      </c>
      <c r="G1257" s="1" t="s">
        <v>131</v>
      </c>
      <c r="H1257" s="1" t="s">
        <v>130</v>
      </c>
      <c r="I1257" s="1" t="s">
        <v>177</v>
      </c>
      <c r="J1257" s="1">
        <v>2018</v>
      </c>
      <c r="P1257" s="1" t="s">
        <v>128</v>
      </c>
      <c r="Q1257" s="1" t="s">
        <v>27</v>
      </c>
      <c r="R1257" s="1" t="s">
        <v>26</v>
      </c>
      <c r="S1257" s="1" t="s">
        <v>40</v>
      </c>
      <c r="T1257" s="1" t="s">
        <v>39</v>
      </c>
      <c r="U1257" s="1">
        <v>1</v>
      </c>
      <c r="V1257" s="1" t="s">
        <v>23</v>
      </c>
      <c r="Y1257" s="3">
        <v>43463</v>
      </c>
      <c r="Z1257" s="1">
        <v>2018</v>
      </c>
      <c r="AA1257" s="2"/>
      <c r="AB1257" s="2"/>
      <c r="AC1257" s="2">
        <v>660702.19999999995</v>
      </c>
      <c r="AG1257" s="1" t="s">
        <v>21</v>
      </c>
      <c r="AI1257" s="2">
        <v>660702.19999999995</v>
      </c>
      <c r="AK1257" s="1"/>
      <c r="AL1257" s="1" t="s">
        <v>127</v>
      </c>
    </row>
    <row r="1258" spans="1:38" ht="15" customHeight="1" x14ac:dyDescent="0.2">
      <c r="A1258" s="1" t="s">
        <v>19</v>
      </c>
      <c r="B1258" s="5" t="s">
        <v>109</v>
      </c>
      <c r="C1258" s="1" t="s">
        <v>37</v>
      </c>
      <c r="D1258" s="1" t="s">
        <v>132</v>
      </c>
      <c r="E1258" s="1" t="s">
        <v>35</v>
      </c>
      <c r="G1258" s="1" t="s">
        <v>131</v>
      </c>
      <c r="H1258" s="1" t="s">
        <v>130</v>
      </c>
      <c r="I1258" s="1" t="s">
        <v>176</v>
      </c>
      <c r="J1258" s="1">
        <v>2018</v>
      </c>
      <c r="P1258" s="1" t="s">
        <v>128</v>
      </c>
      <c r="Q1258" s="1" t="s">
        <v>27</v>
      </c>
      <c r="R1258" s="1" t="s">
        <v>26</v>
      </c>
      <c r="S1258" s="1" t="s">
        <v>40</v>
      </c>
      <c r="T1258" s="1" t="s">
        <v>39</v>
      </c>
      <c r="U1258" s="1">
        <v>1</v>
      </c>
      <c r="V1258" s="1" t="s">
        <v>23</v>
      </c>
      <c r="Y1258" s="3">
        <v>43463</v>
      </c>
      <c r="Z1258" s="1">
        <v>2018</v>
      </c>
      <c r="AA1258" s="2"/>
      <c r="AB1258" s="2"/>
      <c r="AC1258" s="2">
        <v>599533.81000000006</v>
      </c>
      <c r="AG1258" s="1" t="s">
        <v>21</v>
      </c>
      <c r="AI1258" s="2">
        <v>599533.81000000006</v>
      </c>
      <c r="AK1258" s="1"/>
      <c r="AL1258" s="1" t="s">
        <v>127</v>
      </c>
    </row>
    <row r="1259" spans="1:38" ht="15" customHeight="1" x14ac:dyDescent="0.2">
      <c r="A1259" s="1" t="s">
        <v>19</v>
      </c>
      <c r="B1259" s="5" t="s">
        <v>109</v>
      </c>
      <c r="C1259" s="1" t="s">
        <v>37</v>
      </c>
      <c r="D1259" s="1" t="s">
        <v>132</v>
      </c>
      <c r="E1259" s="1" t="s">
        <v>35</v>
      </c>
      <c r="G1259" s="1" t="s">
        <v>131</v>
      </c>
      <c r="H1259" s="1" t="s">
        <v>130</v>
      </c>
      <c r="I1259" s="1" t="s">
        <v>175</v>
      </c>
      <c r="J1259" s="1">
        <v>2018</v>
      </c>
      <c r="P1259" s="1" t="s">
        <v>128</v>
      </c>
      <c r="Q1259" s="1" t="s">
        <v>27</v>
      </c>
      <c r="R1259" s="1" t="s">
        <v>26</v>
      </c>
      <c r="S1259" s="1" t="s">
        <v>40</v>
      </c>
      <c r="T1259" s="1" t="s">
        <v>39</v>
      </c>
      <c r="U1259" s="1">
        <v>1</v>
      </c>
      <c r="V1259" s="1" t="s">
        <v>23</v>
      </c>
      <c r="Y1259" s="3">
        <v>43463</v>
      </c>
      <c r="Z1259" s="1">
        <v>2018</v>
      </c>
      <c r="AA1259" s="2"/>
      <c r="AB1259" s="2"/>
      <c r="AC1259" s="2">
        <v>536076.37</v>
      </c>
      <c r="AG1259" s="1" t="s">
        <v>21</v>
      </c>
      <c r="AI1259" s="2">
        <v>536076.37</v>
      </c>
      <c r="AK1259" s="1"/>
      <c r="AL1259" s="1" t="s">
        <v>127</v>
      </c>
    </row>
    <row r="1260" spans="1:38" ht="15" customHeight="1" x14ac:dyDescent="0.2">
      <c r="A1260" s="1" t="s">
        <v>19</v>
      </c>
      <c r="B1260" s="5" t="s">
        <v>109</v>
      </c>
      <c r="C1260" s="1" t="s">
        <v>37</v>
      </c>
      <c r="D1260" s="1" t="s">
        <v>132</v>
      </c>
      <c r="E1260" s="1" t="s">
        <v>35</v>
      </c>
      <c r="G1260" s="1" t="s">
        <v>131</v>
      </c>
      <c r="H1260" s="1" t="s">
        <v>130</v>
      </c>
      <c r="I1260" s="1" t="s">
        <v>174</v>
      </c>
      <c r="J1260" s="1">
        <v>2018</v>
      </c>
      <c r="P1260" s="1" t="s">
        <v>128</v>
      </c>
      <c r="Q1260" s="1" t="s">
        <v>27</v>
      </c>
      <c r="R1260" s="1" t="s">
        <v>26</v>
      </c>
      <c r="S1260" s="1" t="s">
        <v>40</v>
      </c>
      <c r="T1260" s="1" t="s">
        <v>39</v>
      </c>
      <c r="U1260" s="1">
        <v>1</v>
      </c>
      <c r="V1260" s="1" t="s">
        <v>23</v>
      </c>
      <c r="Y1260" s="3">
        <v>43463</v>
      </c>
      <c r="Z1260" s="1">
        <v>2018</v>
      </c>
      <c r="AA1260" s="2"/>
      <c r="AB1260" s="2"/>
      <c r="AC1260" s="2">
        <v>490648.4</v>
      </c>
      <c r="AG1260" s="1" t="s">
        <v>21</v>
      </c>
      <c r="AI1260" s="2">
        <v>490648.4</v>
      </c>
      <c r="AK1260" s="1"/>
      <c r="AL1260" s="1" t="s">
        <v>127</v>
      </c>
    </row>
    <row r="1261" spans="1:38" ht="15" customHeight="1" x14ac:dyDescent="0.2">
      <c r="A1261" s="1" t="s">
        <v>19</v>
      </c>
      <c r="B1261" s="5" t="s">
        <v>109</v>
      </c>
      <c r="C1261" s="1" t="s">
        <v>37</v>
      </c>
      <c r="D1261" s="1" t="s">
        <v>132</v>
      </c>
      <c r="E1261" s="1" t="s">
        <v>35</v>
      </c>
      <c r="G1261" s="1" t="s">
        <v>131</v>
      </c>
      <c r="H1261" s="1" t="s">
        <v>130</v>
      </c>
      <c r="I1261" s="1" t="s">
        <v>173</v>
      </c>
      <c r="J1261" s="1">
        <v>2018</v>
      </c>
      <c r="P1261" s="1" t="s">
        <v>128</v>
      </c>
      <c r="Q1261" s="1" t="s">
        <v>27</v>
      </c>
      <c r="R1261" s="1" t="s">
        <v>26</v>
      </c>
      <c r="S1261" s="1" t="s">
        <v>40</v>
      </c>
      <c r="T1261" s="1" t="s">
        <v>39</v>
      </c>
      <c r="U1261" s="1">
        <v>1</v>
      </c>
      <c r="V1261" s="1" t="s">
        <v>23</v>
      </c>
      <c r="Y1261" s="3">
        <v>43463</v>
      </c>
      <c r="Z1261" s="1">
        <v>2018</v>
      </c>
      <c r="AA1261" s="2"/>
      <c r="AB1261" s="2"/>
      <c r="AC1261" s="2">
        <v>440441.65</v>
      </c>
      <c r="AG1261" s="1" t="s">
        <v>21</v>
      </c>
      <c r="AI1261" s="2">
        <v>440441.65</v>
      </c>
      <c r="AK1261" s="1"/>
      <c r="AL1261" s="1" t="s">
        <v>127</v>
      </c>
    </row>
    <row r="1262" spans="1:38" ht="15" customHeight="1" x14ac:dyDescent="0.2">
      <c r="A1262" s="1" t="s">
        <v>19</v>
      </c>
      <c r="B1262" s="5" t="s">
        <v>109</v>
      </c>
      <c r="C1262" s="1" t="s">
        <v>37</v>
      </c>
      <c r="D1262" s="1" t="s">
        <v>132</v>
      </c>
      <c r="E1262" s="1" t="s">
        <v>35</v>
      </c>
      <c r="G1262" s="1" t="s">
        <v>131</v>
      </c>
      <c r="H1262" s="1" t="s">
        <v>130</v>
      </c>
      <c r="I1262" s="1" t="s">
        <v>172</v>
      </c>
      <c r="J1262" s="1">
        <v>2018</v>
      </c>
      <c r="P1262" s="1" t="s">
        <v>128</v>
      </c>
      <c r="Q1262" s="1" t="s">
        <v>27</v>
      </c>
      <c r="R1262" s="1" t="s">
        <v>26</v>
      </c>
      <c r="S1262" s="1" t="s">
        <v>40</v>
      </c>
      <c r="T1262" s="1" t="s">
        <v>39</v>
      </c>
      <c r="U1262" s="1">
        <v>1</v>
      </c>
      <c r="V1262" s="1" t="s">
        <v>23</v>
      </c>
      <c r="Y1262" s="3">
        <v>43463</v>
      </c>
      <c r="Z1262" s="1">
        <v>2018</v>
      </c>
      <c r="AA1262" s="2"/>
      <c r="AB1262" s="2"/>
      <c r="AC1262" s="2">
        <v>664680.13000000012</v>
      </c>
      <c r="AG1262" s="1" t="s">
        <v>21</v>
      </c>
      <c r="AI1262" s="2">
        <v>664680.13000000012</v>
      </c>
      <c r="AK1262" s="1"/>
      <c r="AL1262" s="1" t="s">
        <v>127</v>
      </c>
    </row>
    <row r="1263" spans="1:38" ht="15" customHeight="1" x14ac:dyDescent="0.2">
      <c r="A1263" s="1" t="s">
        <v>19</v>
      </c>
      <c r="B1263" s="5" t="s">
        <v>109</v>
      </c>
      <c r="C1263" s="1" t="s">
        <v>37</v>
      </c>
      <c r="D1263" s="1" t="s">
        <v>132</v>
      </c>
      <c r="E1263" s="1" t="s">
        <v>35</v>
      </c>
      <c r="G1263" s="1" t="s">
        <v>131</v>
      </c>
      <c r="H1263" s="1" t="s">
        <v>130</v>
      </c>
      <c r="I1263" s="1" t="s">
        <v>171</v>
      </c>
      <c r="J1263" s="1">
        <v>2018</v>
      </c>
      <c r="P1263" s="1" t="s">
        <v>128</v>
      </c>
      <c r="Q1263" s="1" t="s">
        <v>27</v>
      </c>
      <c r="R1263" s="1" t="s">
        <v>26</v>
      </c>
      <c r="S1263" s="1" t="s">
        <v>40</v>
      </c>
      <c r="T1263" s="1" t="s">
        <v>39</v>
      </c>
      <c r="U1263" s="1">
        <v>1</v>
      </c>
      <c r="V1263" s="1" t="s">
        <v>23</v>
      </c>
      <c r="Y1263" s="3">
        <v>43463</v>
      </c>
      <c r="Z1263" s="1">
        <v>2018</v>
      </c>
      <c r="AA1263" s="2"/>
      <c r="AB1263" s="2"/>
      <c r="AC1263" s="2">
        <v>603735.04000000004</v>
      </c>
      <c r="AG1263" s="1" t="s">
        <v>21</v>
      </c>
      <c r="AI1263" s="2">
        <v>603735.04000000004</v>
      </c>
      <c r="AK1263" s="1"/>
      <c r="AL1263" s="1" t="s">
        <v>127</v>
      </c>
    </row>
    <row r="1264" spans="1:38" ht="15" customHeight="1" x14ac:dyDescent="0.2">
      <c r="A1264" s="1" t="s">
        <v>19</v>
      </c>
      <c r="B1264" s="5" t="s">
        <v>109</v>
      </c>
      <c r="C1264" s="1" t="s">
        <v>37</v>
      </c>
      <c r="D1264" s="1" t="s">
        <v>132</v>
      </c>
      <c r="E1264" s="1" t="s">
        <v>35</v>
      </c>
      <c r="G1264" s="1" t="s">
        <v>131</v>
      </c>
      <c r="H1264" s="1" t="s">
        <v>130</v>
      </c>
      <c r="I1264" s="1" t="s">
        <v>170</v>
      </c>
      <c r="J1264" s="1">
        <v>2018</v>
      </c>
      <c r="P1264" s="1" t="s">
        <v>128</v>
      </c>
      <c r="Q1264" s="1" t="s">
        <v>27</v>
      </c>
      <c r="R1264" s="1" t="s">
        <v>26</v>
      </c>
      <c r="S1264" s="1" t="s">
        <v>40</v>
      </c>
      <c r="T1264" s="1" t="s">
        <v>39</v>
      </c>
      <c r="U1264" s="1">
        <v>1</v>
      </c>
      <c r="V1264" s="1" t="s">
        <v>23</v>
      </c>
      <c r="Y1264" s="3">
        <v>43463</v>
      </c>
      <c r="Z1264" s="1">
        <v>2018</v>
      </c>
      <c r="AA1264" s="2"/>
      <c r="AB1264" s="2"/>
      <c r="AC1264" s="2">
        <v>529337.16</v>
      </c>
      <c r="AG1264" s="1" t="s">
        <v>21</v>
      </c>
      <c r="AI1264" s="2">
        <v>529337.16</v>
      </c>
      <c r="AK1264" s="1"/>
      <c r="AL1264" s="1" t="s">
        <v>127</v>
      </c>
    </row>
    <row r="1265" spans="1:38" ht="15" customHeight="1" x14ac:dyDescent="0.2">
      <c r="A1265" s="1" t="s">
        <v>19</v>
      </c>
      <c r="B1265" s="5" t="s">
        <v>109</v>
      </c>
      <c r="C1265" s="1" t="s">
        <v>37</v>
      </c>
      <c r="D1265" s="1" t="s">
        <v>132</v>
      </c>
      <c r="E1265" s="1" t="s">
        <v>35</v>
      </c>
      <c r="G1265" s="1" t="s">
        <v>131</v>
      </c>
      <c r="H1265" s="1" t="s">
        <v>130</v>
      </c>
      <c r="I1265" s="1" t="s">
        <v>169</v>
      </c>
      <c r="J1265" s="1">
        <v>2018</v>
      </c>
      <c r="P1265" s="1" t="s">
        <v>128</v>
      </c>
      <c r="Q1265" s="1" t="s">
        <v>27</v>
      </c>
      <c r="R1265" s="1" t="s">
        <v>26</v>
      </c>
      <c r="S1265" s="1" t="s">
        <v>40</v>
      </c>
      <c r="T1265" s="1" t="s">
        <v>39</v>
      </c>
      <c r="U1265" s="1">
        <v>1</v>
      </c>
      <c r="V1265" s="1" t="s">
        <v>23</v>
      </c>
      <c r="Y1265" s="3">
        <v>43463</v>
      </c>
      <c r="Z1265" s="1">
        <v>2018</v>
      </c>
      <c r="AA1265" s="2"/>
      <c r="AB1265" s="2"/>
      <c r="AC1265" s="2">
        <v>805081.3899999999</v>
      </c>
      <c r="AG1265" s="1" t="s">
        <v>21</v>
      </c>
      <c r="AI1265" s="2">
        <v>805081.3899999999</v>
      </c>
      <c r="AK1265" s="1"/>
      <c r="AL1265" s="1" t="s">
        <v>127</v>
      </c>
    </row>
    <row r="1266" spans="1:38" ht="15" customHeight="1" x14ac:dyDescent="0.2">
      <c r="A1266" s="1" t="s">
        <v>19</v>
      </c>
      <c r="B1266" s="5" t="s">
        <v>109</v>
      </c>
      <c r="C1266" s="1" t="s">
        <v>37</v>
      </c>
      <c r="D1266" s="1" t="s">
        <v>132</v>
      </c>
      <c r="E1266" s="1" t="s">
        <v>35</v>
      </c>
      <c r="G1266" s="1" t="s">
        <v>131</v>
      </c>
      <c r="H1266" s="1" t="s">
        <v>130</v>
      </c>
      <c r="I1266" s="1" t="s">
        <v>168</v>
      </c>
      <c r="J1266" s="1">
        <v>2018</v>
      </c>
      <c r="P1266" s="1" t="s">
        <v>128</v>
      </c>
      <c r="Q1266" s="1" t="s">
        <v>27</v>
      </c>
      <c r="R1266" s="1" t="s">
        <v>26</v>
      </c>
      <c r="S1266" s="1" t="s">
        <v>40</v>
      </c>
      <c r="T1266" s="1" t="s">
        <v>39</v>
      </c>
      <c r="U1266" s="1">
        <v>1</v>
      </c>
      <c r="V1266" s="1" t="s">
        <v>23</v>
      </c>
      <c r="Y1266" s="3">
        <v>43463</v>
      </c>
      <c r="Z1266" s="1">
        <v>2018</v>
      </c>
      <c r="AA1266" s="2"/>
      <c r="AB1266" s="2"/>
      <c r="AC1266" s="2">
        <v>488855.13000000006</v>
      </c>
      <c r="AG1266" s="1" t="s">
        <v>21</v>
      </c>
      <c r="AI1266" s="2">
        <v>488855.13000000006</v>
      </c>
      <c r="AK1266" s="1"/>
      <c r="AL1266" s="1" t="s">
        <v>127</v>
      </c>
    </row>
    <row r="1267" spans="1:38" ht="15" customHeight="1" x14ac:dyDescent="0.2">
      <c r="A1267" s="1" t="s">
        <v>19</v>
      </c>
      <c r="B1267" s="5" t="s">
        <v>109</v>
      </c>
      <c r="C1267" s="1" t="s">
        <v>37</v>
      </c>
      <c r="D1267" s="1" t="s">
        <v>132</v>
      </c>
      <c r="E1267" s="1" t="s">
        <v>35</v>
      </c>
      <c r="G1267" s="1" t="s">
        <v>131</v>
      </c>
      <c r="H1267" s="1" t="s">
        <v>130</v>
      </c>
      <c r="I1267" s="1" t="s">
        <v>167</v>
      </c>
      <c r="J1267" s="1">
        <v>2018</v>
      </c>
      <c r="P1267" s="1" t="s">
        <v>128</v>
      </c>
      <c r="Q1267" s="1" t="s">
        <v>27</v>
      </c>
      <c r="R1267" s="1" t="s">
        <v>26</v>
      </c>
      <c r="S1267" s="1" t="s">
        <v>40</v>
      </c>
      <c r="T1267" s="1" t="s">
        <v>39</v>
      </c>
      <c r="U1267" s="1">
        <v>1</v>
      </c>
      <c r="V1267" s="1" t="s">
        <v>23</v>
      </c>
      <c r="Y1267" s="3">
        <v>43463</v>
      </c>
      <c r="Z1267" s="1">
        <v>2018</v>
      </c>
      <c r="AA1267" s="2"/>
      <c r="AB1267" s="2"/>
      <c r="AC1267" s="2">
        <v>587932.71</v>
      </c>
      <c r="AG1267" s="1" t="s">
        <v>21</v>
      </c>
      <c r="AI1267" s="2">
        <v>587932.71</v>
      </c>
      <c r="AK1267" s="1"/>
      <c r="AL1267" s="1" t="s">
        <v>127</v>
      </c>
    </row>
    <row r="1268" spans="1:38" ht="15" customHeight="1" x14ac:dyDescent="0.2">
      <c r="A1268" s="1" t="s">
        <v>19</v>
      </c>
      <c r="B1268" s="5" t="s">
        <v>109</v>
      </c>
      <c r="C1268" s="1" t="s">
        <v>37</v>
      </c>
      <c r="D1268" s="1" t="s">
        <v>132</v>
      </c>
      <c r="E1268" s="1" t="s">
        <v>35</v>
      </c>
      <c r="G1268" s="1" t="s">
        <v>131</v>
      </c>
      <c r="H1268" s="1" t="s">
        <v>130</v>
      </c>
      <c r="I1268" s="1" t="s">
        <v>166</v>
      </c>
      <c r="J1268" s="1">
        <v>2018</v>
      </c>
      <c r="P1268" s="1" t="s">
        <v>128</v>
      </c>
      <c r="Q1268" s="1" t="s">
        <v>27</v>
      </c>
      <c r="R1268" s="1" t="s">
        <v>26</v>
      </c>
      <c r="S1268" s="1" t="s">
        <v>40</v>
      </c>
      <c r="T1268" s="1" t="s">
        <v>39</v>
      </c>
      <c r="U1268" s="1">
        <v>1</v>
      </c>
      <c r="V1268" s="1" t="s">
        <v>23</v>
      </c>
      <c r="Y1268" s="3">
        <v>43463</v>
      </c>
      <c r="Z1268" s="1">
        <v>2018</v>
      </c>
      <c r="AA1268" s="2"/>
      <c r="AB1268" s="2"/>
      <c r="AC1268" s="2">
        <v>714892.62000000011</v>
      </c>
      <c r="AG1268" s="1" t="s">
        <v>21</v>
      </c>
      <c r="AI1268" s="2">
        <v>714892.62000000011</v>
      </c>
      <c r="AK1268" s="1"/>
      <c r="AL1268" s="1" t="s">
        <v>127</v>
      </c>
    </row>
    <row r="1269" spans="1:38" ht="15" customHeight="1" x14ac:dyDescent="0.2">
      <c r="A1269" s="1" t="s">
        <v>19</v>
      </c>
      <c r="B1269" s="5" t="s">
        <v>109</v>
      </c>
      <c r="C1269" s="1" t="s">
        <v>37</v>
      </c>
      <c r="D1269" s="1" t="s">
        <v>132</v>
      </c>
      <c r="E1269" s="1" t="s">
        <v>35</v>
      </c>
      <c r="G1269" s="1" t="s">
        <v>131</v>
      </c>
      <c r="H1269" s="1" t="s">
        <v>130</v>
      </c>
      <c r="I1269" s="1" t="s">
        <v>165</v>
      </c>
      <c r="J1269" s="1">
        <v>2018</v>
      </c>
      <c r="P1269" s="1" t="s">
        <v>128</v>
      </c>
      <c r="Q1269" s="1" t="s">
        <v>27</v>
      </c>
      <c r="R1269" s="1" t="s">
        <v>26</v>
      </c>
      <c r="S1269" s="1" t="s">
        <v>40</v>
      </c>
      <c r="T1269" s="1" t="s">
        <v>39</v>
      </c>
      <c r="U1269" s="1">
        <v>1</v>
      </c>
      <c r="V1269" s="1" t="s">
        <v>23</v>
      </c>
      <c r="Y1269" s="3">
        <v>43463</v>
      </c>
      <c r="Z1269" s="1">
        <v>2018</v>
      </c>
      <c r="AA1269" s="2"/>
      <c r="AB1269" s="2"/>
      <c r="AC1269" s="2">
        <v>691025.08999999985</v>
      </c>
      <c r="AG1269" s="1" t="s">
        <v>21</v>
      </c>
      <c r="AI1269" s="2">
        <v>691025.08999999985</v>
      </c>
      <c r="AK1269" s="1"/>
      <c r="AL1269" s="1" t="s">
        <v>127</v>
      </c>
    </row>
    <row r="1270" spans="1:38" ht="15" customHeight="1" x14ac:dyDescent="0.2">
      <c r="A1270" s="1" t="s">
        <v>19</v>
      </c>
      <c r="B1270" s="5" t="s">
        <v>109</v>
      </c>
      <c r="C1270" s="1" t="s">
        <v>37</v>
      </c>
      <c r="D1270" s="1" t="s">
        <v>132</v>
      </c>
      <c r="E1270" s="1" t="s">
        <v>35</v>
      </c>
      <c r="G1270" s="1" t="s">
        <v>131</v>
      </c>
      <c r="H1270" s="1" t="s">
        <v>130</v>
      </c>
      <c r="I1270" s="1" t="s">
        <v>164</v>
      </c>
      <c r="J1270" s="1">
        <v>2018</v>
      </c>
      <c r="P1270" s="1" t="s">
        <v>128</v>
      </c>
      <c r="Q1270" s="1" t="s">
        <v>27</v>
      </c>
      <c r="R1270" s="1" t="s">
        <v>26</v>
      </c>
      <c r="S1270" s="1" t="s">
        <v>40</v>
      </c>
      <c r="T1270" s="1" t="s">
        <v>39</v>
      </c>
      <c r="U1270" s="1">
        <v>1</v>
      </c>
      <c r="V1270" s="1" t="s">
        <v>23</v>
      </c>
      <c r="Y1270" s="3">
        <v>43463</v>
      </c>
      <c r="Z1270" s="1">
        <v>2018</v>
      </c>
      <c r="AA1270" s="2"/>
      <c r="AB1270" s="2"/>
      <c r="AC1270" s="2">
        <v>674655.05999999982</v>
      </c>
      <c r="AG1270" s="1" t="s">
        <v>21</v>
      </c>
      <c r="AI1270" s="2">
        <v>674655.05999999982</v>
      </c>
      <c r="AK1270" s="1"/>
      <c r="AL1270" s="1" t="s">
        <v>127</v>
      </c>
    </row>
    <row r="1271" spans="1:38" ht="15" customHeight="1" x14ac:dyDescent="0.2">
      <c r="A1271" s="1" t="s">
        <v>19</v>
      </c>
      <c r="B1271" s="5" t="s">
        <v>109</v>
      </c>
      <c r="C1271" s="1" t="s">
        <v>37</v>
      </c>
      <c r="D1271" s="1" t="s">
        <v>132</v>
      </c>
      <c r="E1271" s="1" t="s">
        <v>35</v>
      </c>
      <c r="G1271" s="1" t="s">
        <v>135</v>
      </c>
      <c r="H1271" s="1" t="s">
        <v>130</v>
      </c>
      <c r="I1271" s="1" t="s">
        <v>163</v>
      </c>
      <c r="J1271" s="1">
        <v>2020</v>
      </c>
      <c r="P1271" s="1" t="s">
        <v>128</v>
      </c>
      <c r="Q1271" s="1" t="s">
        <v>27</v>
      </c>
      <c r="R1271" s="1" t="s">
        <v>26</v>
      </c>
      <c r="S1271" s="1" t="s">
        <v>40</v>
      </c>
      <c r="T1271" s="1" t="s">
        <v>39</v>
      </c>
      <c r="U1271" s="1">
        <v>1</v>
      </c>
      <c r="V1271" s="1" t="s">
        <v>23</v>
      </c>
      <c r="Y1271" s="3">
        <v>44005</v>
      </c>
      <c r="Z1271" s="1">
        <v>2020</v>
      </c>
      <c r="AA1271" s="2"/>
      <c r="AB1271" s="2"/>
      <c r="AC1271" s="2">
        <v>12726.67</v>
      </c>
      <c r="AG1271" s="1" t="s">
        <v>21</v>
      </c>
      <c r="AI1271" s="2">
        <v>12726.67</v>
      </c>
      <c r="AK1271" s="1"/>
    </row>
    <row r="1272" spans="1:38" ht="15" customHeight="1" x14ac:dyDescent="0.2">
      <c r="A1272" s="1" t="s">
        <v>19</v>
      </c>
      <c r="B1272" s="5" t="s">
        <v>109</v>
      </c>
      <c r="C1272" s="1" t="s">
        <v>37</v>
      </c>
      <c r="D1272" s="1" t="s">
        <v>132</v>
      </c>
      <c r="E1272" s="1" t="s">
        <v>35</v>
      </c>
      <c r="G1272" s="1" t="s">
        <v>131</v>
      </c>
      <c r="H1272" s="1" t="s">
        <v>130</v>
      </c>
      <c r="I1272" s="1" t="s">
        <v>162</v>
      </c>
      <c r="J1272" s="1">
        <v>2018</v>
      </c>
      <c r="P1272" s="1" t="s">
        <v>128</v>
      </c>
      <c r="Q1272" s="1" t="s">
        <v>27</v>
      </c>
      <c r="R1272" s="1" t="s">
        <v>26</v>
      </c>
      <c r="S1272" s="1" t="s">
        <v>40</v>
      </c>
      <c r="T1272" s="1" t="s">
        <v>39</v>
      </c>
      <c r="U1272" s="1">
        <v>1</v>
      </c>
      <c r="V1272" s="1" t="s">
        <v>23</v>
      </c>
      <c r="Y1272" s="3">
        <v>43463</v>
      </c>
      <c r="Z1272" s="1">
        <v>2018</v>
      </c>
      <c r="AA1272" s="2"/>
      <c r="AB1272" s="2"/>
      <c r="AC1272" s="2">
        <v>738464.69</v>
      </c>
      <c r="AG1272" s="1" t="s">
        <v>21</v>
      </c>
      <c r="AI1272" s="2">
        <v>738464.69</v>
      </c>
      <c r="AK1272" s="1"/>
      <c r="AL1272" s="1" t="s">
        <v>127</v>
      </c>
    </row>
    <row r="1273" spans="1:38" ht="15" customHeight="1" x14ac:dyDescent="0.2">
      <c r="A1273" s="1" t="s">
        <v>19</v>
      </c>
      <c r="B1273" s="5" t="s">
        <v>109</v>
      </c>
      <c r="C1273" s="1" t="s">
        <v>37</v>
      </c>
      <c r="D1273" s="1" t="s">
        <v>132</v>
      </c>
      <c r="E1273" s="1" t="s">
        <v>35</v>
      </c>
      <c r="G1273" s="1" t="s">
        <v>135</v>
      </c>
      <c r="H1273" s="1" t="s">
        <v>130</v>
      </c>
      <c r="I1273" s="1" t="s">
        <v>161</v>
      </c>
      <c r="J1273" s="1">
        <v>2020</v>
      </c>
      <c r="P1273" s="1" t="s">
        <v>128</v>
      </c>
      <c r="Q1273" s="1" t="s">
        <v>27</v>
      </c>
      <c r="R1273" s="1" t="s">
        <v>26</v>
      </c>
      <c r="S1273" s="1" t="s">
        <v>40</v>
      </c>
      <c r="T1273" s="1" t="s">
        <v>39</v>
      </c>
      <c r="U1273" s="1">
        <v>1</v>
      </c>
      <c r="V1273" s="1" t="s">
        <v>23</v>
      </c>
      <c r="Y1273" s="3">
        <v>44005</v>
      </c>
      <c r="Z1273" s="1">
        <v>2020</v>
      </c>
      <c r="AA1273" s="2"/>
      <c r="AB1273" s="2"/>
      <c r="AC1273" s="2">
        <v>20068.2</v>
      </c>
      <c r="AG1273" s="1" t="s">
        <v>21</v>
      </c>
      <c r="AI1273" s="2">
        <v>20068.2</v>
      </c>
      <c r="AK1273" s="1"/>
    </row>
    <row r="1274" spans="1:38" ht="15" customHeight="1" x14ac:dyDescent="0.2">
      <c r="A1274" s="1" t="s">
        <v>19</v>
      </c>
      <c r="B1274" s="5" t="s">
        <v>109</v>
      </c>
      <c r="C1274" s="1" t="s">
        <v>37</v>
      </c>
      <c r="D1274" s="1" t="s">
        <v>132</v>
      </c>
      <c r="E1274" s="1" t="s">
        <v>35</v>
      </c>
      <c r="G1274" s="1" t="s">
        <v>131</v>
      </c>
      <c r="H1274" s="1" t="s">
        <v>130</v>
      </c>
      <c r="I1274" s="1" t="s">
        <v>160</v>
      </c>
      <c r="J1274" s="1">
        <v>2018</v>
      </c>
      <c r="P1274" s="1" t="s">
        <v>128</v>
      </c>
      <c r="Q1274" s="1" t="s">
        <v>27</v>
      </c>
      <c r="R1274" s="1" t="s">
        <v>26</v>
      </c>
      <c r="S1274" s="1" t="s">
        <v>40</v>
      </c>
      <c r="T1274" s="1" t="s">
        <v>39</v>
      </c>
      <c r="U1274" s="1">
        <v>1</v>
      </c>
      <c r="V1274" s="1" t="s">
        <v>23</v>
      </c>
      <c r="Y1274" s="3">
        <v>43463</v>
      </c>
      <c r="Z1274" s="1">
        <v>2018</v>
      </c>
      <c r="AA1274" s="2"/>
      <c r="AB1274" s="2"/>
      <c r="AC1274" s="2">
        <v>581888.65</v>
      </c>
      <c r="AG1274" s="1" t="s">
        <v>21</v>
      </c>
      <c r="AI1274" s="2">
        <v>581888.65</v>
      </c>
      <c r="AK1274" s="1"/>
      <c r="AL1274" s="1" t="s">
        <v>127</v>
      </c>
    </row>
    <row r="1275" spans="1:38" ht="15" customHeight="1" x14ac:dyDescent="0.2">
      <c r="A1275" s="1" t="s">
        <v>19</v>
      </c>
      <c r="B1275" s="5" t="s">
        <v>109</v>
      </c>
      <c r="C1275" s="1" t="s">
        <v>37</v>
      </c>
      <c r="D1275" s="1" t="s">
        <v>132</v>
      </c>
      <c r="E1275" s="1" t="s">
        <v>35</v>
      </c>
      <c r="G1275" s="1" t="s">
        <v>131</v>
      </c>
      <c r="H1275" s="1" t="s">
        <v>130</v>
      </c>
      <c r="I1275" s="1" t="s">
        <v>159</v>
      </c>
      <c r="J1275" s="1">
        <v>2018</v>
      </c>
      <c r="P1275" s="1" t="s">
        <v>128</v>
      </c>
      <c r="Q1275" s="1" t="s">
        <v>27</v>
      </c>
      <c r="R1275" s="1" t="s">
        <v>26</v>
      </c>
      <c r="S1275" s="1" t="s">
        <v>40</v>
      </c>
      <c r="T1275" s="1" t="s">
        <v>39</v>
      </c>
      <c r="U1275" s="1">
        <v>1</v>
      </c>
      <c r="V1275" s="1" t="s">
        <v>23</v>
      </c>
      <c r="Y1275" s="3">
        <v>43463</v>
      </c>
      <c r="Z1275" s="1">
        <v>2018</v>
      </c>
      <c r="AA1275" s="2"/>
      <c r="AB1275" s="2"/>
      <c r="AC1275" s="2">
        <v>509606.07</v>
      </c>
      <c r="AG1275" s="1" t="s">
        <v>21</v>
      </c>
      <c r="AI1275" s="2">
        <v>509606.07</v>
      </c>
      <c r="AK1275" s="1"/>
      <c r="AL1275" s="1" t="s">
        <v>127</v>
      </c>
    </row>
    <row r="1276" spans="1:38" ht="15" customHeight="1" x14ac:dyDescent="0.2">
      <c r="A1276" s="1" t="s">
        <v>19</v>
      </c>
      <c r="B1276" s="5" t="s">
        <v>109</v>
      </c>
      <c r="C1276" s="1" t="s">
        <v>37</v>
      </c>
      <c r="D1276" s="1" t="s">
        <v>132</v>
      </c>
      <c r="E1276" s="1" t="s">
        <v>35</v>
      </c>
      <c r="G1276" s="1" t="s">
        <v>131</v>
      </c>
      <c r="H1276" s="1" t="s">
        <v>130</v>
      </c>
      <c r="I1276" s="1" t="s">
        <v>158</v>
      </c>
      <c r="J1276" s="1">
        <v>2018</v>
      </c>
      <c r="P1276" s="1" t="s">
        <v>128</v>
      </c>
      <c r="Q1276" s="1" t="s">
        <v>27</v>
      </c>
      <c r="R1276" s="1" t="s">
        <v>26</v>
      </c>
      <c r="S1276" s="1" t="s">
        <v>40</v>
      </c>
      <c r="T1276" s="1" t="s">
        <v>39</v>
      </c>
      <c r="U1276" s="1">
        <v>1</v>
      </c>
      <c r="V1276" s="1" t="s">
        <v>23</v>
      </c>
      <c r="Y1276" s="3">
        <v>43463</v>
      </c>
      <c r="Z1276" s="1">
        <v>2018</v>
      </c>
      <c r="AA1276" s="2"/>
      <c r="AB1276" s="2"/>
      <c r="AC1276" s="2">
        <v>280800.25999999995</v>
      </c>
      <c r="AG1276" s="1" t="s">
        <v>21</v>
      </c>
      <c r="AI1276" s="2">
        <v>280800.25999999995</v>
      </c>
      <c r="AK1276" s="1"/>
      <c r="AL1276" s="1" t="s">
        <v>127</v>
      </c>
    </row>
    <row r="1277" spans="1:38" ht="15" customHeight="1" x14ac:dyDescent="0.25">
      <c r="A1277" s="1" t="s">
        <v>19</v>
      </c>
      <c r="B1277" s="5" t="s">
        <v>109</v>
      </c>
      <c r="C1277" s="1" t="s">
        <v>37</v>
      </c>
      <c r="D1277" s="1" t="s">
        <v>132</v>
      </c>
      <c r="E1277" s="1" t="s">
        <v>35</v>
      </c>
      <c r="G1277" s="1" t="s">
        <v>131</v>
      </c>
      <c r="H1277" s="1" t="s">
        <v>130</v>
      </c>
      <c r="I1277" s="1" t="s">
        <v>157</v>
      </c>
      <c r="J1277" s="1">
        <v>2019</v>
      </c>
      <c r="P1277" s="1" t="s">
        <v>133</v>
      </c>
      <c r="Q1277" s="1" t="s">
        <v>27</v>
      </c>
      <c r="R1277" s="1" t="s">
        <v>26</v>
      </c>
      <c r="S1277" s="10" t="s">
        <v>68</v>
      </c>
      <c r="T1277" s="1" t="s">
        <v>67</v>
      </c>
      <c r="U1277" s="1">
        <v>1</v>
      </c>
      <c r="V1277" s="1" t="s">
        <v>23</v>
      </c>
      <c r="Y1277" s="3">
        <v>43709</v>
      </c>
      <c r="Z1277" s="1">
        <v>2019</v>
      </c>
      <c r="AA1277" s="2"/>
      <c r="AB1277" s="2"/>
      <c r="AC1277" s="2">
        <v>900821.49000000011</v>
      </c>
      <c r="AG1277" s="1" t="s">
        <v>21</v>
      </c>
      <c r="AI1277" s="2">
        <v>900821.49000000011</v>
      </c>
      <c r="AK1277" s="1"/>
      <c r="AL1277" s="1" t="s">
        <v>127</v>
      </c>
    </row>
    <row r="1278" spans="1:38" ht="15" customHeight="1" x14ac:dyDescent="0.25">
      <c r="A1278" s="1" t="s">
        <v>19</v>
      </c>
      <c r="B1278" s="5" t="s">
        <v>109</v>
      </c>
      <c r="C1278" s="1" t="s">
        <v>37</v>
      </c>
      <c r="D1278" s="1" t="s">
        <v>132</v>
      </c>
      <c r="E1278" s="1" t="s">
        <v>35</v>
      </c>
      <c r="G1278" s="1" t="s">
        <v>131</v>
      </c>
      <c r="H1278" s="1" t="s">
        <v>130</v>
      </c>
      <c r="I1278" s="1" t="s">
        <v>156</v>
      </c>
      <c r="J1278" s="1">
        <v>2019</v>
      </c>
      <c r="P1278" s="1" t="s">
        <v>133</v>
      </c>
      <c r="Q1278" s="1" t="s">
        <v>27</v>
      </c>
      <c r="R1278" s="1" t="s">
        <v>26</v>
      </c>
      <c r="S1278" s="10" t="s">
        <v>68</v>
      </c>
      <c r="T1278" s="1" t="s">
        <v>67</v>
      </c>
      <c r="U1278" s="1">
        <v>1</v>
      </c>
      <c r="V1278" s="1" t="s">
        <v>23</v>
      </c>
      <c r="Y1278" s="3">
        <v>43466</v>
      </c>
      <c r="Z1278" s="1">
        <v>2019</v>
      </c>
      <c r="AA1278" s="2"/>
      <c r="AB1278" s="2"/>
      <c r="AC1278" s="2">
        <v>620952.59999999986</v>
      </c>
      <c r="AG1278" s="1" t="s">
        <v>21</v>
      </c>
      <c r="AI1278" s="2">
        <v>620952.59999999986</v>
      </c>
      <c r="AK1278" s="1"/>
      <c r="AL1278" s="1" t="s">
        <v>127</v>
      </c>
    </row>
    <row r="1279" spans="1:38" ht="15" customHeight="1" x14ac:dyDescent="0.2">
      <c r="A1279" s="1" t="s">
        <v>19</v>
      </c>
      <c r="B1279" s="5" t="s">
        <v>109</v>
      </c>
      <c r="C1279" s="1" t="s">
        <v>37</v>
      </c>
      <c r="D1279" s="1" t="s">
        <v>132</v>
      </c>
      <c r="E1279" s="1" t="s">
        <v>35</v>
      </c>
      <c r="G1279" s="1" t="s">
        <v>131</v>
      </c>
      <c r="H1279" s="1" t="s">
        <v>130</v>
      </c>
      <c r="I1279" s="1" t="s">
        <v>155</v>
      </c>
      <c r="J1279" s="1">
        <v>2018</v>
      </c>
      <c r="P1279" s="1" t="s">
        <v>136</v>
      </c>
      <c r="Q1279" s="1" t="s">
        <v>27</v>
      </c>
      <c r="R1279" s="1" t="s">
        <v>26</v>
      </c>
      <c r="S1279" s="1" t="s">
        <v>91</v>
      </c>
      <c r="T1279" s="1" t="s">
        <v>90</v>
      </c>
      <c r="U1279" s="1">
        <v>1</v>
      </c>
      <c r="V1279" s="1" t="s">
        <v>23</v>
      </c>
      <c r="Y1279" s="3">
        <v>43461</v>
      </c>
      <c r="Z1279" s="1">
        <v>2018</v>
      </c>
      <c r="AA1279" s="2"/>
      <c r="AB1279" s="2"/>
      <c r="AC1279" s="2">
        <v>542910.19000000006</v>
      </c>
      <c r="AG1279" s="1" t="s">
        <v>21</v>
      </c>
      <c r="AI1279" s="2">
        <v>542910.19000000006</v>
      </c>
      <c r="AK1279" s="1"/>
      <c r="AL1279" s="1" t="s">
        <v>127</v>
      </c>
    </row>
    <row r="1280" spans="1:38" ht="15" customHeight="1" x14ac:dyDescent="0.2">
      <c r="A1280" s="1" t="s">
        <v>19</v>
      </c>
      <c r="B1280" s="5" t="s">
        <v>109</v>
      </c>
      <c r="C1280" s="1" t="s">
        <v>37</v>
      </c>
      <c r="D1280" s="1" t="s">
        <v>132</v>
      </c>
      <c r="E1280" s="1" t="s">
        <v>35</v>
      </c>
      <c r="G1280" s="1" t="s">
        <v>131</v>
      </c>
      <c r="H1280" s="1" t="s">
        <v>130</v>
      </c>
      <c r="I1280" s="1" t="s">
        <v>154</v>
      </c>
      <c r="J1280" s="1">
        <v>2018</v>
      </c>
      <c r="P1280" s="1" t="s">
        <v>128</v>
      </c>
      <c r="Q1280" s="1" t="s">
        <v>27</v>
      </c>
      <c r="R1280" s="1" t="s">
        <v>26</v>
      </c>
      <c r="S1280" s="1" t="s">
        <v>40</v>
      </c>
      <c r="T1280" s="1" t="s">
        <v>39</v>
      </c>
      <c r="U1280" s="1">
        <v>1</v>
      </c>
      <c r="V1280" s="1" t="s">
        <v>23</v>
      </c>
      <c r="Y1280" s="3">
        <v>43463</v>
      </c>
      <c r="Z1280" s="1">
        <v>2018</v>
      </c>
      <c r="AA1280" s="2"/>
      <c r="AB1280" s="2"/>
      <c r="AC1280" s="2">
        <v>677504.65000000014</v>
      </c>
      <c r="AG1280" s="1" t="s">
        <v>21</v>
      </c>
      <c r="AI1280" s="2">
        <v>677504.65000000014</v>
      </c>
      <c r="AK1280" s="1"/>
      <c r="AL1280" s="1" t="s">
        <v>127</v>
      </c>
    </row>
    <row r="1281" spans="1:38" ht="15" customHeight="1" x14ac:dyDescent="0.2">
      <c r="A1281" s="1" t="s">
        <v>19</v>
      </c>
      <c r="B1281" s="5" t="s">
        <v>109</v>
      </c>
      <c r="C1281" s="1" t="s">
        <v>37</v>
      </c>
      <c r="D1281" s="1" t="s">
        <v>132</v>
      </c>
      <c r="E1281" s="1" t="s">
        <v>35</v>
      </c>
      <c r="G1281" s="1" t="s">
        <v>131</v>
      </c>
      <c r="H1281" s="1" t="s">
        <v>130</v>
      </c>
      <c r="I1281" s="1" t="s">
        <v>153</v>
      </c>
      <c r="J1281" s="1">
        <v>2018</v>
      </c>
      <c r="P1281" s="1" t="s">
        <v>128</v>
      </c>
      <c r="Q1281" s="1" t="s">
        <v>27</v>
      </c>
      <c r="R1281" s="1" t="s">
        <v>26</v>
      </c>
      <c r="S1281" s="1" t="s">
        <v>40</v>
      </c>
      <c r="T1281" s="1" t="s">
        <v>39</v>
      </c>
      <c r="U1281" s="1">
        <v>1</v>
      </c>
      <c r="V1281" s="1" t="s">
        <v>23</v>
      </c>
      <c r="Y1281" s="3">
        <v>43463</v>
      </c>
      <c r="Z1281" s="1">
        <v>2018</v>
      </c>
      <c r="AA1281" s="2"/>
      <c r="AB1281" s="2"/>
      <c r="AC1281" s="2">
        <v>596348.02</v>
      </c>
      <c r="AG1281" s="1" t="s">
        <v>21</v>
      </c>
      <c r="AI1281" s="2">
        <v>596348.02</v>
      </c>
      <c r="AK1281" s="1"/>
      <c r="AL1281" s="1" t="s">
        <v>127</v>
      </c>
    </row>
    <row r="1282" spans="1:38" ht="15" customHeight="1" x14ac:dyDescent="0.2">
      <c r="A1282" s="1" t="s">
        <v>19</v>
      </c>
      <c r="B1282" s="5" t="s">
        <v>109</v>
      </c>
      <c r="C1282" s="1" t="s">
        <v>37</v>
      </c>
      <c r="D1282" s="1" t="s">
        <v>132</v>
      </c>
      <c r="E1282" s="1" t="s">
        <v>35</v>
      </c>
      <c r="G1282" s="1" t="s">
        <v>131</v>
      </c>
      <c r="H1282" s="1" t="s">
        <v>130</v>
      </c>
      <c r="I1282" s="1" t="s">
        <v>152</v>
      </c>
      <c r="J1282" s="1">
        <v>2018</v>
      </c>
      <c r="P1282" s="1" t="s">
        <v>128</v>
      </c>
      <c r="Q1282" s="1" t="s">
        <v>27</v>
      </c>
      <c r="R1282" s="1" t="s">
        <v>26</v>
      </c>
      <c r="S1282" s="1" t="s">
        <v>40</v>
      </c>
      <c r="T1282" s="1" t="s">
        <v>39</v>
      </c>
      <c r="U1282" s="1">
        <v>1</v>
      </c>
      <c r="V1282" s="1" t="s">
        <v>23</v>
      </c>
      <c r="Y1282" s="3">
        <v>43463</v>
      </c>
      <c r="Z1282" s="1">
        <v>2018</v>
      </c>
      <c r="AA1282" s="2"/>
      <c r="AB1282" s="2"/>
      <c r="AC1282" s="2">
        <v>560320.42000000004</v>
      </c>
      <c r="AG1282" s="1" t="s">
        <v>21</v>
      </c>
      <c r="AI1282" s="2">
        <v>560320.42000000004</v>
      </c>
      <c r="AK1282" s="1"/>
      <c r="AL1282" s="1" t="s">
        <v>127</v>
      </c>
    </row>
    <row r="1283" spans="1:38" ht="15" customHeight="1" x14ac:dyDescent="0.25">
      <c r="A1283" s="1" t="s">
        <v>19</v>
      </c>
      <c r="B1283" s="5" t="s">
        <v>109</v>
      </c>
      <c r="C1283" s="1" t="s">
        <v>37</v>
      </c>
      <c r="D1283" s="1" t="s">
        <v>132</v>
      </c>
      <c r="E1283" s="1" t="s">
        <v>35</v>
      </c>
      <c r="G1283" s="1" t="s">
        <v>131</v>
      </c>
      <c r="H1283" s="1" t="s">
        <v>130</v>
      </c>
      <c r="I1283" s="1" t="s">
        <v>151</v>
      </c>
      <c r="J1283" s="1">
        <v>2021</v>
      </c>
      <c r="P1283" s="1" t="s">
        <v>133</v>
      </c>
      <c r="Q1283" s="1" t="s">
        <v>27</v>
      </c>
      <c r="R1283" s="1" t="s">
        <v>26</v>
      </c>
      <c r="S1283" s="10" t="s">
        <v>68</v>
      </c>
      <c r="T1283" s="1" t="s">
        <v>67</v>
      </c>
      <c r="U1283" s="1">
        <v>1</v>
      </c>
      <c r="V1283" s="1" t="s">
        <v>23</v>
      </c>
      <c r="Y1283" s="3">
        <v>44287</v>
      </c>
      <c r="Z1283" s="1">
        <v>2021</v>
      </c>
      <c r="AA1283" s="2"/>
      <c r="AB1283" s="2"/>
      <c r="AC1283" s="2">
        <v>721054.63</v>
      </c>
      <c r="AG1283" s="1" t="s">
        <v>21</v>
      </c>
      <c r="AI1283" s="2">
        <v>721054.63</v>
      </c>
      <c r="AK1283" s="1"/>
      <c r="AL1283" s="1" t="s">
        <v>127</v>
      </c>
    </row>
    <row r="1284" spans="1:38" ht="15" customHeight="1" x14ac:dyDescent="0.25">
      <c r="A1284" s="1" t="s">
        <v>19</v>
      </c>
      <c r="B1284" s="5" t="s">
        <v>109</v>
      </c>
      <c r="C1284" s="1" t="s">
        <v>37</v>
      </c>
      <c r="D1284" s="1" t="s">
        <v>132</v>
      </c>
      <c r="E1284" s="1" t="s">
        <v>35</v>
      </c>
      <c r="G1284" s="1" t="s">
        <v>131</v>
      </c>
      <c r="H1284" s="1" t="s">
        <v>130</v>
      </c>
      <c r="I1284" s="1" t="s">
        <v>150</v>
      </c>
      <c r="J1284" s="1">
        <v>2019</v>
      </c>
      <c r="P1284" s="1" t="s">
        <v>133</v>
      </c>
      <c r="Q1284" s="1" t="s">
        <v>27</v>
      </c>
      <c r="R1284" s="1" t="s">
        <v>26</v>
      </c>
      <c r="S1284" s="10" t="s">
        <v>68</v>
      </c>
      <c r="T1284" s="1" t="s">
        <v>67</v>
      </c>
      <c r="U1284" s="1">
        <v>1</v>
      </c>
      <c r="V1284" s="1" t="s">
        <v>23</v>
      </c>
      <c r="Y1284" s="3">
        <v>43466</v>
      </c>
      <c r="Z1284" s="1">
        <v>2019</v>
      </c>
      <c r="AA1284" s="2"/>
      <c r="AB1284" s="2"/>
      <c r="AC1284" s="2">
        <v>674866.24</v>
      </c>
      <c r="AG1284" s="1" t="s">
        <v>21</v>
      </c>
      <c r="AI1284" s="2">
        <v>674866.24</v>
      </c>
      <c r="AK1284" s="1"/>
      <c r="AL1284" s="1" t="s">
        <v>127</v>
      </c>
    </row>
    <row r="1285" spans="1:38" ht="15" customHeight="1" x14ac:dyDescent="0.25">
      <c r="A1285" s="1" t="s">
        <v>19</v>
      </c>
      <c r="B1285" s="5" t="s">
        <v>109</v>
      </c>
      <c r="C1285" s="1" t="s">
        <v>37</v>
      </c>
      <c r="D1285" s="1" t="s">
        <v>132</v>
      </c>
      <c r="E1285" s="1" t="s">
        <v>35</v>
      </c>
      <c r="G1285" s="1" t="s">
        <v>131</v>
      </c>
      <c r="H1285" s="1" t="s">
        <v>130</v>
      </c>
      <c r="I1285" s="1" t="s">
        <v>149</v>
      </c>
      <c r="J1285" s="1">
        <v>2019</v>
      </c>
      <c r="P1285" s="1" t="s">
        <v>133</v>
      </c>
      <c r="Q1285" s="1" t="s">
        <v>27</v>
      </c>
      <c r="R1285" s="1" t="s">
        <v>26</v>
      </c>
      <c r="S1285" s="10" t="s">
        <v>68</v>
      </c>
      <c r="T1285" s="1" t="s">
        <v>67</v>
      </c>
      <c r="U1285" s="1">
        <v>1</v>
      </c>
      <c r="V1285" s="1" t="s">
        <v>23</v>
      </c>
      <c r="Y1285" s="3">
        <v>43466</v>
      </c>
      <c r="Z1285" s="1">
        <v>2019</v>
      </c>
      <c r="AA1285" s="2"/>
      <c r="AB1285" s="2"/>
      <c r="AC1285" s="2">
        <v>570750.2699999999</v>
      </c>
      <c r="AG1285" s="1" t="s">
        <v>21</v>
      </c>
      <c r="AI1285" s="2">
        <v>570750.2699999999</v>
      </c>
      <c r="AK1285" s="1"/>
      <c r="AL1285" s="1" t="s">
        <v>127</v>
      </c>
    </row>
    <row r="1286" spans="1:38" ht="15" customHeight="1" x14ac:dyDescent="0.2">
      <c r="A1286" s="1" t="s">
        <v>19</v>
      </c>
      <c r="B1286" s="5" t="s">
        <v>109</v>
      </c>
      <c r="C1286" s="1" t="s">
        <v>37</v>
      </c>
      <c r="D1286" s="1" t="s">
        <v>132</v>
      </c>
      <c r="E1286" s="1" t="s">
        <v>35</v>
      </c>
      <c r="G1286" s="1" t="s">
        <v>131</v>
      </c>
      <c r="H1286" s="1" t="s">
        <v>130</v>
      </c>
      <c r="I1286" s="1" t="s">
        <v>148</v>
      </c>
      <c r="J1286" s="1">
        <v>2018</v>
      </c>
      <c r="P1286" s="1" t="s">
        <v>128</v>
      </c>
      <c r="Q1286" s="1" t="s">
        <v>27</v>
      </c>
      <c r="R1286" s="1" t="s">
        <v>26</v>
      </c>
      <c r="S1286" s="1" t="s">
        <v>40</v>
      </c>
      <c r="T1286" s="1" t="s">
        <v>39</v>
      </c>
      <c r="U1286" s="1">
        <v>1</v>
      </c>
      <c r="V1286" s="1" t="s">
        <v>23</v>
      </c>
      <c r="Y1286" s="3">
        <v>43463</v>
      </c>
      <c r="Z1286" s="1">
        <v>2018</v>
      </c>
      <c r="AA1286" s="2"/>
      <c r="AB1286" s="2"/>
      <c r="AC1286" s="2">
        <v>563303.91</v>
      </c>
      <c r="AG1286" s="1" t="s">
        <v>21</v>
      </c>
      <c r="AI1286" s="2">
        <v>563303.91</v>
      </c>
      <c r="AK1286" s="1"/>
      <c r="AL1286" s="1" t="s">
        <v>127</v>
      </c>
    </row>
    <row r="1287" spans="1:38" ht="15" customHeight="1" x14ac:dyDescent="0.25">
      <c r="A1287" s="1" t="s">
        <v>19</v>
      </c>
      <c r="B1287" s="5" t="s">
        <v>109</v>
      </c>
      <c r="C1287" s="1" t="s">
        <v>37</v>
      </c>
      <c r="D1287" s="1" t="s">
        <v>132</v>
      </c>
      <c r="E1287" s="1" t="s">
        <v>35</v>
      </c>
      <c r="G1287" s="1" t="s">
        <v>131</v>
      </c>
      <c r="H1287" s="1" t="s">
        <v>130</v>
      </c>
      <c r="I1287" s="1" t="s">
        <v>147</v>
      </c>
      <c r="J1287" s="1">
        <v>2019</v>
      </c>
      <c r="P1287" s="1" t="s">
        <v>133</v>
      </c>
      <c r="Q1287" s="1" t="s">
        <v>27</v>
      </c>
      <c r="R1287" s="1" t="s">
        <v>26</v>
      </c>
      <c r="S1287" s="10" t="s">
        <v>68</v>
      </c>
      <c r="T1287" s="1" t="s">
        <v>67</v>
      </c>
      <c r="U1287" s="1">
        <v>1</v>
      </c>
      <c r="V1287" s="1" t="s">
        <v>23</v>
      </c>
      <c r="Y1287" s="3">
        <v>43525</v>
      </c>
      <c r="Z1287" s="1">
        <v>2019</v>
      </c>
      <c r="AA1287" s="2"/>
      <c r="AB1287" s="2"/>
      <c r="AC1287" s="2">
        <v>810778.19</v>
      </c>
      <c r="AG1287" s="1" t="s">
        <v>21</v>
      </c>
      <c r="AI1287" s="2">
        <v>810778.19</v>
      </c>
      <c r="AK1287" s="1"/>
      <c r="AL1287" s="1" t="s">
        <v>127</v>
      </c>
    </row>
    <row r="1288" spans="1:38" ht="15" customHeight="1" x14ac:dyDescent="0.25">
      <c r="A1288" s="1" t="s">
        <v>19</v>
      </c>
      <c r="B1288" s="5" t="s">
        <v>109</v>
      </c>
      <c r="C1288" s="1" t="s">
        <v>37</v>
      </c>
      <c r="D1288" s="1" t="s">
        <v>132</v>
      </c>
      <c r="E1288" s="1" t="s">
        <v>35</v>
      </c>
      <c r="G1288" s="1" t="s">
        <v>131</v>
      </c>
      <c r="H1288" s="1" t="s">
        <v>130</v>
      </c>
      <c r="I1288" s="1" t="s">
        <v>146</v>
      </c>
      <c r="J1288" s="1">
        <v>2019</v>
      </c>
      <c r="P1288" s="1" t="s">
        <v>133</v>
      </c>
      <c r="Q1288" s="1" t="s">
        <v>27</v>
      </c>
      <c r="R1288" s="1" t="s">
        <v>26</v>
      </c>
      <c r="S1288" s="10" t="s">
        <v>68</v>
      </c>
      <c r="T1288" s="1" t="s">
        <v>67</v>
      </c>
      <c r="U1288" s="1">
        <v>1</v>
      </c>
      <c r="V1288" s="1" t="s">
        <v>23</v>
      </c>
      <c r="Y1288" s="3">
        <v>43466</v>
      </c>
      <c r="Z1288" s="1">
        <v>2019</v>
      </c>
      <c r="AA1288" s="2"/>
      <c r="AB1288" s="2"/>
      <c r="AC1288" s="2">
        <v>715397.28000000014</v>
      </c>
      <c r="AG1288" s="1" t="s">
        <v>21</v>
      </c>
      <c r="AI1288" s="2">
        <v>715397.28000000014</v>
      </c>
      <c r="AK1288" s="1"/>
      <c r="AL1288" s="1" t="s">
        <v>127</v>
      </c>
    </row>
    <row r="1289" spans="1:38" ht="15" customHeight="1" x14ac:dyDescent="0.2">
      <c r="A1289" s="1" t="s">
        <v>19</v>
      </c>
      <c r="B1289" s="5" t="s">
        <v>109</v>
      </c>
      <c r="C1289" s="1" t="s">
        <v>37</v>
      </c>
      <c r="D1289" s="1" t="s">
        <v>132</v>
      </c>
      <c r="E1289" s="1" t="s">
        <v>35</v>
      </c>
      <c r="G1289" s="1" t="s">
        <v>131</v>
      </c>
      <c r="H1289" s="1" t="s">
        <v>130</v>
      </c>
      <c r="I1289" s="1" t="s">
        <v>145</v>
      </c>
      <c r="J1289" s="1">
        <v>2018</v>
      </c>
      <c r="P1289" s="1" t="s">
        <v>128</v>
      </c>
      <c r="Q1289" s="1" t="s">
        <v>27</v>
      </c>
      <c r="R1289" s="1" t="s">
        <v>26</v>
      </c>
      <c r="S1289" s="1" t="s">
        <v>40</v>
      </c>
      <c r="T1289" s="1" t="s">
        <v>39</v>
      </c>
      <c r="U1289" s="1">
        <v>1</v>
      </c>
      <c r="V1289" s="1" t="s">
        <v>23</v>
      </c>
      <c r="Y1289" s="3">
        <v>43463</v>
      </c>
      <c r="Z1289" s="1">
        <v>2018</v>
      </c>
      <c r="AA1289" s="2"/>
      <c r="AB1289" s="2"/>
      <c r="AC1289" s="2">
        <v>678984.51999999979</v>
      </c>
      <c r="AG1289" s="1" t="s">
        <v>21</v>
      </c>
      <c r="AI1289" s="2">
        <v>678984.51999999979</v>
      </c>
      <c r="AK1289" s="1"/>
      <c r="AL1289" s="1" t="s">
        <v>127</v>
      </c>
    </row>
    <row r="1290" spans="1:38" ht="15" customHeight="1" x14ac:dyDescent="0.2">
      <c r="A1290" s="1" t="s">
        <v>19</v>
      </c>
      <c r="B1290" s="5" t="s">
        <v>109</v>
      </c>
      <c r="C1290" s="1" t="s">
        <v>37</v>
      </c>
      <c r="D1290" s="1" t="s">
        <v>132</v>
      </c>
      <c r="E1290" s="1" t="s">
        <v>35</v>
      </c>
      <c r="G1290" s="1" t="s">
        <v>135</v>
      </c>
      <c r="H1290" s="1" t="s">
        <v>130</v>
      </c>
      <c r="I1290" s="1" t="s">
        <v>144</v>
      </c>
      <c r="J1290" s="1">
        <v>2020</v>
      </c>
      <c r="P1290" s="1" t="s">
        <v>128</v>
      </c>
      <c r="Q1290" s="1" t="s">
        <v>27</v>
      </c>
      <c r="R1290" s="1" t="s">
        <v>26</v>
      </c>
      <c r="S1290" s="1" t="s">
        <v>40</v>
      </c>
      <c r="T1290" s="1" t="s">
        <v>39</v>
      </c>
      <c r="U1290" s="1">
        <v>1</v>
      </c>
      <c r="V1290" s="1" t="s">
        <v>23</v>
      </c>
      <c r="Y1290" s="3">
        <v>44005</v>
      </c>
      <c r="Z1290" s="1">
        <v>2020</v>
      </c>
      <c r="AA1290" s="2"/>
      <c r="AB1290" s="2"/>
      <c r="AC1290" s="2">
        <v>19469.95</v>
      </c>
      <c r="AG1290" s="1" t="s">
        <v>21</v>
      </c>
      <c r="AI1290" s="2">
        <v>19469.95</v>
      </c>
      <c r="AK1290" s="1"/>
    </row>
    <row r="1291" spans="1:38" ht="15" customHeight="1" x14ac:dyDescent="0.2">
      <c r="A1291" s="1" t="s">
        <v>19</v>
      </c>
      <c r="B1291" s="5" t="s">
        <v>109</v>
      </c>
      <c r="C1291" s="1" t="s">
        <v>37</v>
      </c>
      <c r="D1291" s="1" t="s">
        <v>132</v>
      </c>
      <c r="E1291" s="1" t="s">
        <v>35</v>
      </c>
      <c r="G1291" s="1" t="s">
        <v>131</v>
      </c>
      <c r="H1291" s="1" t="s">
        <v>130</v>
      </c>
      <c r="I1291" s="1" t="s">
        <v>143</v>
      </c>
      <c r="J1291" s="1">
        <v>2018</v>
      </c>
      <c r="P1291" s="1" t="s">
        <v>128</v>
      </c>
      <c r="Q1291" s="1" t="s">
        <v>27</v>
      </c>
      <c r="R1291" s="1" t="s">
        <v>26</v>
      </c>
      <c r="S1291" s="1" t="s">
        <v>40</v>
      </c>
      <c r="T1291" s="1" t="s">
        <v>39</v>
      </c>
      <c r="U1291" s="1">
        <v>1</v>
      </c>
      <c r="V1291" s="1" t="s">
        <v>23</v>
      </c>
      <c r="Y1291" s="3">
        <v>43463</v>
      </c>
      <c r="Z1291" s="1">
        <v>2018</v>
      </c>
      <c r="AA1291" s="2"/>
      <c r="AB1291" s="2"/>
      <c r="AC1291" s="2">
        <v>656541.82999999996</v>
      </c>
      <c r="AG1291" s="1" t="s">
        <v>21</v>
      </c>
      <c r="AI1291" s="2">
        <v>656541.82999999996</v>
      </c>
      <c r="AK1291" s="1"/>
      <c r="AL1291" s="1" t="s">
        <v>127</v>
      </c>
    </row>
    <row r="1292" spans="1:38" ht="15" customHeight="1" x14ac:dyDescent="0.2">
      <c r="A1292" s="1" t="s">
        <v>19</v>
      </c>
      <c r="B1292" s="5" t="s">
        <v>109</v>
      </c>
      <c r="C1292" s="1" t="s">
        <v>37</v>
      </c>
      <c r="D1292" s="1" t="s">
        <v>132</v>
      </c>
      <c r="E1292" s="1" t="s">
        <v>35</v>
      </c>
      <c r="G1292" s="1" t="s">
        <v>135</v>
      </c>
      <c r="H1292" s="1" t="s">
        <v>130</v>
      </c>
      <c r="I1292" s="1" t="s">
        <v>142</v>
      </c>
      <c r="J1292" s="1">
        <v>2020</v>
      </c>
      <c r="P1292" s="1" t="s">
        <v>128</v>
      </c>
      <c r="Q1292" s="1" t="s">
        <v>27</v>
      </c>
      <c r="R1292" s="1" t="s">
        <v>26</v>
      </c>
      <c r="S1292" s="1" t="s">
        <v>40</v>
      </c>
      <c r="T1292" s="1" t="s">
        <v>39</v>
      </c>
      <c r="U1292" s="1">
        <v>1</v>
      </c>
      <c r="V1292" s="1" t="s">
        <v>23</v>
      </c>
      <c r="Y1292" s="3">
        <v>44005</v>
      </c>
      <c r="Z1292" s="1">
        <v>2020</v>
      </c>
      <c r="AA1292" s="2"/>
      <c r="AB1292" s="2"/>
      <c r="AC1292" s="2">
        <v>13061.16</v>
      </c>
      <c r="AG1292" s="1" t="s">
        <v>21</v>
      </c>
      <c r="AI1292" s="2">
        <v>13061.16</v>
      </c>
      <c r="AK1292" s="1"/>
    </row>
    <row r="1293" spans="1:38" ht="15" customHeight="1" x14ac:dyDescent="0.2">
      <c r="A1293" s="1" t="s">
        <v>19</v>
      </c>
      <c r="B1293" s="5" t="s">
        <v>109</v>
      </c>
      <c r="C1293" s="1" t="s">
        <v>37</v>
      </c>
      <c r="D1293" s="1" t="s">
        <v>132</v>
      </c>
      <c r="E1293" s="1" t="s">
        <v>35</v>
      </c>
      <c r="G1293" s="1" t="s">
        <v>135</v>
      </c>
      <c r="H1293" s="1" t="s">
        <v>130</v>
      </c>
      <c r="I1293" s="1" t="s">
        <v>141</v>
      </c>
      <c r="J1293" s="1">
        <v>2020</v>
      </c>
      <c r="P1293" s="1" t="s">
        <v>128</v>
      </c>
      <c r="Q1293" s="1" t="s">
        <v>27</v>
      </c>
      <c r="R1293" s="1" t="s">
        <v>26</v>
      </c>
      <c r="S1293" s="1" t="s">
        <v>40</v>
      </c>
      <c r="T1293" s="1" t="s">
        <v>39</v>
      </c>
      <c r="U1293" s="1">
        <v>1</v>
      </c>
      <c r="V1293" s="1" t="s">
        <v>23</v>
      </c>
      <c r="Y1293" s="3">
        <v>44160</v>
      </c>
      <c r="Z1293" s="1">
        <v>2020</v>
      </c>
      <c r="AA1293" s="2"/>
      <c r="AB1293" s="2"/>
      <c r="AC1293" s="2">
        <v>18666.36</v>
      </c>
      <c r="AG1293" s="1" t="s">
        <v>21</v>
      </c>
      <c r="AI1293" s="2">
        <v>18666.36</v>
      </c>
      <c r="AK1293" s="1"/>
    </row>
    <row r="1294" spans="1:38" ht="15" customHeight="1" x14ac:dyDescent="0.2">
      <c r="A1294" s="1" t="s">
        <v>19</v>
      </c>
      <c r="B1294" s="5" t="s">
        <v>109</v>
      </c>
      <c r="C1294" s="1" t="s">
        <v>37</v>
      </c>
      <c r="D1294" s="1" t="s">
        <v>132</v>
      </c>
      <c r="E1294" s="1" t="s">
        <v>35</v>
      </c>
      <c r="G1294" s="1" t="s">
        <v>131</v>
      </c>
      <c r="H1294" s="1" t="s">
        <v>130</v>
      </c>
      <c r="I1294" s="1" t="s">
        <v>140</v>
      </c>
      <c r="J1294" s="1">
        <v>2018</v>
      </c>
      <c r="P1294" s="1" t="s">
        <v>128</v>
      </c>
      <c r="Q1294" s="1" t="s">
        <v>27</v>
      </c>
      <c r="R1294" s="1" t="s">
        <v>26</v>
      </c>
      <c r="S1294" s="1" t="s">
        <v>40</v>
      </c>
      <c r="T1294" s="1" t="s">
        <v>39</v>
      </c>
      <c r="U1294" s="1">
        <v>1</v>
      </c>
      <c r="V1294" s="1" t="s">
        <v>23</v>
      </c>
      <c r="Y1294" s="3">
        <v>43463</v>
      </c>
      <c r="Z1294" s="1">
        <v>2018</v>
      </c>
      <c r="AA1294" s="2"/>
      <c r="AB1294" s="2"/>
      <c r="AC1294" s="2">
        <v>319856.79000000004</v>
      </c>
      <c r="AG1294" s="1" t="s">
        <v>21</v>
      </c>
      <c r="AI1294" s="2">
        <v>319856.79000000004</v>
      </c>
      <c r="AK1294" s="1"/>
      <c r="AL1294" s="1" t="s">
        <v>127</v>
      </c>
    </row>
    <row r="1295" spans="1:38" ht="15" customHeight="1" x14ac:dyDescent="0.2">
      <c r="A1295" s="1" t="s">
        <v>19</v>
      </c>
      <c r="B1295" s="5" t="s">
        <v>109</v>
      </c>
      <c r="C1295" s="1" t="s">
        <v>37</v>
      </c>
      <c r="D1295" s="1" t="s">
        <v>132</v>
      </c>
      <c r="E1295" s="1" t="s">
        <v>35</v>
      </c>
      <c r="G1295" s="1" t="s">
        <v>131</v>
      </c>
      <c r="H1295" s="1" t="s">
        <v>130</v>
      </c>
      <c r="I1295" s="1" t="s">
        <v>139</v>
      </c>
      <c r="J1295" s="1">
        <v>2018</v>
      </c>
      <c r="P1295" s="1" t="s">
        <v>136</v>
      </c>
      <c r="Q1295" s="1" t="s">
        <v>27</v>
      </c>
      <c r="R1295" s="1" t="s">
        <v>26</v>
      </c>
      <c r="S1295" s="1" t="s">
        <v>91</v>
      </c>
      <c r="T1295" s="1" t="s">
        <v>90</v>
      </c>
      <c r="U1295" s="1">
        <v>1</v>
      </c>
      <c r="V1295" s="1" t="s">
        <v>23</v>
      </c>
      <c r="Y1295" s="3">
        <v>43465</v>
      </c>
      <c r="Z1295" s="1">
        <v>2018</v>
      </c>
      <c r="AA1295" s="2"/>
      <c r="AB1295" s="2"/>
      <c r="AC1295" s="2">
        <v>283938.3</v>
      </c>
      <c r="AG1295" s="1" t="s">
        <v>21</v>
      </c>
      <c r="AI1295" s="2">
        <v>283938.3</v>
      </c>
      <c r="AK1295" s="1"/>
      <c r="AL1295" s="1" t="s">
        <v>127</v>
      </c>
    </row>
    <row r="1296" spans="1:38" ht="15" customHeight="1" x14ac:dyDescent="0.25">
      <c r="A1296" s="1" t="s">
        <v>19</v>
      </c>
      <c r="B1296" s="5" t="s">
        <v>109</v>
      </c>
      <c r="C1296" s="1" t="s">
        <v>37</v>
      </c>
      <c r="D1296" s="1" t="s">
        <v>132</v>
      </c>
      <c r="E1296" s="1" t="s">
        <v>35</v>
      </c>
      <c r="G1296" s="1" t="s">
        <v>131</v>
      </c>
      <c r="H1296" s="1" t="s">
        <v>130</v>
      </c>
      <c r="I1296" s="1" t="s">
        <v>138</v>
      </c>
      <c r="J1296" s="1">
        <v>2019</v>
      </c>
      <c r="P1296" s="1" t="s">
        <v>133</v>
      </c>
      <c r="Q1296" s="1" t="s">
        <v>27</v>
      </c>
      <c r="R1296" s="1" t="s">
        <v>26</v>
      </c>
      <c r="S1296" s="10" t="s">
        <v>68</v>
      </c>
      <c r="T1296" s="1" t="s">
        <v>67</v>
      </c>
      <c r="U1296" s="1">
        <v>1</v>
      </c>
      <c r="V1296" s="1" t="s">
        <v>23</v>
      </c>
      <c r="Y1296" s="3">
        <v>43466</v>
      </c>
      <c r="Z1296" s="1">
        <v>2019</v>
      </c>
      <c r="AA1296" s="2"/>
      <c r="AB1296" s="2"/>
      <c r="AC1296" s="2">
        <v>604321.55000000005</v>
      </c>
      <c r="AG1296" s="1" t="s">
        <v>21</v>
      </c>
      <c r="AI1296" s="2">
        <v>604321.55000000005</v>
      </c>
      <c r="AK1296" s="1"/>
      <c r="AL1296" s="1" t="s">
        <v>127</v>
      </c>
    </row>
    <row r="1297" spans="1:38" ht="15" customHeight="1" x14ac:dyDescent="0.2">
      <c r="A1297" s="1" t="s">
        <v>19</v>
      </c>
      <c r="B1297" s="5" t="s">
        <v>109</v>
      </c>
      <c r="C1297" s="1" t="s">
        <v>37</v>
      </c>
      <c r="D1297" s="1" t="s">
        <v>132</v>
      </c>
      <c r="E1297" s="1" t="s">
        <v>35</v>
      </c>
      <c r="G1297" s="1" t="s">
        <v>131</v>
      </c>
      <c r="H1297" s="1" t="s">
        <v>130</v>
      </c>
      <c r="I1297" s="1" t="s">
        <v>137</v>
      </c>
      <c r="J1297" s="1">
        <v>2018</v>
      </c>
      <c r="P1297" s="1" t="s">
        <v>136</v>
      </c>
      <c r="Q1297" s="1" t="s">
        <v>27</v>
      </c>
      <c r="R1297" s="1" t="s">
        <v>26</v>
      </c>
      <c r="S1297" s="1" t="s">
        <v>91</v>
      </c>
      <c r="T1297" s="1" t="s">
        <v>90</v>
      </c>
      <c r="U1297" s="1">
        <v>1</v>
      </c>
      <c r="V1297" s="1" t="s">
        <v>23</v>
      </c>
      <c r="Y1297" s="3">
        <v>43461</v>
      </c>
      <c r="Z1297" s="1">
        <v>2018</v>
      </c>
      <c r="AA1297" s="2"/>
      <c r="AB1297" s="2"/>
      <c r="AC1297" s="2">
        <v>494338.66000000003</v>
      </c>
      <c r="AG1297" s="1" t="s">
        <v>21</v>
      </c>
      <c r="AI1297" s="2">
        <v>494338.66000000003</v>
      </c>
      <c r="AK1297" s="1"/>
      <c r="AL1297" s="1" t="s">
        <v>127</v>
      </c>
    </row>
    <row r="1298" spans="1:38" ht="15" customHeight="1" x14ac:dyDescent="0.25">
      <c r="A1298" s="1" t="s">
        <v>19</v>
      </c>
      <c r="B1298" s="5" t="s">
        <v>109</v>
      </c>
      <c r="C1298" s="1" t="s">
        <v>37</v>
      </c>
      <c r="D1298" s="1" t="s">
        <v>132</v>
      </c>
      <c r="E1298" s="1" t="s">
        <v>35</v>
      </c>
      <c r="G1298" s="1" t="s">
        <v>135</v>
      </c>
      <c r="H1298" s="1" t="s">
        <v>130</v>
      </c>
      <c r="I1298" s="1" t="s">
        <v>134</v>
      </c>
      <c r="J1298" s="1">
        <v>2020</v>
      </c>
      <c r="P1298" s="1" t="s">
        <v>133</v>
      </c>
      <c r="Q1298" s="1" t="s">
        <v>27</v>
      </c>
      <c r="R1298" s="1" t="s">
        <v>26</v>
      </c>
      <c r="S1298" s="10" t="s">
        <v>68</v>
      </c>
      <c r="T1298" s="1" t="s">
        <v>67</v>
      </c>
      <c r="U1298" s="1">
        <v>1</v>
      </c>
      <c r="V1298" s="1" t="s">
        <v>23</v>
      </c>
      <c r="Y1298" s="3">
        <v>44005</v>
      </c>
      <c r="Z1298" s="1">
        <v>2020</v>
      </c>
      <c r="AA1298" s="2"/>
      <c r="AB1298" s="2"/>
      <c r="AC1298" s="2">
        <v>46284.959999999999</v>
      </c>
      <c r="AG1298" s="1" t="s">
        <v>21</v>
      </c>
      <c r="AI1298" s="2">
        <v>46284.959999999999</v>
      </c>
      <c r="AK1298" s="1"/>
    </row>
    <row r="1299" spans="1:38" ht="15" customHeight="1" x14ac:dyDescent="0.2">
      <c r="A1299" s="1" t="s">
        <v>19</v>
      </c>
      <c r="B1299" s="5" t="s">
        <v>109</v>
      </c>
      <c r="C1299" s="1" t="s">
        <v>37</v>
      </c>
      <c r="D1299" s="1" t="s">
        <v>132</v>
      </c>
      <c r="E1299" s="1" t="s">
        <v>35</v>
      </c>
      <c r="G1299" s="1" t="s">
        <v>131</v>
      </c>
      <c r="H1299" s="1" t="s">
        <v>130</v>
      </c>
      <c r="I1299" s="1" t="s">
        <v>129</v>
      </c>
      <c r="J1299" s="1">
        <v>2018</v>
      </c>
      <c r="P1299" s="1" t="s">
        <v>128</v>
      </c>
      <c r="Q1299" s="1" t="s">
        <v>27</v>
      </c>
      <c r="R1299" s="1" t="s">
        <v>26</v>
      </c>
      <c r="S1299" s="1" t="s">
        <v>40</v>
      </c>
      <c r="T1299" s="1" t="s">
        <v>39</v>
      </c>
      <c r="U1299" s="1">
        <v>1</v>
      </c>
      <c r="V1299" s="1" t="s">
        <v>23</v>
      </c>
      <c r="Y1299" s="3">
        <v>43463</v>
      </c>
      <c r="Z1299" s="1">
        <v>2018</v>
      </c>
      <c r="AA1299" s="2"/>
      <c r="AB1299" s="2"/>
      <c r="AC1299" s="2">
        <v>379196.42</v>
      </c>
      <c r="AG1299" s="1" t="s">
        <v>21</v>
      </c>
      <c r="AI1299" s="2">
        <v>379196.42</v>
      </c>
      <c r="AK1299" s="1"/>
      <c r="AL1299" s="1" t="s">
        <v>127</v>
      </c>
    </row>
    <row r="1300" spans="1:38" ht="15" customHeight="1" x14ac:dyDescent="0.25">
      <c r="A1300" s="1" t="s">
        <v>19</v>
      </c>
      <c r="B1300" s="5" t="s">
        <v>18</v>
      </c>
      <c r="C1300" s="1" t="s">
        <v>37</v>
      </c>
      <c r="D1300" s="1" t="s">
        <v>63</v>
      </c>
      <c r="E1300" s="1" t="s">
        <v>35</v>
      </c>
      <c r="F1300" s="1" t="s">
        <v>62</v>
      </c>
      <c r="G1300" s="1" t="s">
        <v>61</v>
      </c>
      <c r="H1300" s="1" t="s">
        <v>60</v>
      </c>
      <c r="I1300" s="1" t="s">
        <v>126</v>
      </c>
      <c r="J1300" s="1">
        <v>2020</v>
      </c>
      <c r="K1300" s="1" t="s">
        <v>125</v>
      </c>
      <c r="L1300" s="1" t="s">
        <v>124</v>
      </c>
      <c r="M1300" s="1" t="s">
        <v>123</v>
      </c>
      <c r="N1300" s="1" t="s">
        <v>122</v>
      </c>
      <c r="P1300" s="1" t="s">
        <v>69</v>
      </c>
      <c r="Q1300" s="1" t="s">
        <v>27</v>
      </c>
      <c r="R1300" s="1" t="s">
        <v>26</v>
      </c>
      <c r="S1300" s="10" t="s">
        <v>68</v>
      </c>
      <c r="T1300" s="1" t="s">
        <v>67</v>
      </c>
      <c r="U1300" s="1">
        <v>1</v>
      </c>
      <c r="V1300" s="1" t="s">
        <v>23</v>
      </c>
      <c r="W1300" s="1" t="s">
        <v>121</v>
      </c>
      <c r="X1300" s="1" t="s">
        <v>52</v>
      </c>
      <c r="Y1300" s="3">
        <v>44127</v>
      </c>
      <c r="Z1300" s="1">
        <v>2020</v>
      </c>
      <c r="AA1300" s="2">
        <v>795000</v>
      </c>
      <c r="AB1300" s="2"/>
      <c r="AC1300" s="2">
        <v>596250</v>
      </c>
      <c r="AD1300" s="1">
        <v>0</v>
      </c>
      <c r="AF1300" s="1" t="s">
        <v>120</v>
      </c>
      <c r="AG1300" s="1" t="s">
        <v>21</v>
      </c>
      <c r="AH1300" s="1" t="s">
        <v>65</v>
      </c>
      <c r="AI1300" s="2">
        <v>529578.64</v>
      </c>
      <c r="AK1300" s="1"/>
      <c r="AL1300" s="1" t="s">
        <v>119</v>
      </c>
    </row>
    <row r="1301" spans="1:38" ht="15" customHeight="1" x14ac:dyDescent="0.2">
      <c r="A1301" s="1" t="s">
        <v>19</v>
      </c>
      <c r="B1301" s="5" t="s">
        <v>18</v>
      </c>
      <c r="C1301" s="1" t="s">
        <v>37</v>
      </c>
      <c r="D1301" s="1" t="s">
        <v>63</v>
      </c>
      <c r="E1301" s="1" t="s">
        <v>35</v>
      </c>
      <c r="F1301" s="1" t="s">
        <v>62</v>
      </c>
      <c r="G1301" s="1" t="s">
        <v>61</v>
      </c>
      <c r="H1301" s="1" t="s">
        <v>60</v>
      </c>
      <c r="I1301" s="1" t="s">
        <v>118</v>
      </c>
      <c r="J1301" s="1">
        <v>2020</v>
      </c>
      <c r="K1301" s="1" t="s">
        <v>117</v>
      </c>
      <c r="L1301" s="1" t="s">
        <v>116</v>
      </c>
      <c r="M1301" s="1" t="s">
        <v>115</v>
      </c>
      <c r="N1301" s="1" t="s">
        <v>114</v>
      </c>
      <c r="P1301" s="1" t="s">
        <v>99</v>
      </c>
      <c r="Q1301" s="1" t="s">
        <v>27</v>
      </c>
      <c r="R1301" s="1" t="s">
        <v>26</v>
      </c>
      <c r="S1301" s="1" t="s">
        <v>40</v>
      </c>
      <c r="T1301" s="1" t="s">
        <v>39</v>
      </c>
      <c r="U1301" s="1">
        <v>1</v>
      </c>
      <c r="V1301" s="1" t="s">
        <v>23</v>
      </c>
      <c r="W1301" s="1" t="s">
        <v>113</v>
      </c>
      <c r="X1301" s="1" t="s">
        <v>52</v>
      </c>
      <c r="Y1301" s="3">
        <v>44127</v>
      </c>
      <c r="Z1301" s="1">
        <v>2020</v>
      </c>
      <c r="AA1301" s="2">
        <v>668000</v>
      </c>
      <c r="AB1301" s="2"/>
      <c r="AC1301" s="2">
        <v>501000</v>
      </c>
      <c r="AD1301" s="1">
        <v>0</v>
      </c>
      <c r="AF1301" s="1">
        <v>8</v>
      </c>
      <c r="AG1301" s="1" t="s">
        <v>21</v>
      </c>
      <c r="AH1301" s="1" t="s">
        <v>65</v>
      </c>
      <c r="AI1301" s="2">
        <v>479056.2</v>
      </c>
      <c r="AK1301" s="1"/>
    </row>
    <row r="1302" spans="1:38" ht="15" customHeight="1" x14ac:dyDescent="0.2">
      <c r="A1302" s="1" t="s">
        <v>19</v>
      </c>
      <c r="B1302" s="5" t="s">
        <v>109</v>
      </c>
      <c r="C1302" s="1" t="s">
        <v>37</v>
      </c>
      <c r="D1302" s="1" t="s">
        <v>63</v>
      </c>
      <c r="E1302" s="1" t="s">
        <v>35</v>
      </c>
      <c r="F1302" s="1" t="s">
        <v>62</v>
      </c>
      <c r="G1302" s="1" t="s">
        <v>61</v>
      </c>
      <c r="H1302" s="1" t="s">
        <v>60</v>
      </c>
      <c r="I1302" s="1" t="s">
        <v>112</v>
      </c>
      <c r="J1302" s="1">
        <v>2020</v>
      </c>
      <c r="K1302" s="1" t="s">
        <v>111</v>
      </c>
      <c r="P1302" s="1" t="s">
        <v>92</v>
      </c>
      <c r="Q1302" s="1" t="s">
        <v>27</v>
      </c>
      <c r="R1302" s="1" t="s">
        <v>26</v>
      </c>
      <c r="S1302" s="1" t="s">
        <v>91</v>
      </c>
      <c r="T1302" s="1" t="s">
        <v>90</v>
      </c>
      <c r="U1302" s="1">
        <v>1</v>
      </c>
      <c r="V1302" s="1" t="s">
        <v>23</v>
      </c>
      <c r="W1302" s="1" t="s">
        <v>111</v>
      </c>
      <c r="X1302" s="1" t="s">
        <v>52</v>
      </c>
      <c r="Y1302" s="3">
        <v>44127</v>
      </c>
      <c r="Z1302" s="1">
        <v>2020</v>
      </c>
      <c r="AA1302" s="2">
        <v>258000</v>
      </c>
      <c r="AB1302" s="2"/>
      <c r="AC1302" s="2">
        <v>193500</v>
      </c>
      <c r="AD1302" s="1">
        <v>0</v>
      </c>
      <c r="AF1302" s="1">
        <v>0</v>
      </c>
      <c r="AG1302" s="1" t="s">
        <v>106</v>
      </c>
      <c r="AH1302" s="1" t="s">
        <v>105</v>
      </c>
      <c r="AI1302" s="2">
        <v>0</v>
      </c>
      <c r="AK1302" s="1"/>
      <c r="AL1302" s="1" t="s">
        <v>110</v>
      </c>
    </row>
    <row r="1303" spans="1:38" ht="15" customHeight="1" x14ac:dyDescent="0.2">
      <c r="A1303" s="1" t="s">
        <v>19</v>
      </c>
      <c r="B1303" s="5" t="s">
        <v>109</v>
      </c>
      <c r="C1303" s="1" t="s">
        <v>37</v>
      </c>
      <c r="D1303" s="1" t="s">
        <v>63</v>
      </c>
      <c r="E1303" s="1" t="s">
        <v>35</v>
      </c>
      <c r="F1303" s="1" t="s">
        <v>62</v>
      </c>
      <c r="G1303" s="1" t="s">
        <v>61</v>
      </c>
      <c r="H1303" s="1" t="s">
        <v>60</v>
      </c>
      <c r="I1303" s="1" t="s">
        <v>108</v>
      </c>
      <c r="J1303" s="1">
        <v>2020</v>
      </c>
      <c r="K1303" s="1" t="s">
        <v>107</v>
      </c>
      <c r="P1303" s="1" t="s">
        <v>92</v>
      </c>
      <c r="Q1303" s="1" t="s">
        <v>27</v>
      </c>
      <c r="R1303" s="1" t="s">
        <v>26</v>
      </c>
      <c r="S1303" s="1" t="s">
        <v>91</v>
      </c>
      <c r="T1303" s="1" t="s">
        <v>90</v>
      </c>
      <c r="U1303" s="1">
        <v>1</v>
      </c>
      <c r="V1303" s="1" t="s">
        <v>23</v>
      </c>
      <c r="W1303" s="1" t="s">
        <v>107</v>
      </c>
      <c r="X1303" s="1" t="s">
        <v>52</v>
      </c>
      <c r="Y1303" s="3">
        <v>44127</v>
      </c>
      <c r="Z1303" s="1">
        <v>2020</v>
      </c>
      <c r="AA1303" s="2">
        <v>92000</v>
      </c>
      <c r="AB1303" s="2"/>
      <c r="AC1303" s="2">
        <v>69000</v>
      </c>
      <c r="AD1303" s="1">
        <v>0</v>
      </c>
      <c r="AF1303" s="1">
        <v>0</v>
      </c>
      <c r="AG1303" s="1" t="s">
        <v>106</v>
      </c>
      <c r="AH1303" s="1" t="s">
        <v>105</v>
      </c>
      <c r="AI1303" s="2">
        <v>0</v>
      </c>
      <c r="AK1303" s="1"/>
    </row>
    <row r="1304" spans="1:38" ht="15" customHeight="1" x14ac:dyDescent="0.2">
      <c r="A1304" s="1" t="s">
        <v>19</v>
      </c>
      <c r="B1304" s="5" t="s">
        <v>18</v>
      </c>
      <c r="C1304" s="1" t="s">
        <v>37</v>
      </c>
      <c r="D1304" s="1" t="s">
        <v>63</v>
      </c>
      <c r="E1304" s="1" t="s">
        <v>35</v>
      </c>
      <c r="F1304" s="1" t="s">
        <v>62</v>
      </c>
      <c r="G1304" s="1" t="s">
        <v>61</v>
      </c>
      <c r="H1304" s="1" t="s">
        <v>60</v>
      </c>
      <c r="I1304" s="1" t="s">
        <v>104</v>
      </c>
      <c r="J1304" s="1">
        <v>2020</v>
      </c>
      <c r="K1304" s="1" t="s">
        <v>103</v>
      </c>
      <c r="L1304" s="1" t="s">
        <v>102</v>
      </c>
      <c r="M1304" s="1" t="s">
        <v>101</v>
      </c>
      <c r="N1304" s="1" t="s">
        <v>100</v>
      </c>
      <c r="P1304" s="1" t="s">
        <v>99</v>
      </c>
      <c r="Q1304" s="1" t="s">
        <v>27</v>
      </c>
      <c r="R1304" s="1" t="s">
        <v>26</v>
      </c>
      <c r="S1304" s="1" t="s">
        <v>40</v>
      </c>
      <c r="T1304" s="1" t="s">
        <v>39</v>
      </c>
      <c r="U1304" s="1">
        <v>1</v>
      </c>
      <c r="V1304" s="1" t="s">
        <v>23</v>
      </c>
      <c r="W1304" s="1" t="s">
        <v>98</v>
      </c>
      <c r="X1304" s="1" t="s">
        <v>52</v>
      </c>
      <c r="Y1304" s="3">
        <v>44127</v>
      </c>
      <c r="Z1304" s="1">
        <v>2020</v>
      </c>
      <c r="AA1304" s="2">
        <v>150000</v>
      </c>
      <c r="AB1304" s="2"/>
      <c r="AC1304" s="2">
        <v>112500</v>
      </c>
      <c r="AD1304" s="1">
        <v>0</v>
      </c>
      <c r="AF1304" s="1">
        <v>9</v>
      </c>
      <c r="AG1304" s="1" t="s">
        <v>21</v>
      </c>
      <c r="AH1304" s="1" t="s">
        <v>51</v>
      </c>
      <c r="AI1304" s="2">
        <v>112500</v>
      </c>
      <c r="AK1304" s="1"/>
      <c r="AL1304" s="1" t="s">
        <v>97</v>
      </c>
    </row>
    <row r="1305" spans="1:38" ht="15" customHeight="1" x14ac:dyDescent="0.2">
      <c r="A1305" s="1" t="s">
        <v>19</v>
      </c>
      <c r="B1305" s="5" t="s">
        <v>18</v>
      </c>
      <c r="C1305" s="1" t="s">
        <v>37</v>
      </c>
      <c r="D1305" s="1" t="s">
        <v>63</v>
      </c>
      <c r="E1305" s="1" t="s">
        <v>35</v>
      </c>
      <c r="F1305" s="1" t="s">
        <v>62</v>
      </c>
      <c r="G1305" s="1" t="s">
        <v>61</v>
      </c>
      <c r="H1305" s="1" t="s">
        <v>60</v>
      </c>
      <c r="I1305" s="1" t="s">
        <v>96</v>
      </c>
      <c r="J1305" s="1">
        <v>2020</v>
      </c>
      <c r="K1305" s="1" t="s">
        <v>95</v>
      </c>
      <c r="L1305" s="1" t="s">
        <v>94</v>
      </c>
      <c r="N1305" s="1" t="s">
        <v>93</v>
      </c>
      <c r="P1305" s="1" t="s">
        <v>92</v>
      </c>
      <c r="Q1305" s="1" t="s">
        <v>27</v>
      </c>
      <c r="R1305" s="1" t="s">
        <v>26</v>
      </c>
      <c r="S1305" s="1" t="s">
        <v>91</v>
      </c>
      <c r="T1305" s="1" t="s">
        <v>90</v>
      </c>
      <c r="U1305" s="1">
        <v>1</v>
      </c>
      <c r="V1305" s="1" t="s">
        <v>23</v>
      </c>
      <c r="W1305" s="1" t="s">
        <v>89</v>
      </c>
      <c r="Y1305" s="3">
        <v>44127</v>
      </c>
      <c r="Z1305" s="1">
        <v>2020</v>
      </c>
      <c r="AA1305" s="2">
        <v>1436000</v>
      </c>
      <c r="AB1305" s="2"/>
      <c r="AC1305" s="2">
        <v>1077000</v>
      </c>
      <c r="AD1305" s="1">
        <v>20</v>
      </c>
      <c r="AF1305" s="1">
        <v>0</v>
      </c>
      <c r="AG1305" s="1" t="s">
        <v>21</v>
      </c>
      <c r="AH1305" s="1" t="s">
        <v>51</v>
      </c>
      <c r="AI1305" s="2">
        <v>1077000</v>
      </c>
      <c r="AK1305" s="1"/>
      <c r="AL1305" s="1" t="s">
        <v>88</v>
      </c>
    </row>
    <row r="1306" spans="1:38" ht="15" customHeight="1" x14ac:dyDescent="0.2">
      <c r="A1306" s="1" t="s">
        <v>19</v>
      </c>
      <c r="B1306" s="5" t="s">
        <v>18</v>
      </c>
      <c r="C1306" s="1" t="s">
        <v>37</v>
      </c>
      <c r="D1306" s="1" t="s">
        <v>63</v>
      </c>
      <c r="E1306" s="1" t="s">
        <v>35</v>
      </c>
      <c r="F1306" s="1" t="s">
        <v>62</v>
      </c>
      <c r="G1306" s="1" t="s">
        <v>61</v>
      </c>
      <c r="H1306" s="1" t="s">
        <v>60</v>
      </c>
      <c r="I1306" s="1" t="s">
        <v>87</v>
      </c>
      <c r="J1306" s="1">
        <v>2020</v>
      </c>
      <c r="K1306" s="1" t="s">
        <v>86</v>
      </c>
      <c r="L1306" s="1" t="s">
        <v>85</v>
      </c>
      <c r="N1306" s="1" t="s">
        <v>84</v>
      </c>
      <c r="P1306" s="1" t="s">
        <v>83</v>
      </c>
      <c r="Q1306" s="1" t="s">
        <v>27</v>
      </c>
      <c r="R1306" s="1" t="s">
        <v>26</v>
      </c>
      <c r="S1306" s="1" t="s">
        <v>25</v>
      </c>
      <c r="T1306" s="1" t="s">
        <v>24</v>
      </c>
      <c r="U1306" s="1">
        <v>1</v>
      </c>
      <c r="V1306" s="1" t="s">
        <v>23</v>
      </c>
      <c r="W1306" s="1" t="s">
        <v>82</v>
      </c>
      <c r="X1306" s="1" t="s">
        <v>52</v>
      </c>
      <c r="Y1306" s="3">
        <v>44127</v>
      </c>
      <c r="Z1306" s="1">
        <v>2020</v>
      </c>
      <c r="AA1306" s="2">
        <v>500000</v>
      </c>
      <c r="AB1306" s="2"/>
      <c r="AC1306" s="2">
        <v>375000</v>
      </c>
      <c r="AD1306" s="1">
        <v>1</v>
      </c>
      <c r="AF1306" s="1">
        <v>11</v>
      </c>
      <c r="AG1306" s="1" t="s">
        <v>21</v>
      </c>
      <c r="AH1306" s="1" t="s">
        <v>51</v>
      </c>
      <c r="AI1306" s="2">
        <v>375000</v>
      </c>
      <c r="AK1306" s="1"/>
      <c r="AL1306" s="1" t="s">
        <v>81</v>
      </c>
    </row>
    <row r="1307" spans="1:38" ht="15" customHeight="1" x14ac:dyDescent="0.25">
      <c r="A1307" s="1" t="s">
        <v>19</v>
      </c>
      <c r="B1307" s="5" t="s">
        <v>18</v>
      </c>
      <c r="C1307" s="1" t="s">
        <v>37</v>
      </c>
      <c r="D1307" s="1" t="s">
        <v>63</v>
      </c>
      <c r="E1307" s="1" t="s">
        <v>35</v>
      </c>
      <c r="F1307" s="1" t="s">
        <v>62</v>
      </c>
      <c r="G1307" s="1" t="s">
        <v>61</v>
      </c>
      <c r="H1307" s="1" t="s">
        <v>60</v>
      </c>
      <c r="I1307" s="1" t="s">
        <v>80</v>
      </c>
      <c r="J1307" s="1">
        <v>2020</v>
      </c>
      <c r="K1307" s="1" t="s">
        <v>79</v>
      </c>
      <c r="L1307" s="1" t="s">
        <v>78</v>
      </c>
      <c r="M1307" s="1" t="s">
        <v>77</v>
      </c>
      <c r="N1307" s="1" t="s">
        <v>76</v>
      </c>
      <c r="P1307" s="1" t="s">
        <v>69</v>
      </c>
      <c r="Q1307" s="1" t="s">
        <v>27</v>
      </c>
      <c r="R1307" s="1" t="s">
        <v>26</v>
      </c>
      <c r="S1307" s="10" t="s">
        <v>68</v>
      </c>
      <c r="T1307" s="1" t="s">
        <v>67</v>
      </c>
      <c r="U1307" s="1">
        <v>1</v>
      </c>
      <c r="V1307" s="1" t="s">
        <v>23</v>
      </c>
      <c r="W1307" s="1" t="s">
        <v>75</v>
      </c>
      <c r="X1307" s="1" t="s">
        <v>52</v>
      </c>
      <c r="Y1307" s="3">
        <v>44127</v>
      </c>
      <c r="Z1307" s="1">
        <v>2020</v>
      </c>
      <c r="AA1307" s="2">
        <v>55000</v>
      </c>
      <c r="AB1307" s="2"/>
      <c r="AC1307" s="2">
        <v>41250</v>
      </c>
      <c r="AD1307" s="1">
        <v>0</v>
      </c>
      <c r="AF1307" s="1">
        <v>0</v>
      </c>
      <c r="AG1307" s="1" t="s">
        <v>21</v>
      </c>
      <c r="AH1307" s="1" t="s">
        <v>65</v>
      </c>
      <c r="AI1307" s="2">
        <v>29135.33</v>
      </c>
      <c r="AK1307" s="1"/>
      <c r="AL1307" s="1" t="s">
        <v>74</v>
      </c>
    </row>
    <row r="1308" spans="1:38" ht="15" customHeight="1" x14ac:dyDescent="0.25">
      <c r="A1308" s="1" t="s">
        <v>19</v>
      </c>
      <c r="B1308" s="5" t="s">
        <v>18</v>
      </c>
      <c r="C1308" s="1" t="s">
        <v>37</v>
      </c>
      <c r="D1308" s="1" t="s">
        <v>63</v>
      </c>
      <c r="E1308" s="1" t="s">
        <v>35</v>
      </c>
      <c r="F1308" s="1" t="s">
        <v>62</v>
      </c>
      <c r="G1308" s="1" t="s">
        <v>61</v>
      </c>
      <c r="H1308" s="1" t="s">
        <v>60</v>
      </c>
      <c r="I1308" s="1" t="s">
        <v>73</v>
      </c>
      <c r="J1308" s="1">
        <v>2020</v>
      </c>
      <c r="K1308" s="1" t="s">
        <v>72</v>
      </c>
      <c r="L1308" s="1" t="s">
        <v>71</v>
      </c>
      <c r="N1308" s="1" t="s">
        <v>70</v>
      </c>
      <c r="P1308" s="1" t="s">
        <v>69</v>
      </c>
      <c r="Q1308" s="1" t="s">
        <v>27</v>
      </c>
      <c r="R1308" s="1" t="s">
        <v>26</v>
      </c>
      <c r="S1308" s="10" t="s">
        <v>68</v>
      </c>
      <c r="T1308" s="1" t="s">
        <v>67</v>
      </c>
      <c r="U1308" s="1">
        <v>1</v>
      </c>
      <c r="V1308" s="1" t="s">
        <v>23</v>
      </c>
      <c r="W1308" s="1" t="s">
        <v>66</v>
      </c>
      <c r="X1308" s="1" t="s">
        <v>52</v>
      </c>
      <c r="Y1308" s="3">
        <v>44127</v>
      </c>
      <c r="Z1308" s="1">
        <v>2020</v>
      </c>
      <c r="AA1308" s="2">
        <v>21000</v>
      </c>
      <c r="AB1308" s="2"/>
      <c r="AC1308" s="2">
        <v>15750</v>
      </c>
      <c r="AD1308" s="1">
        <v>0</v>
      </c>
      <c r="AF1308" s="1">
        <v>0</v>
      </c>
      <c r="AG1308" s="1" t="s">
        <v>21</v>
      </c>
      <c r="AH1308" s="1" t="s">
        <v>65</v>
      </c>
      <c r="AI1308" s="2">
        <v>13379.95</v>
      </c>
      <c r="AK1308" s="1"/>
      <c r="AL1308" s="1" t="s">
        <v>64</v>
      </c>
    </row>
    <row r="1309" spans="1:38" ht="15" customHeight="1" x14ac:dyDescent="0.2">
      <c r="A1309" s="1" t="s">
        <v>19</v>
      </c>
      <c r="B1309" s="5" t="s">
        <v>18</v>
      </c>
      <c r="C1309" s="1" t="s">
        <v>37</v>
      </c>
      <c r="D1309" s="1" t="s">
        <v>63</v>
      </c>
      <c r="E1309" s="1" t="s">
        <v>35</v>
      </c>
      <c r="F1309" s="1" t="s">
        <v>62</v>
      </c>
      <c r="G1309" s="1" t="s">
        <v>61</v>
      </c>
      <c r="H1309" s="1" t="s">
        <v>60</v>
      </c>
      <c r="I1309" s="1" t="s">
        <v>59</v>
      </c>
      <c r="J1309" s="1">
        <v>2020</v>
      </c>
      <c r="K1309" s="1" t="s">
        <v>58</v>
      </c>
      <c r="L1309" s="1" t="s">
        <v>57</v>
      </c>
      <c r="M1309" s="1" t="s">
        <v>56</v>
      </c>
      <c r="N1309" s="1" t="s">
        <v>55</v>
      </c>
      <c r="P1309" s="1" t="s">
        <v>54</v>
      </c>
      <c r="Q1309" s="1" t="s">
        <v>27</v>
      </c>
      <c r="R1309" s="1" t="s">
        <v>26</v>
      </c>
      <c r="S1309" s="1" t="s">
        <v>40</v>
      </c>
      <c r="T1309" s="1" t="s">
        <v>39</v>
      </c>
      <c r="U1309" s="1">
        <v>1</v>
      </c>
      <c r="V1309" s="1" t="s">
        <v>23</v>
      </c>
      <c r="W1309" s="1" t="s">
        <v>53</v>
      </c>
      <c r="X1309" s="1" t="s">
        <v>52</v>
      </c>
      <c r="Y1309" s="3">
        <v>44127</v>
      </c>
      <c r="Z1309" s="1">
        <v>2020</v>
      </c>
      <c r="AA1309" s="2">
        <v>300000</v>
      </c>
      <c r="AB1309" s="2"/>
      <c r="AC1309" s="2">
        <v>225000</v>
      </c>
      <c r="AD1309" s="1">
        <v>0</v>
      </c>
      <c r="AF1309" s="1">
        <v>10</v>
      </c>
      <c r="AG1309" s="1" t="s">
        <v>21</v>
      </c>
      <c r="AH1309" s="1" t="s">
        <v>51</v>
      </c>
      <c r="AI1309" s="2">
        <v>225000</v>
      </c>
      <c r="AK1309" s="1"/>
      <c r="AL1309" s="1" t="s">
        <v>50</v>
      </c>
    </row>
    <row r="1310" spans="1:38" ht="15" customHeight="1" x14ac:dyDescent="0.2">
      <c r="A1310" s="1" t="s">
        <v>19</v>
      </c>
      <c r="B1310" s="5" t="s">
        <v>18</v>
      </c>
      <c r="C1310" s="1" t="s">
        <v>37</v>
      </c>
      <c r="D1310" s="1" t="s">
        <v>36</v>
      </c>
      <c r="E1310" s="1" t="s">
        <v>35</v>
      </c>
      <c r="F1310" s="1" t="s">
        <v>34</v>
      </c>
      <c r="G1310" s="1" t="s">
        <v>33</v>
      </c>
      <c r="H1310" s="1" t="s">
        <v>32</v>
      </c>
      <c r="I1310" s="1" t="s">
        <v>49</v>
      </c>
      <c r="J1310" s="1">
        <v>2021</v>
      </c>
      <c r="K1310" s="1" t="s">
        <v>48</v>
      </c>
      <c r="L1310" s="1" t="s">
        <v>47</v>
      </c>
      <c r="P1310" s="1" t="s">
        <v>28</v>
      </c>
      <c r="Q1310" s="1" t="s">
        <v>27</v>
      </c>
      <c r="R1310" s="1" t="s">
        <v>26</v>
      </c>
      <c r="S1310" s="1" t="s">
        <v>46</v>
      </c>
      <c r="T1310" s="1" t="s">
        <v>45</v>
      </c>
      <c r="U1310" s="1">
        <v>1</v>
      </c>
      <c r="V1310" s="1" t="s">
        <v>23</v>
      </c>
      <c r="W1310" s="1" t="s">
        <v>44</v>
      </c>
      <c r="Y1310" s="3">
        <v>44552</v>
      </c>
      <c r="Z1310" s="1">
        <v>2021</v>
      </c>
      <c r="AA1310" s="2">
        <v>6998137.2400000002</v>
      </c>
      <c r="AB1310" s="2"/>
      <c r="AC1310" s="2">
        <v>6535247.5300000003</v>
      </c>
      <c r="AF1310" s="1">
        <v>15</v>
      </c>
      <c r="AG1310" s="1" t="s">
        <v>21</v>
      </c>
      <c r="AI1310" s="2">
        <v>6535247.5300000003</v>
      </c>
      <c r="AJ1310" s="1">
        <v>77</v>
      </c>
      <c r="AK1310" s="1" t="s">
        <v>20</v>
      </c>
    </row>
    <row r="1311" spans="1:38" ht="15" customHeight="1" x14ac:dyDescent="0.2">
      <c r="A1311" s="1" t="s">
        <v>19</v>
      </c>
      <c r="B1311" s="5" t="s">
        <v>18</v>
      </c>
      <c r="C1311" s="1" t="s">
        <v>37</v>
      </c>
      <c r="D1311" s="1" t="s">
        <v>36</v>
      </c>
      <c r="E1311" s="1" t="s">
        <v>35</v>
      </c>
      <c r="F1311" s="1" t="s">
        <v>34</v>
      </c>
      <c r="G1311" s="1" t="s">
        <v>33</v>
      </c>
      <c r="H1311" s="1" t="s">
        <v>32</v>
      </c>
      <c r="I1311" s="1" t="s">
        <v>43</v>
      </c>
      <c r="J1311" s="1">
        <v>2021</v>
      </c>
      <c r="K1311" s="1" t="s">
        <v>42</v>
      </c>
      <c r="L1311" s="1" t="s">
        <v>41</v>
      </c>
      <c r="P1311" s="1" t="s">
        <v>28</v>
      </c>
      <c r="Q1311" s="1" t="s">
        <v>27</v>
      </c>
      <c r="R1311" s="1" t="s">
        <v>26</v>
      </c>
      <c r="S1311" s="1" t="s">
        <v>40</v>
      </c>
      <c r="T1311" s="1" t="s">
        <v>39</v>
      </c>
      <c r="U1311" s="1">
        <v>1</v>
      </c>
      <c r="V1311" s="1" t="s">
        <v>23</v>
      </c>
      <c r="W1311" s="1" t="s">
        <v>38</v>
      </c>
      <c r="Y1311" s="3">
        <v>44552</v>
      </c>
      <c r="Z1311" s="1">
        <v>2021</v>
      </c>
      <c r="AA1311" s="2">
        <v>27229679.609999999</v>
      </c>
      <c r="AB1311" s="2"/>
      <c r="AC1311" s="2">
        <v>23627099.390000001</v>
      </c>
      <c r="AF1311" s="1">
        <v>61</v>
      </c>
      <c r="AG1311" s="1" t="s">
        <v>21</v>
      </c>
      <c r="AI1311" s="2">
        <v>23627099.390000001</v>
      </c>
      <c r="AJ1311" s="1">
        <v>660</v>
      </c>
      <c r="AK1311" s="1" t="s">
        <v>20</v>
      </c>
    </row>
    <row r="1312" spans="1:38" ht="15" customHeight="1" x14ac:dyDescent="0.2">
      <c r="A1312" s="1" t="s">
        <v>19</v>
      </c>
      <c r="B1312" s="5" t="s">
        <v>18</v>
      </c>
      <c r="C1312" s="1" t="s">
        <v>37</v>
      </c>
      <c r="D1312" s="1" t="s">
        <v>36</v>
      </c>
      <c r="E1312" s="1" t="s">
        <v>35</v>
      </c>
      <c r="F1312" s="1" t="s">
        <v>34</v>
      </c>
      <c r="G1312" s="1" t="s">
        <v>33</v>
      </c>
      <c r="H1312" s="1" t="s">
        <v>32</v>
      </c>
      <c r="I1312" s="1" t="s">
        <v>31</v>
      </c>
      <c r="J1312" s="1">
        <v>2021</v>
      </c>
      <c r="K1312" s="1" t="s">
        <v>30</v>
      </c>
      <c r="L1312" s="1" t="s">
        <v>29</v>
      </c>
      <c r="P1312" s="1" t="s">
        <v>28</v>
      </c>
      <c r="Q1312" s="1" t="s">
        <v>27</v>
      </c>
      <c r="R1312" s="1" t="s">
        <v>26</v>
      </c>
      <c r="S1312" s="1" t="s">
        <v>25</v>
      </c>
      <c r="T1312" s="1" t="s">
        <v>24</v>
      </c>
      <c r="U1312" s="1">
        <v>1</v>
      </c>
      <c r="V1312" s="1" t="s">
        <v>23</v>
      </c>
      <c r="W1312" s="1" t="s">
        <v>22</v>
      </c>
      <c r="Y1312" s="3">
        <v>44552</v>
      </c>
      <c r="Z1312" s="1">
        <v>2021</v>
      </c>
      <c r="AA1312" s="2">
        <v>48687024.190000005</v>
      </c>
      <c r="AB1312" s="2"/>
      <c r="AC1312" s="2">
        <v>43532460.289999999</v>
      </c>
      <c r="AF1312" s="1">
        <v>74</v>
      </c>
      <c r="AG1312" s="1" t="s">
        <v>21</v>
      </c>
      <c r="AI1312" s="2">
        <v>43532460.289999999</v>
      </c>
      <c r="AJ1312" s="1">
        <v>430</v>
      </c>
      <c r="AK1312" s="1" t="s">
        <v>20</v>
      </c>
    </row>
    <row r="1313" spans="1:38" ht="15" customHeight="1" x14ac:dyDescent="0.2">
      <c r="A1313" s="1" t="s">
        <v>19</v>
      </c>
      <c r="B1313" s="5" t="s">
        <v>18</v>
      </c>
      <c r="C1313" s="1" t="s">
        <v>17</v>
      </c>
      <c r="D1313" s="1" t="s">
        <v>16</v>
      </c>
      <c r="E1313" s="1" t="s">
        <v>15</v>
      </c>
      <c r="F1313" s="1" t="s">
        <v>14</v>
      </c>
      <c r="G1313" s="1" t="s">
        <v>13</v>
      </c>
      <c r="H1313" s="1" t="s">
        <v>12</v>
      </c>
      <c r="I1313" s="1" t="s">
        <v>11</v>
      </c>
      <c r="J1313" s="1">
        <v>2022</v>
      </c>
      <c r="K1313" s="1" t="s">
        <v>3</v>
      </c>
      <c r="L1313" s="1" t="s">
        <v>3</v>
      </c>
      <c r="N1313" s="1" t="s">
        <v>10</v>
      </c>
      <c r="P1313" s="1" t="s">
        <v>9</v>
      </c>
      <c r="Q1313" s="1" t="s">
        <v>8</v>
      </c>
      <c r="R1313" s="1" t="s">
        <v>7</v>
      </c>
      <c r="S1313" s="9" t="s">
        <v>6</v>
      </c>
      <c r="T1313" s="1" t="s">
        <v>5</v>
      </c>
      <c r="V1313" s="1" t="s">
        <v>4</v>
      </c>
      <c r="W1313" s="1" t="s">
        <v>3</v>
      </c>
      <c r="X1313" s="1" t="s">
        <v>2</v>
      </c>
      <c r="Y1313" s="3">
        <v>45208</v>
      </c>
      <c r="Z1313" s="1">
        <v>2023</v>
      </c>
      <c r="AA1313" s="2">
        <v>700000</v>
      </c>
      <c r="AB1313" s="2" t="s">
        <v>0</v>
      </c>
      <c r="AC1313" s="2">
        <v>560000</v>
      </c>
      <c r="AD1313" s="1" t="s">
        <v>0</v>
      </c>
      <c r="AF1313" s="1" t="s">
        <v>0</v>
      </c>
      <c r="AG1313" s="1" t="s">
        <v>1</v>
      </c>
      <c r="AH1313" s="1" t="s">
        <v>0</v>
      </c>
      <c r="AI1313" s="2">
        <v>560000</v>
      </c>
      <c r="AK1313" s="1"/>
    </row>
    <row r="1314" spans="1:38" ht="15" customHeight="1" x14ac:dyDescent="0.2">
      <c r="I1314" s="1" cm="1">
        <f t="array" aca="1" ref="I1314" ca="1">SUMPRODUCT((Tabla16[Ref. Proyecto]&lt;&gt;"")*(SUBTOTAL(103, OFFSET(Tabla16[Ref. Proyecto],ROW(Tabla16[Ref. Proyecto])-MIN(ROW(Tabla16[Ref. Proyecto])),0,1)))*(1 / COUNTIF(Tabla16[Ref. Proyecto],Tabla16[Ref. Proyecto])))</f>
        <v>1283</v>
      </c>
      <c r="S1314" s="1">
        <f>SUBTOTAL(103,Tabla16[Municipio])</f>
        <v>1312</v>
      </c>
      <c r="W1314" s="2"/>
      <c r="X1314" s="2"/>
      <c r="Y1314" s="8">
        <f>SUBTOTAL(103,Tabla16[Fecha RD])</f>
        <v>1304</v>
      </c>
      <c r="Z1314" s="8">
        <f>SUBTOTAL(103,Tabla16[Año RD])</f>
        <v>1312</v>
      </c>
      <c r="AA1314" s="2">
        <f>SUBTOTAL(109,Tabla16[Inversión subvencionable])</f>
        <v>5955951600.8813086</v>
      </c>
      <c r="AB1314" s="2">
        <f>SUBTOTAL(109,Tabla16[Prestamo concedido])</f>
        <v>0</v>
      </c>
      <c r="AC1314" s="2" t="e">
        <f>SUBTOTAL(109,Tabla16[Subvención aprobada])</f>
        <v>#REF!</v>
      </c>
      <c r="AD1314" s="2">
        <f>SUBTOTAL(109,Tabla16[Empleo a crear (operación)])</f>
        <v>7354.0599999999986</v>
      </c>
      <c r="AE1314" s="2">
        <f>SUBTOTAL(109,Tabla16[[Empleo femenino ]])</f>
        <v>1170.44</v>
      </c>
      <c r="AF1314" s="1">
        <f>SUBTOTAL(109,Tabla16[Empleo en ejecución (construción)])</f>
        <v>1043</v>
      </c>
      <c r="AG1314" s="1">
        <f>SUBTOTAL(109,Tabla16[Situación del Proyecto])</f>
        <v>0</v>
      </c>
      <c r="AH1314" s="1">
        <f>SUBTOTAL(109,Tabla16[[Motivo ]])</f>
        <v>0</v>
      </c>
      <c r="AI1314" s="2">
        <f>SUBTOTAL(109,Tabla16[Ayuda actual])</f>
        <v>2143243027.9066074</v>
      </c>
      <c r="AJ1314" s="2">
        <f>SUBTOTAL(109,Tabla16[Superficie (Ha) restaurada])</f>
        <v>3744.1799999999994</v>
      </c>
      <c r="AK1314" s="2">
        <f>SUBTOTAL(109,Tabla16[Objetivo del proyecto])</f>
        <v>162</v>
      </c>
      <c r="AL1314" s="2"/>
    </row>
    <row r="1315" spans="1:38" ht="15" customHeight="1" x14ac:dyDescent="0.2">
      <c r="I1315" s="7">
        <f>SUBTOTAL(103,Tabla16[Ref. Proyecto])</f>
        <v>1312</v>
      </c>
      <c r="J1315" s="7"/>
      <c r="AD1315" s="3"/>
      <c r="AE1315" s="3"/>
    </row>
    <row r="1316" spans="1:38" ht="15" customHeight="1" x14ac:dyDescent="0.25">
      <c r="AB1316" s="3"/>
      <c r="AD1316" s="3"/>
    </row>
    <row r="1317" spans="1:38" ht="15" customHeight="1" x14ac:dyDescent="0.25">
      <c r="AB1317" s="3"/>
      <c r="AD1317" s="3"/>
    </row>
    <row r="1318" spans="1:38" ht="15" customHeight="1" x14ac:dyDescent="0.2">
      <c r="I1318" s="1"/>
      <c r="AB1318" s="3"/>
      <c r="AD1318" s="3"/>
    </row>
    <row r="1319" spans="1:38" ht="15" customHeight="1" x14ac:dyDescent="0.2">
      <c r="I1319" s="1"/>
      <c r="AB1319" s="3"/>
      <c r="AD1319" s="3"/>
    </row>
    <row r="1320" spans="1:38" ht="15" customHeight="1" x14ac:dyDescent="0.2">
      <c r="I1320" s="1"/>
    </row>
    <row r="1321" spans="1:38" ht="15" customHeight="1" x14ac:dyDescent="0.2">
      <c r="I1321" s="1"/>
    </row>
    <row r="1322" spans="1:38" ht="15" customHeight="1" x14ac:dyDescent="0.2">
      <c r="I1322" s="1"/>
    </row>
    <row r="1323" spans="1:38" ht="15" customHeight="1" x14ac:dyDescent="0.2">
      <c r="F1323" s="65"/>
      <c r="G1323" s="6"/>
      <c r="I1323" s="1"/>
    </row>
    <row r="1324" spans="1:38" ht="15" customHeight="1" x14ac:dyDescent="0.2">
      <c r="F1324" s="65"/>
      <c r="G1324" s="6"/>
      <c r="I1324" s="1"/>
    </row>
    <row r="1325" spans="1:38" ht="15" customHeight="1" x14ac:dyDescent="0.2">
      <c r="F1325" s="65"/>
      <c r="G1325" s="6"/>
      <c r="I1325" s="1"/>
    </row>
    <row r="1326" spans="1:38" ht="15" customHeight="1" x14ac:dyDescent="0.2">
      <c r="F1326" s="65"/>
      <c r="G1326" s="6"/>
      <c r="I1326" s="1"/>
    </row>
    <row r="1327" spans="1:38" ht="15" customHeight="1" x14ac:dyDescent="0.2">
      <c r="I1327" s="1"/>
    </row>
    <row r="1328" spans="1:38" ht="15" customHeight="1" x14ac:dyDescent="0.2">
      <c r="I1328" s="1"/>
    </row>
    <row r="1329" spans="9:9" ht="15" customHeight="1" x14ac:dyDescent="0.2">
      <c r="I1329" s="1"/>
    </row>
    <row r="1330" spans="9:9" ht="15" customHeight="1" x14ac:dyDescent="0.2">
      <c r="I1330" s="1"/>
    </row>
    <row r="1331" spans="9:9" ht="15" customHeight="1" x14ac:dyDescent="0.2">
      <c r="I1331" s="1"/>
    </row>
    <row r="1332" spans="9:9" ht="15" customHeight="1" x14ac:dyDescent="0.2">
      <c r="I1332" s="1"/>
    </row>
    <row r="1333" spans="9:9" ht="15" customHeight="1" x14ac:dyDescent="0.2">
      <c r="I1333" s="1"/>
    </row>
    <row r="1334" spans="9:9" ht="15" customHeight="1" x14ac:dyDescent="0.2">
      <c r="I1334" s="1"/>
    </row>
    <row r="1335" spans="9:9" ht="15" customHeight="1" x14ac:dyDescent="0.2">
      <c r="I1335" s="1"/>
    </row>
  </sheetData>
  <mergeCells count="1">
    <mergeCell ref="F1323:F1326"/>
  </mergeCells>
  <conditionalFormatting sqref="I1:I1048576">
    <cfRule type="duplicateValues" dxfId="0" priority="1"/>
  </conditionalFormatting>
  <hyperlinks>
    <hyperlink ref="M312" r:id="rId1" display="https://www.xermade.org/comunidade-de-enerxias-renovables-xerando/" xr:uid="{72D34379-9689-469A-B00C-7AFE6EA3EE39}"/>
    <hyperlink ref="M343" r:id="rId2" xr:uid="{9924F7E2-DDC1-4DB8-89C9-44152686AAB1}"/>
    <hyperlink ref="M339" r:id="rId3" xr:uid="{A9FC1E3D-55EA-46D7-9BE5-1A8E5DD75B70}"/>
    <hyperlink ref="M317" r:id="rId4" xr:uid="{B95DAF18-ACB7-429C-9966-401FCE49DCD2}"/>
    <hyperlink ref="M318" r:id="rId5" xr:uid="{55206393-0DA0-41D4-9743-C35CD1256B81}"/>
    <hyperlink ref="M96" r:id="rId6" xr:uid="{9634C1FE-AAC7-4FE9-9D78-D4F547FF5FF7}"/>
    <hyperlink ref="M85" r:id="rId7" display="https://eur05.safelinks.protection.outlook.com/?url=https%3A%2F%2Fwww.lne.es%2Fcorvera%2F2025%2F12%2F11%2Fcorvera-suma-nuevas-inversiones-millonarias-124690423.html&amp;data=05%7C02%7Cnuria.alvarez%40ciuden.es%7Cc3e20f4d3a424bbe91fa08de97066454%7C719fd3bc61f54603b8f0e4de02c88601%7C0%7C0%7C639114250879918811%7CUnknown%7CTWFpbGZsb3d8eyJFbXB0eU1hcGkiOnRydWUsIlYiOiIwLjAuMDAwMCIsIlAiOiJXaW4zMiIsIkFOIjoiTWFpbCIsIldUIjoyfQ%3D%3D%7C0%7C%7C%7C&amp;sdata=5UfmFQHIWgXipMox2%2FCIT5e5iq1TTwOKwjgPqywRSTk%3D&amp;reserved=0" xr:uid="{B076D87F-6710-4951-B72A-3024451350D8}"/>
    <hyperlink ref="M69" r:id="rId8" display="https://eur05.safelinks.protection.outlook.com/?url=https%3A%2F%2Fwww.lne.es%2Fgrado%2F2025%2F02%2F16%2Fcardosa-contara-primera-comunidad-energetica-114343494.html&amp;data=05%7C02%7Cnuria.alvarez%40ciuden.es%7Cc3e20f4d3a424bbe91fa08de97066454%7C719fd3bc61f54603b8f0e4de02c88601%7C0%7C0%7C639114250879933246%7CUnknown%7CTWFpbGZsb3d8eyJFbXB0eU1hcGkiOnRydWUsIlYiOiIwLjAuMDAwMCIsIlAiOiJXaW4zMiIsIkFOIjoiTWFpbCIsIldUIjoyfQ%3D%3D%7C0%7C%7C%7C&amp;sdata=kXV%2FI93y%2Bhqsf%2BfyOJvg7%2FXwJ%2FtvH54%2BkvznCus%2B%2FgU%3D&amp;reserved=0" xr:uid="{9D889290-0358-4483-9ACA-606683219F57}"/>
    <hyperlink ref="M89" r:id="rId9" location="musel-greenmet" xr:uid="{98CD8106-D78D-46E6-9370-3957749A42E4}"/>
  </hyperlinks>
  <pageMargins left="0.7" right="0.7" top="0.75" bottom="0.75" header="0.3" footer="0.3"/>
  <pageSetup paperSize="9" orientation="portrait" r:id="rId10"/>
  <tableParts count="1">
    <tablePart r:id="rId11"/>
  </tableParts>
</worksheet>
</file>

<file path=docMetadata/LabelInfo.xml><?xml version="1.0" encoding="utf-8"?>
<clbl:labelList xmlns:clbl="http://schemas.microsoft.com/office/2020/mipLabelMetadata">
  <clbl:label id="{d5b0e46e-af26-40f8-bc06-c0e471e18c78}" enabled="1" method="Privileged" siteId="{9bc3d1cd-55ca-4e13-b5a2-a9e9deaeba3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Tabla VISOR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Nuria Alvarez Llamas</dc:creator>
  <cp:lastModifiedBy>Sandro Jesus MINA VALDIVIA</cp:lastModifiedBy>
  <dcterms:created xsi:type="dcterms:W3CDTF">2026-04-15T06:14:25Z</dcterms:created>
  <dcterms:modified xsi:type="dcterms:W3CDTF">2026-04-29T16:10:45Z</dcterms:modified>
</cp:coreProperties>
</file>